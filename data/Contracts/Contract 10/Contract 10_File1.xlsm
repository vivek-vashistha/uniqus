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apping" sheetId="1" r:id="rId5"/>
    <sheet state="visible" name="Dashboard" sheetId="2" r:id="rId6"/>
    <sheet state="visible" name="Intro" sheetId="3" r:id="rId7"/>
    <sheet state="visible" name="Step 1" sheetId="4" r:id="rId8"/>
    <sheet state="visible" name="Step 2" sheetId="5" r:id="rId9"/>
    <sheet state="visible" name="Step 3" sheetId="6" r:id="rId10"/>
    <sheet state="visible" name="Step 4" sheetId="7" r:id="rId11"/>
    <sheet state="visible" name="Step 5" sheetId="8" r:id="rId12"/>
    <sheet state="visible" name="Cost" sheetId="9" r:id="rId13"/>
    <sheet state="visible" name="Other Issues" sheetId="10" r:id="rId14"/>
    <sheet state="visible" name="Assesment" sheetId="11" r:id="rId15"/>
    <sheet state="visible" name="Conclusion" sheetId="12" r:id="rId16"/>
    <sheet state="hidden" name="Data" sheetId="13" r:id="rId17"/>
    <sheet state="hidden" name="Settings" sheetId="14" r:id="rId18"/>
    <sheet state="hidden" name="Support" sheetId="15" r:id="rId19"/>
  </sheets>
  <definedNames>
    <definedName name="CBB">OFFSET(Mapping!$D$2,0,0,COUNTA(Mapping!$D:$D),1)</definedName>
    <definedName name="Yes_No">OFFSET(Mapping!$A$2,0,0,COUNTA(Mapping!$A:$A),1)</definedName>
    <definedName localSheetId="9" name="_Hlk503774654">'Other Issues'!$D$10</definedName>
  </definedNames>
  <calcPr/>
  <extLst>
    <ext uri="GoogleSheetsCustomDataVersion2">
      <go:sheetsCustomData xmlns:go="http://customooxmlschemas.google.com/" r:id="rId20" roundtripDataChecksum="mjKa3jqFcZWHhwUheQ644hoh8ubsYT6LD7fLoveqoeA="/>
    </ext>
  </extLst>
</workbook>
</file>

<file path=xl/sharedStrings.xml><?xml version="1.0" encoding="utf-8"?>
<sst xmlns="http://schemas.openxmlformats.org/spreadsheetml/2006/main" count="775" uniqueCount="502">
  <si>
    <t>Input/Output</t>
  </si>
  <si>
    <t xml:space="preserve">Variable consideration consists of: </t>
  </si>
  <si>
    <t>Approach</t>
  </si>
  <si>
    <t>Whether the XYZ is the principal or agent in the contract?</t>
  </si>
  <si>
    <t>Conclusion Step 2 (Promises in the contract)</t>
  </si>
  <si>
    <t>Method used</t>
  </si>
  <si>
    <t>Yes</t>
  </si>
  <si>
    <t>Input</t>
  </si>
  <si>
    <t>Service  Credit</t>
  </si>
  <si>
    <t>Expected Value Method</t>
  </si>
  <si>
    <t>Principal</t>
  </si>
  <si>
    <t>Promise is a distinct performance obligation</t>
  </si>
  <si>
    <t>Adjusted Market Assessment</t>
  </si>
  <si>
    <t>No</t>
  </si>
  <si>
    <t>Output</t>
  </si>
  <si>
    <t>CBB penalty and rewards</t>
  </si>
  <si>
    <t>Most Likely Method</t>
  </si>
  <si>
    <t>Agent</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</si>
  <si>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</si>
  <si>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Cost Plus</t>
  </si>
  <si>
    <t>NA</t>
  </si>
  <si>
    <t>No Select</t>
  </si>
  <si>
    <t>Bundle of goods or services is a single performance</t>
  </si>
  <si>
    <t xml:space="preserve">Residual </t>
  </si>
  <si>
    <t>Observable price</t>
  </si>
  <si>
    <t>Output Folder -:</t>
  </si>
  <si>
    <t>Z:\Public\2024-25\Revenue RRC 2024-25\8. November 2024\RRM\</t>
  </si>
  <si>
    <t>Select Month -:</t>
  </si>
  <si>
    <t>Current Status      (Maker) -:</t>
  </si>
  <si>
    <t>Other Issues</t>
  </si>
  <si>
    <t>Checker :</t>
  </si>
  <si>
    <t>XYZ Entity –</t>
  </si>
  <si>
    <t>Client Name –</t>
  </si>
  <si>
    <t xml:space="preserve">Vertical / Horizontal : </t>
  </si>
  <si>
    <t>HealthCare / Industry Specific BPO</t>
  </si>
  <si>
    <t>Type of contract –</t>
  </si>
  <si>
    <t>SOW - (Customer Service for Dental Appointments) - ICMSOW_3945</t>
  </si>
  <si>
    <t>LOE date :</t>
  </si>
  <si>
    <t>-</t>
  </si>
  <si>
    <t>MSA Date -:</t>
  </si>
  <si>
    <t>15th December 2023 till 5 years automatically extends annually till terminated</t>
  </si>
  <si>
    <t>SOW Date -:</t>
  </si>
  <si>
    <t>30th September 2024 till 29th September 2029</t>
  </si>
  <si>
    <t>SOW Client Sign Date -:</t>
  </si>
  <si>
    <t>14th November 2024</t>
  </si>
  <si>
    <t xml:space="preserve">Contract Value- TCV/ACV </t>
  </si>
  <si>
    <t>TCV - $ 21,559 K</t>
  </si>
  <si>
    <t>ACV - $ 4,312 K</t>
  </si>
  <si>
    <t xml:space="preserve"> Term of the contracts -:</t>
  </si>
  <si>
    <t>60 months</t>
  </si>
  <si>
    <t xml:space="preserve">Total Contract period (for amortization of Contract costs, including expected renewal):  </t>
  </si>
  <si>
    <t>Initial Term plus one expected renewal</t>
  </si>
  <si>
    <t xml:space="preserve">Checklist Reference no. - </t>
  </si>
  <si>
    <t>2024-25-84</t>
  </si>
  <si>
    <t>New Logo -:</t>
  </si>
  <si>
    <t>Existing Customer -:</t>
  </si>
  <si>
    <t>Modification-:</t>
  </si>
  <si>
    <t>RRC Reference Number (if any)</t>
  </si>
  <si>
    <t>Prepared by</t>
  </si>
  <si>
    <t>Reviewed By</t>
  </si>
  <si>
    <t>Approved By</t>
  </si>
  <si>
    <t>Designation: Deputy Manager</t>
  </si>
  <si>
    <t xml:space="preserve">Designation: General Manager </t>
  </si>
  <si>
    <t>Designation: Corporate VP</t>
  </si>
  <si>
    <t>November 24</t>
  </si>
  <si>
    <t>Key Elements of contract :</t>
  </si>
  <si>
    <t>Scope of service - Customer Service for Dental Appointments</t>
  </si>
  <si>
    <t>Billing Type - FTE hourly rate based , COLA @ 4% per annum applicable on first contract anniversary and every contract anniversary thereafter</t>
  </si>
  <si>
    <t>Transition services, Technology one time set up, Technology Recurring</t>
  </si>
  <si>
    <t>Service credit</t>
  </si>
  <si>
    <t>Pass through charges</t>
  </si>
  <si>
    <t>Termination charges</t>
  </si>
  <si>
    <t>Literature reference for relevant accounting guidance under US GAAP</t>
  </si>
  <si>
    <t>ASC 606 - Revenue from contract with customer</t>
  </si>
  <si>
    <t>ASC 340 - Other Assets and deferred costs</t>
  </si>
  <si>
    <t>ASC 360- Property Plant and Equipment</t>
  </si>
  <si>
    <t>ASC 350 - Intangibles</t>
  </si>
  <si>
    <t>ASC 815 - Derivatives and hedging</t>
  </si>
  <si>
    <t>ASC 450 - Contingencies</t>
  </si>
  <si>
    <t>Any other relevant literature reference (please specify)</t>
  </si>
  <si>
    <t>Objective</t>
  </si>
  <si>
    <t>Aim of this checklist is to ensure that all the revenue recognition criteria as prescribed under US GAAP are fulfilled. This Accounting Checklist is tailored to address the specific circumstances of BPO – Outsourcing business.</t>
  </si>
  <si>
    <t>Business Overview</t>
  </si>
  <si>
    <t>XYZ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XYZ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</si>
  <si>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In BPM segment, Company charges for services primarily based on the following pricing models:</t>
  </si>
  <si>
    <r>
      <rPr>
        <rFont val="Calibri"/>
        <color theme="1"/>
        <sz val="10.0"/>
      </rPr>
      <t>1)</t>
    </r>
    <r>
      <rPr>
        <rFont val="Times New Roman"/>
        <color theme="1"/>
        <sz val="7.0"/>
      </rPr>
      <t xml:space="preserve">       </t>
    </r>
    <r>
      <rPr>
        <rFont val="Calibri"/>
        <b/>
        <color theme="1"/>
        <sz val="10.0"/>
      </rPr>
      <t>Per full time equivalent</t>
    </r>
    <r>
      <rPr>
        <rFont val="Calibri"/>
        <color theme="1"/>
        <sz val="10.0"/>
      </rPr>
      <t xml:space="preserve"> – This arrangement typically involve billing based on number of full time employees (or equivalent) deployed on the execution of the business process managed;</t>
    </r>
  </si>
  <si>
    <r>
      <rPr>
        <rFont val="Calibri"/>
        <color theme="1"/>
        <sz val="10.0"/>
      </rPr>
      <t>2)</t>
    </r>
    <r>
      <rPr>
        <rFont val="Times New Roman"/>
        <color theme="1"/>
        <sz val="7.0"/>
      </rPr>
      <t xml:space="preserve">       </t>
    </r>
    <r>
      <rPr>
        <rFont val="Calibri"/>
        <b/>
        <color theme="1"/>
        <sz val="10.0"/>
      </rPr>
      <t xml:space="preserve">Per Transaction </t>
    </r>
    <r>
      <rPr>
        <rFont val="Calibri"/>
        <color theme="1"/>
        <sz val="10.0"/>
      </rPr>
      <t>– This arrangement typically involves billing based on number of transactions processed (such as the number of E-mail responses, airlines coupons or insurance claim processed);</t>
    </r>
  </si>
  <si>
    <r>
      <rPr>
        <rFont val="Calibri"/>
        <color theme="1"/>
        <sz val="10.0"/>
      </rPr>
      <t>3)</t>
    </r>
    <r>
      <rPr>
        <rFont val="Times New Roman"/>
        <color theme="1"/>
        <sz val="7.0"/>
      </rPr>
      <t xml:space="preserve">       </t>
    </r>
    <r>
      <rPr>
        <rFont val="Calibri"/>
        <b/>
        <color theme="1"/>
        <sz val="10.0"/>
      </rPr>
      <t>Fixed-price arrangements</t>
    </r>
    <r>
      <rPr>
        <rFont val="Calibri"/>
        <color theme="1"/>
        <sz val="10.0"/>
      </rPr>
      <t>- This typically involve billings based on achievements of pre-defined deliverables or milestones;</t>
    </r>
  </si>
  <si>
    <r>
      <rPr>
        <rFont val="Calibri"/>
        <color theme="1"/>
        <sz val="10.0"/>
      </rPr>
      <t>4)</t>
    </r>
    <r>
      <rPr>
        <rFont val="Times New Roman"/>
        <color theme="1"/>
        <sz val="7.0"/>
      </rPr>
      <t xml:space="preserve">       </t>
    </r>
    <r>
      <rPr>
        <rFont val="Calibri"/>
        <b/>
        <color theme="1"/>
        <sz val="10.0"/>
      </rPr>
      <t>Subscription arrangements</t>
    </r>
    <r>
      <rPr>
        <rFont val="Calibri"/>
        <color theme="1"/>
        <sz val="10.0"/>
      </rPr>
      <t>- This typically involve billings based on per member per month, based on contractually agreed; or</t>
    </r>
  </si>
  <si>
    <r>
      <rPr>
        <rFont val="Calibri"/>
        <color theme="1"/>
        <sz val="10.0"/>
      </rPr>
      <t>Other pricing arrangements,</t>
    </r>
    <r>
      <rPr>
        <rFont val="Calibri"/>
        <color theme="1"/>
        <sz val="10.0"/>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</si>
  <si>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</si>
  <si>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A. contract exists if:</t>
  </si>
  <si>
    <t xml:space="preserve">i. </t>
  </si>
  <si>
    <t xml:space="preserve">Collection is considered probable </t>
  </si>
  <si>
    <t xml:space="preserve">ii. </t>
  </si>
  <si>
    <t xml:space="preserve">It has commercial substance </t>
  </si>
  <si>
    <t xml:space="preserve">iii. </t>
  </si>
  <si>
    <t xml:space="preserve">Rights to goods and services and payment terms can be identified </t>
  </si>
  <si>
    <t xml:space="preserve">iv. </t>
  </si>
  <si>
    <t xml:space="preserve">It is approved and the parties are committed to their obligations </t>
  </si>
  <si>
    <t>Existence of a contract:</t>
  </si>
  <si>
    <t>Description</t>
  </si>
  <si>
    <t>Yes/No</t>
  </si>
  <si>
    <t>Analysis</t>
  </si>
  <si>
    <t xml:space="preserve">Is the contract approved and the parties are committed to their obligation ((ASC 606-10-25-1(a) ) ? </t>
  </si>
  <si>
    <t>The SOW  is signed by both the parties.</t>
  </si>
  <si>
    <t xml:space="preserve">Are each parties' rights regarding the goods or services to be transferred identifiable (ASC 606-10-25-1(b)) ? </t>
  </si>
  <si>
    <t>The Scope of Service has been identified in SOW under section "C. Description of services, scope and deliverables"</t>
  </si>
  <si>
    <t xml:space="preserve">Can the payment terms for the goods and services be identified (ASC 606-10-25-1(c)) ? </t>
  </si>
  <si>
    <t>Payment terms are mentioned in SOW under section "I. Commercials"</t>
  </si>
  <si>
    <t xml:space="preserve">Has the contract commercial substance (ASC 606-10-25-1(d)) ? </t>
  </si>
  <si>
    <t>MSA defines the rate for services, timing of transfer of services &amp; risks.</t>
  </si>
  <si>
    <t xml:space="preserve">Is the collection of consideration probable ("likely") (ASC 606-10-25-1(e)) ?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</si>
  <si>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XYZ follows above established process for assessing the credit ratings of the prospective and existing Customers</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</si>
  <si>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</si>
  <si>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</si>
  <si>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</si>
  <si>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</si>
  <si>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</si>
  <si>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</si>
  <si>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</si>
  <si>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</si>
  <si>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</si>
  <si>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Is there a combination of contracts necessary (606-10-25-9)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</si>
  <si>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</si>
  <si>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</si>
  <si>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</si>
  <si>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</si>
  <si>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 xml:space="preserve">Conclusion: </t>
  </si>
  <si>
    <t>Combination is not applicable</t>
  </si>
  <si>
    <t>Remarks :</t>
  </si>
  <si>
    <t>SOW for Finance &amp; Accounting signed on 22nd October 2024 has been entered at or near the same time as the SOW under assessment for Customer Service - Dental Appointments. But since the scope of services of the two SOWs are different, are negotiated separately from each other where the margins are independent of each other, Combination of contract has not been applied.</t>
  </si>
  <si>
    <t>C. Modification of contract</t>
  </si>
  <si>
    <t>Is the contract modification approved ?</t>
  </si>
  <si>
    <t>Does the modification solely add additional goods or services ?</t>
  </si>
  <si>
    <t>Are the additional goods or services distinct ?</t>
  </si>
  <si>
    <t>Are the remaning goods or services distinct ?</t>
  </si>
  <si>
    <t>Does the contract price increase by an amount that reflect standalone selling price for the new goods or services (considering the circumstances of the contract) ?</t>
  </si>
  <si>
    <t xml:space="preserve">Remarks: </t>
  </si>
  <si>
    <t>A contract modification is treated as a separate contract (Prospective treatment) if the modification results in:
- Promise to deliver additional goods or services that are distinct and
- an increase in the price of the contract by an amount of consideration that reflects the entity's standalone selling price of those goods or services.
Statement of Work (“SOW”) dated January 05,  2024 was entered for providing Analytics services ,SOW dated 24th June, 2024 has been entered for Revenue Cycle Management , SOW dated 29th July 2024 has been entered for Finance &amp; Accounting whereas SOW dated 14th November 2024 for Customer Service - Dental Appointments. This is new process and has no effect on old work SOWs. Prices are market price which will be given to any other customer in similar circumstances and geography. This is an additional work given to XYZ by Premier Dental and previous SOW/s are not terminated. Hence, the new SOW dated 14th November 2024 will be accounted for as a separate contract.</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</si>
  <si>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</si>
  <si>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</si>
  <si>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Guidance: A single performance obligation is a promise in a contract with a customer to transfer to the customer either: (a) a good or service (or a bundle of goods or services) that is distinct or (b) a series of distinct goods or services that are substantially the same and that have the same pattern of transfer to the customer.</t>
  </si>
  <si>
    <t xml:space="preserve">Analyzing whether identified promises represent performance obligations: </t>
  </si>
  <si>
    <t>Guidance</t>
  </si>
  <si>
    <t>A promise is classified as a performance obligation, if the good or service is capable of being distinct  distinct (ASC 606-10-25-19 (a)) and distinct in the context of the contract (ASC 606-10-25-19 (b)). (ASC 606-10-25-14)</t>
  </si>
  <si>
    <t xml:space="preserve">Criterion 1 </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</si>
  <si>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</si>
  <si>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Criterion 2
Is the Company promise to transfer the good or service separately identifiable from other promises in the contract (ASC 606-10-25-19(b))?? The following factors should be considered with regard to the above question: </t>
  </si>
  <si>
    <r>
      <rPr>
        <rFont val="Calibri"/>
        <color rgb="FF000000"/>
        <sz val="10.0"/>
      </rPr>
      <t xml:space="preserve">i   </t>
    </r>
    <r>
      <rPr>
        <rFont val="Calibri"/>
        <b/>
        <color rgb="FF000000"/>
        <sz val="10.0"/>
      </rPr>
      <t>Significant integration service:</t>
    </r>
    <r>
      <rPr>
        <rFont val="Calibri"/>
        <color rgb="FF000000"/>
        <sz val="10.0"/>
      </rPr>
      <t xml:space="preserve"> the Company provides a significant service of integrating the good or service with other goods or services promised in the contract into a bundle of goods or services that represents the combined output for which the customer has contracted. </t>
    </r>
  </si>
  <si>
    <r>
      <rPr>
        <rFont val="Calibri"/>
        <color rgb="FF000000"/>
        <sz val="10.0"/>
      </rPr>
      <t xml:space="preserve">ii  </t>
    </r>
    <r>
      <rPr>
        <rFont val="Calibri"/>
        <b/>
        <color rgb="FF000000"/>
        <sz val="10.0"/>
      </rPr>
      <t>Significant modification/customisation:</t>
    </r>
    <r>
      <rPr>
        <rFont val="Calibri"/>
        <color rgb="FF000000"/>
        <sz val="10.0"/>
      </rPr>
      <t xml:space="preserve"> Goods or services significantly modify or customise another good or service promised in the contract. </t>
    </r>
  </si>
  <si>
    <r>
      <rPr>
        <rFont val="Calibri"/>
        <color rgb="FF000000"/>
        <sz val="10.0"/>
      </rPr>
      <t xml:space="preserve">iii  </t>
    </r>
    <r>
      <rPr>
        <rFont val="Calibri"/>
        <b/>
        <color rgb="FF000000"/>
        <sz val="10.0"/>
      </rPr>
      <t>Highly dependent/highly interrelated:</t>
    </r>
    <r>
      <rPr>
        <rFont val="Calibri"/>
        <color rgb="FF000000"/>
        <sz val="10.0"/>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</si>
  <si>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</si>
  <si>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</si>
  <si>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 xml:space="preserve">Criterion 2 </t>
  </si>
  <si>
    <t>Performance Obligation?</t>
  </si>
  <si>
    <t xml:space="preserve">Conclusion </t>
  </si>
  <si>
    <t>Customer Service for Dental Appointments</t>
  </si>
  <si>
    <t>Transition services</t>
  </si>
  <si>
    <t>Not a distinct service in the contract as it does not transfer any incremental benefit to the Customer on standalone basis. These are treated as input to the overall combined output of the contract.</t>
  </si>
  <si>
    <t>Technology services - one time set up</t>
  </si>
  <si>
    <t>Technology services - Recurring</t>
  </si>
  <si>
    <t>As per above evaluation, we conclude that - “Customer Service for Dental Appointments” are single performance obligation by applying series guidance. 
Transition services a merely set-up activities as it is not providing any incremental benefit to the customer as the customer cannot benefit from the transition alone which means that it is not capable of being distinct from the BPM services. Transition services and BPM services are not separately identifiable because the transition services are inputs to the combined output (i.e. the BPM service) for which the customer has contracted, such that the entity is providing a significant integration service of combining those inputs into that combined output.
Technology Services (One time and recurring) cannot benefit the Customer on standalone basis. These are considered as setup activities and are needed to satisfy the main performance obligation. Hence are inputs to the overall combined output of the contract.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</si>
  <si>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</si>
  <si>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</si>
  <si>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</si>
  <si>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</si>
  <si>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i</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</si>
  <si>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</si>
  <si>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</si>
  <si>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</si>
  <si>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</si>
  <si>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</si>
  <si>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</si>
  <si>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</si>
  <si>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</si>
  <si>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</si>
  <si>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</si>
  <si>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</si>
  <si>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rPr>
        <rFont val="Calibri"/>
        <b/>
        <color rgb="FF000000"/>
        <sz val="10.0"/>
      </rPr>
      <t>A.</t>
    </r>
    <r>
      <rPr>
        <rFont val="Calibri"/>
        <b/>
        <color rgb="FF000000"/>
        <sz val="10.0"/>
        <u/>
      </rPr>
      <t xml:space="preserve"> Cash consideration</t>
    </r>
    <r>
      <rPr>
        <rFont val="Calibri"/>
        <b/>
        <color rgb="FF000000"/>
        <sz val="10.0"/>
      </rPr>
      <t>:</t>
    </r>
  </si>
  <si>
    <t xml:space="preserve">Is the consideration or a part of the consideration fixed? </t>
  </si>
  <si>
    <t>Is the consideration or a part of the consideration variable (e.g. liquidated damages, discounts, standby rates etc.) (ASC 606-10-32-5 to 32-9)?</t>
  </si>
  <si>
    <t>Variable consideration consists of:</t>
  </si>
  <si>
    <t>Service Credit</t>
  </si>
  <si>
    <t>Refer section G "Work Product Standards"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</si>
  <si>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</si>
  <si>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</si>
  <si>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</si>
  <si>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As per Para 10-32-6 of ASC 606 consideration can vary because of discounts, rebates, refunds, credits, price concessions, incentives, performance bonuses, penalties, or other similar items. Hence Service credit shall be considered as variable consideration.</t>
  </si>
  <si>
    <t xml:space="preserve">Please describe the approach to estimate the variable amount for each variable consideration (most likely amount, expected value) and explain why the method used better predicts the consideration to which the Company will be entitled </t>
  </si>
  <si>
    <t>Variable consideration</t>
  </si>
  <si>
    <t>Method</t>
  </si>
  <si>
    <t>Explanation</t>
  </si>
  <si>
    <t>The Expected Value is the sum of probability - weighted amount in a range of possible consideration amounts</t>
  </si>
  <si>
    <t xml:space="preserve">Please explain the reasonableness whether it is probable that a significant reversal in the amount of cumulative revenue recognized will not occur (ASC 606-10-32-11. (Please consider the likelihood and the magnitude of a revenue reversal) </t>
  </si>
  <si>
    <t xml:space="preserve">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</si>
  <si>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</si>
  <si>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</si>
  <si>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</si>
  <si>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</si>
  <si>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</si>
  <si>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</si>
  <si>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probable and cannot be included in the transaction price until it is deemed probable that the variable consideration will not result in a significant revenue reversal.</t>
  </si>
  <si>
    <t>The transaction price consists of variable consideration(s) which are deemed  probable and need(s) to be included in the transaction price.</t>
  </si>
  <si>
    <t>Conclusion :</t>
  </si>
  <si>
    <t>Service Credit - Service credits should be recorded as reduction to revenue on monthly basis based on service level default &amp; related percentages stated in the contract.
 The measurement period is not defined in the contract and SLA/KPI to be baselined post BAU Go-Live for a period of 180 days.Once the service credit percentage is determined, Service Credits will be accounted as reduction to revenue on monthly basis in case of service level default. In the given case as the service level credits are measured on monthy basis estimation is not required.</t>
  </si>
  <si>
    <r>
      <rPr>
        <rFont val="Calibri"/>
        <b/>
        <color rgb="FF000000"/>
        <sz val="10.0"/>
      </rPr>
      <t xml:space="preserve">B. </t>
    </r>
    <r>
      <rPr>
        <rFont val="Calibri"/>
        <b/>
        <color rgb="FF000000"/>
        <sz val="10.0"/>
        <u/>
      </rPr>
      <t>Non-cash consideration:</t>
    </r>
  </si>
  <si>
    <t>Does the consideration include a non-cash component?</t>
  </si>
  <si>
    <t>If the previous question was answered "Yes" please describe the type of non-cash consideration in the contract</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</si>
  <si>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</si>
  <si>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</si>
  <si>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</si>
  <si>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r>
      <rPr>
        <rFont val="Calibri"/>
        <b/>
        <color rgb="FF000000"/>
        <sz val="10.0"/>
      </rPr>
      <t>C</t>
    </r>
    <r>
      <rPr>
        <rFont val="Calibri"/>
        <color rgb="FF000000"/>
        <sz val="10.0"/>
      </rPr>
      <t xml:space="preserve">. </t>
    </r>
    <r>
      <rPr>
        <rFont val="Calibri"/>
        <b/>
        <color rgb="FF000000"/>
        <sz val="10.0"/>
        <u/>
      </rPr>
      <t>Consideration payable to a customer:</t>
    </r>
    <r>
      <rPr>
        <rFont val="Calibri"/>
        <b/>
        <color rgb="FF000000"/>
        <sz val="10.0"/>
      </rPr>
      <t xml:space="preserve"> </t>
    </r>
  </si>
  <si>
    <t xml:space="preserve">Guidance </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</si>
  <si>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</si>
  <si>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</si>
  <si>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If the consideration payable to a customer includes a variable amount, an entity shall estimate the transaction price (including assessing whether the estimate of variable consideration is constrained) in accordance with paragraphs ASC 606-10-32-5 to 32-1350–58</t>
  </si>
  <si>
    <t>Consideration Payable to customer :</t>
  </si>
  <si>
    <t>Does the consideration payable to a customer (or to the customer's) represent a payable for a distinct goods or service ?</t>
  </si>
  <si>
    <t xml:space="preserve">If answer of the previous question is "Yes", the following questions are relevant: </t>
  </si>
  <si>
    <t>Can the entity reasonably estimate the fair value of the goods or service received ?</t>
  </si>
  <si>
    <t>Does the consideration payble exceed the fair value of the distinct good or services ?</t>
  </si>
  <si>
    <t>Conclusion</t>
  </si>
  <si>
    <r>
      <rPr>
        <rFont val="Calibri"/>
        <b/>
        <color rgb="FF000000"/>
        <sz val="10.0"/>
      </rPr>
      <t xml:space="preserve">D. </t>
    </r>
    <r>
      <rPr>
        <rFont val="Calibri"/>
        <b/>
        <color rgb="FF000000"/>
        <sz val="10.0"/>
        <u/>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</si>
  <si>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</si>
  <si>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</si>
  <si>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</si>
  <si>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</si>
  <si>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</si>
  <si>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 xml:space="preserve">Please specify why the criteria mentioned above are met </t>
  </si>
  <si>
    <t>No financing component</t>
  </si>
  <si>
    <t xml:space="preserve">A significant financing component exists for which the entity needs to account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</si>
  <si>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</si>
  <si>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</si>
  <si>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</si>
  <si>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</si>
  <si>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1. Determine stand-alone selling prices
</t>
  </si>
  <si>
    <t>2. Allocate the transaction price</t>
  </si>
  <si>
    <t xml:space="preserve">Allocation of transaction price required? </t>
  </si>
  <si>
    <t>Since there is only 1 performance obligation, allocation of transaction price is not required</t>
  </si>
  <si>
    <t>Allocation of Transaction price</t>
  </si>
  <si>
    <t>Performance obligation</t>
  </si>
  <si>
    <t>Method used/ Other</t>
  </si>
  <si>
    <t>Standalone Selling price</t>
  </si>
  <si>
    <t>Allocation</t>
  </si>
  <si>
    <t>Allocated Transaction price</t>
  </si>
  <si>
    <t>Allocation of variable consideration</t>
  </si>
  <si>
    <t xml:space="preserve">Is there an allocation of a variable consideration ? (ASC 606-10-32-39 to 32-41)? </t>
  </si>
  <si>
    <t>Not required to be allocated as only 1 performance obligation has been identified in the contract.</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</si>
  <si>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</si>
  <si>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</si>
  <si>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</si>
  <si>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</si>
  <si>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Criterion 1 ASC 606-10-25-27(a) </t>
  </si>
  <si>
    <t xml:space="preserve">The customer simultaneously receives and consumes the benefits provided by the Company' performance as the Company performs </t>
  </si>
  <si>
    <t xml:space="preserve">Criterion 2 ASC 606-10-25-27(b) </t>
  </si>
  <si>
    <t xml:space="preserve">The Company's performance creates or enhances an asset that the customer controls as the asset is created or enhanced </t>
  </si>
  <si>
    <t xml:space="preserve">Criterion 3 ASC 606-10-25-27(c)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</si>
  <si>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</si>
  <si>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Performance obligations according to Step 2 </t>
  </si>
  <si>
    <t xml:space="preserve">Criterion 3 </t>
  </si>
  <si>
    <t xml:space="preserve">Performance obligations satisfied over time </t>
  </si>
  <si>
    <t>Perforamance obligation satisfied at a point in time</t>
  </si>
  <si>
    <t>Selecting a method that depicts the performance i.e. a pattern of transfer of control of the goods and services to the customer:</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</si>
  <si>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</si>
  <si>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</si>
  <si>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 xml:space="preserve">Method 1: Output: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</si>
  <si>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</si>
  <si>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Method 2: Input: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</si>
  <si>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</si>
  <si>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</si>
  <si>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</si>
  <si>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Progress is measured based on FTE consumed for performing the services. Therefore, method 2 i.e. measurement of progress based on Input appears to be appropriate.
Since XYZ is using As-Invoiced practical expedient, the estimation of variable consideration and input method use has been foregone.</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</si>
  <si>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</si>
  <si>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</si>
  <si>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 xml:space="preserve">Contract costs: </t>
  </si>
  <si>
    <r>
      <rPr>
        <rFont val="Calibri"/>
        <b/>
        <color rgb="FF000000"/>
        <sz val="10.0"/>
        <u/>
      </rPr>
      <t>Costs of fulfilling a contract</t>
    </r>
    <r>
      <rPr>
        <rFont val="Calibri"/>
        <b/>
        <color rgb="FF000000"/>
        <sz val="10.0"/>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</si>
  <si>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</si>
  <si>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</si>
  <si>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</si>
  <si>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</si>
  <si>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</si>
  <si>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</si>
  <si>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</si>
  <si>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</si>
  <si>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</si>
  <si>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Transition cost the cost related to transition are assessed as cost to fulfill and will be deferred and amortized over the contract term including expected renewal.
Technology set-up- these are mainly hardware elements like  Laptops, Additional Monitors, Keyboard, Mouse and Laptop Lock etc. which falls under other guidance viz, PPE. </t>
  </si>
  <si>
    <t xml:space="preserve">If the conclusion is that costs of fulfilment shall be capitalized, please explain the background </t>
  </si>
  <si>
    <t>Transition services/one time Technology costs are considered as input to the main services and does not provide incremental benefits to the customer on standalone basis as they do not directly transfer any services. These setup activities are necessary to facilitate services in the contract.</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</si>
  <si>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</si>
  <si>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</si>
  <si>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</si>
  <si>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One-time technology set-up</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</si>
  <si>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</si>
  <si>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</si>
  <si>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</si>
  <si>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One-time technology set-up will be deferred and recognised over the contract term.</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</si>
  <si>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</si>
  <si>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</si>
  <si>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</si>
  <si>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</si>
  <si>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</si>
  <si>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</si>
  <si>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XYZ is the principal</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</si>
  <si>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</si>
  <si>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</si>
  <si>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</si>
  <si>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XYZ is primarily responsible for fulfullment of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</si>
  <si>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</si>
  <si>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</si>
  <si>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No inventory risk is involved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</si>
  <si>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</si>
  <si>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</si>
  <si>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</si>
  <si>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 xml:space="preserve">XYZ has the discretion to establish the price. </t>
  </si>
  <si>
    <t xml:space="preserve">Principal vs. Agent </t>
  </si>
  <si>
    <t>Principal - Gross</t>
  </si>
  <si>
    <t>Embedded lease/ transfer of assets from customers (Only if hardware is sold along with providing services than this section is applicable)</t>
  </si>
  <si>
    <t>ASC 842</t>
  </si>
  <si>
    <r>
      <rPr>
        <rFont val="Calibri"/>
        <color theme="1"/>
        <sz val="10.0"/>
      </rPr>
      <t xml:space="preserve">Determine whether the contract contains elements that fall within the scope of ASC 842 Leases. </t>
    </r>
    <r>
      <rPr>
        <rFont val="Calibri"/>
        <b/>
        <color theme="1"/>
        <sz val="10.0"/>
      </rPr>
      <t>for e.g. – hardware elements like; servers, computers, etc.</t>
    </r>
  </si>
  <si>
    <t>No such element</t>
  </si>
  <si>
    <t xml:space="preserve">Embedded derivative (third currency contracts) </t>
  </si>
  <si>
    <t>ASC 815-15-15-10 (b)(1)</t>
  </si>
  <si>
    <t>What is the currency of invoicing? Is this currency, the functional currency of either XYZ or of the customer or any substantial party to the contract? If no, evaluate whether the contract contains a foreign currency embedded derivative.</t>
  </si>
  <si>
    <t>USD is the functional currency of XYZ Global Services (UK) International Limited</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</si>
  <si>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</si>
  <si>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</si>
  <si>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</si>
  <si>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</si>
  <si>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</si>
  <si>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</si>
  <si>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</si>
  <si>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Provisions/ Onerous contracts (where there are any penalty or warranty clauses or any non-cancellable or termination clauses in the contract)</t>
  </si>
  <si>
    <t>Yes / No</t>
  </si>
  <si>
    <t>ASC 606-10-50-22</t>
  </si>
  <si>
    <t>Practical expedients</t>
  </si>
  <si>
    <t>Revenue Recgonition</t>
  </si>
  <si>
    <t>1. Transition services</t>
  </si>
  <si>
    <t xml:space="preserve">Transition charges represent service fee charged to transit various processes with FTE involvement. 
XYZ policy states for deferment of transition revenue. Transition charges includes charges for sow sign off, PMO setup and project kick off, process discovery and report out, tech connectivity, assets procurement, VPN setup, hiring and onboarding
Note -Transition charges are considered up-to soft go-live for each process i.e. till Knowledge Transfer stage plus OPE, PD/PMO charges. 
 Any activity after Soft Go-live date shall be considered as business as usual [BAU].PMO Charges after BAU–go-live should be recognized on monthly basis over the service period.
</t>
  </si>
  <si>
    <t xml:space="preserve">Customer's services will be transitioned to XYZ as per Transition plan mentioned in SOW. </t>
  </si>
  <si>
    <t>Conclusion:</t>
  </si>
  <si>
    <t>·         Transition revenue should be recognized over the term of the contract.</t>
  </si>
  <si>
    <t>·         Defer transition costs ratably over the period of the contract and expected renewal</t>
  </si>
  <si>
    <t xml:space="preserve">2. One time set up Charges </t>
  </si>
  <si>
    <t>One-time IT services are in the nature of capital expenditure reimbursement such as hardware elements  Laptops, Additional Monitors, Keyboard, Mouse and Laptop Lock etc.</t>
  </si>
  <si>
    <t>(i) Revenue  should be recognized over the contract term.</t>
  </si>
  <si>
    <t>(ii) Technology cost includes  Laptops, Additional Monitors, Keyboard, Mouse and Laptop Lock etc. cost will be recognized over the life of the asset e.g. PPE as it falls under the guidance of this accounting standard.</t>
  </si>
  <si>
    <t>3. Recurring Technology charges</t>
  </si>
  <si>
    <t>These are the IT costs (such as bandwidth / internet/ MS Office &amp; teams license) charges for the system setup.</t>
  </si>
  <si>
    <t>Technology recurring costs to be charged on actuals.</t>
  </si>
  <si>
    <t>Revenue from recurring technology charges would be recognized on monthly basis over the service period.</t>
  </si>
  <si>
    <t>5. Service charges (FTE fees) - Customer Services for Dental Appointments</t>
  </si>
  <si>
    <t>Revenue would be recognized on the monthly basis based on monthly number of billable FTE hours x hourly rate per FTE.</t>
  </si>
  <si>
    <r>
      <rPr>
        <rFont val="Calibri"/>
        <b/>
        <color theme="1"/>
        <sz val="11.0"/>
      </rPr>
      <t xml:space="preserve">COLA: </t>
    </r>
    <r>
      <rPr>
        <rFont val="Calibri"/>
        <color theme="1"/>
        <sz val="11.0"/>
      </rPr>
      <t xml:space="preserve"> FTE rates will be subject to inflation of @4% per annum applicable on first anniversary of this SOW and every anniversary thereafter.</t>
    </r>
  </si>
  <si>
    <t>The increase in rates from each anniversary will be recovered for increase in cost of resources on account of inflation only.</t>
  </si>
  <si>
    <t>6. Service Credit</t>
  </si>
  <si>
    <t xml:space="preserve">Service Credit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t>
  </si>
  <si>
    <t>It has been mentioned in the SOW that SLA/KPI to be baselined post BAU Go-Live for a period of 180 days.</t>
  </si>
  <si>
    <t>Service levels are measured on monthly basis and hence service credit need not to be estimated because estimated amounts when trued up at each reporting date will provide almost the same results. 
Once the service credit percentage is determined, Service Credits will be accounted as reduction to revenue on monthly basis in case of service level default. In the given case as the service level credits are measured on monthy basis estimation is not required.</t>
  </si>
  <si>
    <t xml:space="preserve">CRT team should ensure that the monthly calculation which may take few days should not significantly vary from the service credit provided at the month end/ other measurement period. </t>
  </si>
  <si>
    <t>6. Pass through costs</t>
  </si>
  <si>
    <t>The out of pocket costs (e.g.  PSTN, postage, courier, Po Box and specific travel undertaken at customer request, etc)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</si>
  <si>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 xml:space="preserve">Pass through charges would be recognized as revenue as and when they are incurred. </t>
  </si>
  <si>
    <t>7. Termination Charges</t>
  </si>
  <si>
    <t xml:space="preserve">The termination fee would be recognized as revenue only when there are no further obligations on XYZ part with reference to provisioning of the services. Termination penalty will be recorded as revenue when the amount is received from customer.
</t>
  </si>
  <si>
    <t>ABCs may, by giving at least 120 calendar days notice to the Supplier, terminate this Agreement or a Statement of Work in whole or in part for convenience, effective on the date specified in the notice. The customer will pay termination fees as stated in the contract ((a) On termination of this SOW, Client shall be liable to pay XYZ all the Charges for the Services performed till the effective termination date. ) to XYZ. Since the termination fees and notice period of 120 days period is substantial in nature, this will discourage customer from termination and hence, we have considered 60 months as the term of the contract.</t>
  </si>
  <si>
    <t>Step1 :</t>
  </si>
  <si>
    <t>Final Conclusion</t>
  </si>
  <si>
    <t>Step 2 :</t>
  </si>
  <si>
    <t>Step 3 :</t>
  </si>
  <si>
    <t>Step 4 :</t>
  </si>
  <si>
    <t>Step 5 :</t>
  </si>
  <si>
    <t>Task Name</t>
  </si>
  <si>
    <t>Assigned to</t>
  </si>
  <si>
    <t>Assigned to -2</t>
  </si>
  <si>
    <t>Assigned to -3</t>
  </si>
  <si>
    <t>Assigned to -4</t>
  </si>
  <si>
    <t>Start Date</t>
  </si>
  <si>
    <t>End Date</t>
  </si>
  <si>
    <t>Status</t>
  </si>
  <si>
    <t>Completion%</t>
  </si>
  <si>
    <t>Task Status</t>
  </si>
  <si>
    <t>Task 1</t>
  </si>
  <si>
    <t>EMP-7</t>
  </si>
  <si>
    <t>Completed</t>
  </si>
  <si>
    <t>Task 2</t>
  </si>
  <si>
    <t>Task 3</t>
  </si>
  <si>
    <t>EMP-20</t>
  </si>
  <si>
    <t>Task 4</t>
  </si>
  <si>
    <t>EMP-19</t>
  </si>
  <si>
    <t>In Progress</t>
  </si>
  <si>
    <t>Task 5</t>
  </si>
  <si>
    <t>Task 6</t>
  </si>
  <si>
    <t>EMP-9</t>
  </si>
  <si>
    <t>Task 7</t>
  </si>
  <si>
    <t>EMP-3</t>
  </si>
  <si>
    <t>Task 8</t>
  </si>
  <si>
    <t>EMP-2</t>
  </si>
  <si>
    <t>Task 9</t>
  </si>
  <si>
    <t>EMP-10</t>
  </si>
  <si>
    <t>Task 10</t>
  </si>
  <si>
    <t>EMP-13</t>
  </si>
  <si>
    <t>Task 11</t>
  </si>
  <si>
    <t>Task 12</t>
  </si>
  <si>
    <t>EMP-1</t>
  </si>
  <si>
    <t>Task 13</t>
  </si>
  <si>
    <t>EMP-15</t>
  </si>
  <si>
    <t>Task 14</t>
  </si>
  <si>
    <t>Task 15</t>
  </si>
  <si>
    <t>EMP-17</t>
  </si>
  <si>
    <t>Task 16</t>
  </si>
  <si>
    <t>EMP-6</t>
  </si>
  <si>
    <t>Task 17</t>
  </si>
  <si>
    <t>Task 18</t>
  </si>
  <si>
    <t>EMP-18</t>
  </si>
  <si>
    <t>Task 19</t>
  </si>
  <si>
    <t>Task 20</t>
  </si>
  <si>
    <t>Task 21</t>
  </si>
  <si>
    <t>Task 22</t>
  </si>
  <si>
    <t>EMP-11</t>
  </si>
  <si>
    <t>Pending</t>
  </si>
  <si>
    <t>Task 23</t>
  </si>
  <si>
    <t>EMP-14</t>
  </si>
  <si>
    <t>Task 24</t>
  </si>
  <si>
    <t>EMP-8</t>
  </si>
  <si>
    <t>Task 25</t>
  </si>
  <si>
    <t>EMP-12</t>
  </si>
  <si>
    <t>Task 26</t>
  </si>
  <si>
    <t>Task 27</t>
  </si>
  <si>
    <t>EMP-4</t>
  </si>
  <si>
    <t>Task 28</t>
  </si>
  <si>
    <t>Task 29</t>
  </si>
  <si>
    <t>EMP-16</t>
  </si>
  <si>
    <t>Task 30</t>
  </si>
  <si>
    <t>Task 31</t>
  </si>
  <si>
    <t>Task 32</t>
  </si>
  <si>
    <t>Task 33</t>
  </si>
  <si>
    <t>Task 34</t>
  </si>
  <si>
    <t>Task 35</t>
  </si>
  <si>
    <t>EMP-5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</si>
  <si>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</si>
  <si>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</si>
  <si>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</si>
  <si>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</si>
  <si>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</si>
  <si>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</si>
  <si>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</si>
  <si>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</si>
  <si>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</si>
  <si>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</si>
  <si>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</si>
  <si>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</si>
  <si>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</si>
  <si>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</si>
  <si>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</si>
  <si>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</si>
  <si>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</si>
  <si>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</si>
  <si>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</si>
  <si>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</si>
  <si>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</si>
  <si>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</si>
  <si>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</si>
  <si>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</si>
  <si>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</si>
  <si>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</si>
  <si>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</si>
  <si>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</si>
  <si>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</si>
  <si>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</si>
  <si>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</si>
  <si>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</si>
  <si>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</si>
  <si>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</si>
  <si>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</si>
  <si>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</si>
  <si>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</si>
  <si>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Day</t>
  </si>
  <si>
    <t>Holiday</t>
  </si>
  <si>
    <t>Date</t>
  </si>
  <si>
    <t>Resource</t>
  </si>
  <si>
    <t>Sun</t>
  </si>
  <si>
    <t>Y</t>
  </si>
  <si>
    <t>Diwali</t>
  </si>
  <si>
    <t>Mon</t>
  </si>
  <si>
    <t>N</t>
  </si>
  <si>
    <t>Christmas</t>
  </si>
  <si>
    <t>Tue</t>
  </si>
  <si>
    <t>Wed</t>
  </si>
  <si>
    <t>Thu</t>
  </si>
  <si>
    <t>Fri</t>
  </si>
  <si>
    <t>Sat</t>
  </si>
  <si>
    <t>Time Line Chart</t>
  </si>
  <si>
    <t>Risk and issue</t>
  </si>
  <si>
    <t>Task</t>
  </si>
  <si>
    <t>Total</t>
  </si>
  <si>
    <t>High</t>
  </si>
  <si>
    <t>Medium</t>
  </si>
  <si>
    <t>Low</t>
  </si>
  <si>
    <t>Project Status</t>
  </si>
  <si>
    <t>Task not started even after plan start date</t>
  </si>
  <si>
    <t>In Progress even after end date</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</si>
</sst>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
    <numFmt numFmtId="165" formatCode="[$-14009]dd\ mmmm\ yyyy"/>
    <numFmt numFmtId="166" formatCode="#,##0.0;\-#,##0.0;\-"/>
    <numFmt numFmtId="167" formatCode="_ * #,##0.00_ ;_ * \-#,##0.00_ ;_ * &quot;-&quot;??_ ;_ @_ "/>
  </numFmts>
  <fonts count="27">
    <font>
      <sz val="11.0"/>
      <color theme="1"/>
      <name val="Calibri"/>
      <scheme val="minor"/>
    </font>
    <font>
      <b/>
      <sz val="11.0"/>
      <color theme="1"/>
      <name val="Calibri"/>
    </font>
    <font>
      <color theme="1"/>
      <name val="Calibri"/>
      <scheme val="minor"/>
    </font>
    <font>
      <b/>
      <sz val="11.0"/>
      <color rgb="FF000000"/>
      <name val="Calibri"/>
    </font>
    <font>
      <sz val="11.0"/>
      <color theme="1"/>
      <name val="Calibri"/>
    </font>
    <font>
      <sz val="11.0"/>
      <color rgb="FF000000"/>
      <name val="Calibri"/>
    </font>
    <font/>
    <font>
      <sz val="10.0"/>
      <color theme="1"/>
      <name val="Calibri"/>
    </font>
    <font>
      <i/>
      <sz val="10.0"/>
      <color theme="1"/>
      <name val="Calibri"/>
    </font>
    <font>
      <b/>
      <i/>
      <sz val="10.0"/>
      <color theme="1"/>
      <name val="Calibri"/>
    </font>
    <font>
      <b/>
      <sz val="10.0"/>
      <color theme="1"/>
      <name val="Calibri"/>
    </font>
    <font>
      <b/>
      <sz val="9.0"/>
      <color theme="1"/>
      <name val="Calibri"/>
    </font>
    <font>
      <b/>
      <sz val="10.0"/>
      <color rgb="FF000000"/>
      <name val="Calibri"/>
    </font>
    <font>
      <b/>
      <u/>
      <sz val="10.0"/>
      <color theme="1"/>
      <name val="Calibri"/>
    </font>
    <font>
      <sz val="10.0"/>
      <color rgb="FF000000"/>
      <name val="Calibri"/>
    </font>
    <font>
      <b/>
      <u/>
      <sz val="10.0"/>
      <color theme="1"/>
      <name val="Calibri"/>
    </font>
    <font>
      <b/>
      <sz val="10.0"/>
      <color rgb="FF000000"/>
      <name val="Arial"/>
    </font>
    <font>
      <b/>
      <u/>
      <sz val="11.0"/>
      <color theme="1"/>
      <name val="Calibri"/>
    </font>
    <font>
      <b/>
      <u/>
      <sz val="11.0"/>
      <color theme="1"/>
      <name val="Calibri"/>
    </font>
    <font>
      <b/>
      <u/>
      <sz val="10.0"/>
      <color theme="1"/>
      <name val="Calibri"/>
    </font>
    <font>
      <u/>
      <sz val="11.0"/>
      <color theme="10"/>
      <name val="Calibri"/>
    </font>
    <font>
      <b/>
      <i/>
      <sz val="10.0"/>
      <color rgb="FF000000"/>
      <name val="Calibri"/>
    </font>
    <font>
      <sz val="10.0"/>
      <color theme="1"/>
      <name val="Times New Roman"/>
    </font>
    <font>
      <i/>
      <sz val="10.0"/>
      <color theme="1"/>
      <name val="Times New Roman"/>
    </font>
    <font>
      <b/>
      <u/>
      <sz val="10.0"/>
      <color theme="1"/>
      <name val="Calibri"/>
    </font>
    <font>
      <sz val="10.0"/>
      <color rgb="FF538135"/>
      <name val="Calibri"/>
    </font>
    <font>
      <b/>
      <sz val="11.0"/>
      <color rgb="FFFFFFFF"/>
      <name val="Calibri"/>
    </font>
  </fonts>
  <fills count="11">
    <fill>
      <patternFill patternType="none"/>
    </fill>
    <fill>
      <patternFill patternType="lightGray"/>
    </fill>
    <fill>
      <patternFill patternType="solid">
        <fgColor rgb="FFD8D8D8"/>
        <bgColor rgb="FFD8D8D8"/>
      </patternFill>
    </fill>
    <fill>
      <patternFill patternType="solid">
        <fgColor theme="0"/>
        <bgColor theme="0"/>
      </patternFill>
    </fill>
    <fill>
      <patternFill patternType="solid">
        <fgColor theme="1"/>
        <bgColor theme="1"/>
      </patternFill>
    </fill>
    <fill>
      <patternFill patternType="solid">
        <fgColor rgb="FFE5B8B7"/>
        <bgColor rgb="FFE5B8B7"/>
      </patternFill>
    </fill>
    <fill>
      <patternFill patternType="solid">
        <fgColor rgb="FFF2F2F2"/>
        <bgColor rgb="FFF2F2F2"/>
      </patternFill>
    </fill>
    <fill>
      <patternFill patternType="solid">
        <fgColor rgb="FFD99594"/>
        <bgColor rgb="FFD99594"/>
      </patternFill>
    </fill>
    <fill>
      <patternFill patternType="solid">
        <fgColor rgb="FF0066CC"/>
        <bgColor rgb="FF0066CC"/>
      </patternFill>
    </fill>
    <fill>
      <patternFill patternType="solid">
        <fgColor theme="7"/>
        <bgColor theme="7"/>
      </patternFill>
    </fill>
    <fill>
      <patternFill patternType="solid">
        <fgColor rgb="FFFEF2CB"/>
        <bgColor rgb="FFFEF2CB"/>
      </patternFill>
    </fill>
  </fills>
  <borders count="90">
    <border/>
    <border>
      <left/>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medium">
        <color rgb="FFF79646"/>
      </left>
      <right style="medium">
        <color rgb="FFF79646"/>
      </right>
      <top style="medium">
        <color rgb="FFF79646"/>
      </top>
      <bottom style="medium">
        <color rgb="FFF79646"/>
      </bottom>
    </border>
    <border>
      <left style="medium">
        <color rgb="FFF79646"/>
      </left>
      <top style="medium">
        <color rgb="FFF79646"/>
      </top>
      <bottom style="medium">
        <color rgb="FFF79646"/>
      </bottom>
    </border>
    <border>
      <right style="medium">
        <color rgb="FFF79646"/>
      </right>
      <top style="medium">
        <color rgb="FFF79646"/>
      </top>
      <bottom style="medium">
        <color rgb="FFF79646"/>
      </bottom>
    </border>
    <border>
      <left style="medium">
        <color rgb="FFF79646"/>
      </left>
      <right style="medium">
        <color rgb="FFF79646"/>
      </right>
      <top/>
      <bottom style="medium">
        <color rgb="FFF79646"/>
      </bottom>
    </border>
    <border>
      <left/>
      <right style="medium">
        <color rgb="FFF79646"/>
      </right>
      <top style="medium">
        <color rgb="FFF79646"/>
      </top>
      <bottom style="medium">
        <color rgb="FFF79646"/>
      </bottom>
    </border>
    <border>
      <left style="medium">
        <color rgb="FFF79646"/>
      </left>
      <top/>
      <bottom style="medium">
        <color rgb="FFF79646"/>
      </bottom>
    </border>
    <border>
      <right style="medium">
        <color rgb="FFF79646"/>
      </right>
      <top/>
      <bottom style="medium">
        <color rgb="FFF79646"/>
      </bottom>
    </border>
    <border>
      <left/>
      <right style="medium">
        <color rgb="FFF79646"/>
      </right>
      <top/>
      <bottom style="medium">
        <color rgb="FFF79646"/>
      </bottom>
    </border>
    <border>
      <left style="medium">
        <color rgb="FFF79646"/>
      </left>
      <right style="medium">
        <color rgb="FFF79646"/>
      </right>
      <top/>
      <bottom/>
    </border>
    <border>
      <left/>
      <right style="medium">
        <color rgb="FFF79646"/>
      </right>
      <top/>
      <bottom/>
    </border>
    <border>
      <left style="medium">
        <color rgb="FFFF9933"/>
      </left>
      <right style="medium">
        <color rgb="FFFF9933"/>
      </right>
      <top style="medium">
        <color rgb="FFFF9933"/>
      </top>
      <bottom style="medium">
        <color rgb="FFFF9933"/>
      </bottom>
    </border>
    <border>
      <left style="medium">
        <color rgb="FFFF9933"/>
      </left>
      <top style="medium">
        <color rgb="FFFF9933"/>
      </top>
      <bottom style="medium">
        <color rgb="FFFF9933"/>
      </bottom>
    </border>
    <border>
      <top style="medium">
        <color rgb="FFFF9933"/>
      </top>
      <bottom style="medium">
        <color rgb="FFFF9933"/>
      </bottom>
    </border>
    <border>
      <right style="medium">
        <color rgb="FFFF9933"/>
      </right>
      <top style="medium">
        <color rgb="FFFF9933"/>
      </top>
      <bottom style="medium">
        <color rgb="FFFF9933"/>
      </bottom>
    </border>
    <border>
      <left/>
      <top/>
      <bottom/>
    </border>
    <border>
      <top/>
      <bottom/>
    </border>
    <border>
      <right/>
      <top/>
      <bottom/>
    </border>
    <border>
      <left style="medium">
        <color rgb="FFF79646"/>
      </left>
      <top/>
      <bottom/>
    </border>
    <border>
      <top style="medium">
        <color rgb="FFF79646"/>
      </top>
      <bottom style="medium">
        <color rgb="FFF79646"/>
      </bottom>
    </border>
    <border>
      <left style="medium">
        <color rgb="FFF79646"/>
      </left>
      <right style="medium">
        <color rgb="FFF79646"/>
      </right>
      <bottom style="medium">
        <color rgb="FFF79646"/>
      </bottom>
    </border>
    <border>
      <left style="thin">
        <color rgb="FF00338D"/>
      </left>
      <right style="thin">
        <color rgb="FF00338D"/>
      </right>
      <top style="thin">
        <color rgb="FF00338D"/>
      </top>
      <bottom style="thin">
        <color rgb="FF00338D"/>
      </bottom>
    </border>
    <border>
      <left style="medium">
        <color theme="5"/>
      </left>
      <top style="medium">
        <color theme="5"/>
      </top>
      <bottom style="medium">
        <color theme="5"/>
      </bottom>
    </border>
    <border>
      <top style="medium">
        <color theme="5"/>
      </top>
      <bottom style="medium">
        <color theme="5"/>
      </bottom>
    </border>
    <border>
      <right style="medium">
        <color theme="5"/>
      </right>
      <top style="medium">
        <color theme="5"/>
      </top>
      <bottom style="medium">
        <color theme="5"/>
      </bottom>
    </border>
    <border>
      <left/>
      <top style="medium">
        <color rgb="FFF79646"/>
      </top>
      <bottom/>
    </border>
    <border>
      <top style="medium">
        <color rgb="FFF79646"/>
      </top>
      <bottom/>
    </border>
    <border>
      <right/>
      <top style="medium">
        <color rgb="FFF79646"/>
      </top>
      <bottom/>
    </border>
    <border>
      <left/>
      <top/>
      <bottom style="medium">
        <color rgb="FFF79646"/>
      </bottom>
    </border>
    <border>
      <top/>
      <bottom style="medium">
        <color rgb="FFF79646"/>
      </bottom>
    </border>
    <border>
      <right/>
      <top/>
      <bottom style="medium">
        <color rgb="FFF79646"/>
      </bottom>
    </border>
    <border>
      <left style="medium">
        <color rgb="FFF79646"/>
      </left>
      <right style="medium">
        <color rgb="FFF79646"/>
      </right>
      <top style="medium">
        <color rgb="FFF79646"/>
      </top>
    </border>
    <border>
      <left style="medium">
        <color rgb="FFF79646"/>
      </left>
      <top style="medium">
        <color rgb="FFF79646"/>
      </top>
      <bottom style="medium">
        <color theme="5"/>
      </bottom>
    </border>
    <border>
      <top style="medium">
        <color rgb="FFF79646"/>
      </top>
      <bottom style="medium">
        <color theme="5"/>
      </bottom>
    </border>
    <border>
      <right style="medium">
        <color rgb="FFF79646"/>
      </right>
      <top style="medium">
        <color rgb="FFF79646"/>
      </top>
      <bottom style="medium">
        <color theme="5"/>
      </bottom>
    </border>
    <border>
      <left style="medium">
        <color rgb="FFF79646"/>
      </left>
      <top style="medium">
        <color theme="5"/>
      </top>
      <bottom style="medium">
        <color theme="5"/>
      </bottom>
    </border>
    <border>
      <right style="medium">
        <color rgb="FFF79646"/>
      </right>
      <top style="medium">
        <color theme="5"/>
      </top>
      <bottom style="medium">
        <color theme="5"/>
      </bottom>
    </border>
    <border>
      <left style="medium">
        <color rgb="FFF79646"/>
      </left>
      <top style="medium">
        <color rgb="FFF79646"/>
      </top>
      <bottom/>
    </border>
    <border>
      <right style="medium">
        <color rgb="FFF79646"/>
      </right>
      <top style="medium">
        <color rgb="FFF79646"/>
      </top>
      <bottom/>
    </border>
    <border>
      <left style="medium">
        <color rgb="FFF79646"/>
      </left>
      <right/>
      <top style="medium">
        <color rgb="FFF79646"/>
      </top>
    </border>
    <border>
      <left style="medium">
        <color rgb="FFF79646"/>
      </left>
      <right/>
      <bottom style="medium">
        <color rgb="FFF79646"/>
      </bottom>
    </border>
    <border>
      <left style="medium">
        <color rgb="FFF79646"/>
      </left>
      <right/>
      <top style="medium">
        <color rgb="FFF79646"/>
      </top>
      <bottom style="medium">
        <color rgb="FFF79646"/>
      </bottom>
    </border>
    <border>
      <left/>
      <top style="medium">
        <color rgb="FFF79646"/>
      </top>
      <bottom style="medium">
        <color theme="5"/>
      </bottom>
    </border>
    <border>
      <left style="medium">
        <color theme="5"/>
      </left>
      <top/>
      <bottom style="medium">
        <color theme="5"/>
      </bottom>
    </border>
    <border>
      <top/>
      <bottom style="medium">
        <color theme="5"/>
      </bottom>
    </border>
    <border>
      <right style="medium">
        <color rgb="FF000000"/>
      </right>
      <top/>
      <bottom style="medium">
        <color theme="5"/>
      </bottom>
    </border>
    <border>
      <left style="medium">
        <color theme="5"/>
      </left>
      <right style="medium">
        <color theme="5"/>
      </right>
      <top style="medium">
        <color theme="5"/>
      </top>
      <bottom style="medium">
        <color theme="5"/>
      </bottom>
    </border>
    <border>
      <left/>
      <top style="medium">
        <color theme="5"/>
      </top>
      <bottom/>
    </border>
    <border>
      <top style="medium">
        <color theme="5"/>
      </top>
      <bottom/>
    </border>
    <border>
      <right style="medium">
        <color theme="5"/>
      </right>
      <top style="medium">
        <color theme="5"/>
      </top>
      <bottom/>
    </border>
    <border>
      <left/>
      <top style="medium">
        <color theme="5"/>
      </top>
      <bottom style="medium">
        <color theme="5"/>
      </bottom>
    </border>
    <border>
      <left style="medium">
        <color theme="5"/>
      </left>
      <right style="thin">
        <color rgb="FF00338D"/>
      </right>
      <top style="medium">
        <color theme="5"/>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style="medium">
        <color theme="5"/>
      </right>
      <top style="medium">
        <color theme="5"/>
      </top>
      <bottom style="medium">
        <color theme="5"/>
      </bottom>
    </border>
    <border>
      <left style="medium">
        <color theme="5"/>
      </left>
      <top style="medium">
        <color theme="5"/>
      </top>
      <bottom/>
    </border>
    <border>
      <left style="medium">
        <color rgb="FFF79646"/>
      </left>
      <top style="medium">
        <color rgb="FFF79646"/>
      </top>
    </border>
    <border>
      <right style="medium">
        <color rgb="FFF79646"/>
      </right>
      <top style="medium">
        <color rgb="FFF79646"/>
      </top>
    </border>
    <border>
      <right style="medium">
        <color rgb="FFF79646"/>
      </right>
      <bottom style="medium">
        <color rgb="FFF79646"/>
      </bottom>
    </border>
    <border>
      <left style="medium">
        <color theme="5"/>
      </left>
      <bottom style="medium">
        <color theme="5"/>
      </bottom>
    </border>
    <border>
      <bottom style="medium">
        <color theme="5"/>
      </bottom>
    </border>
    <border>
      <right style="medium">
        <color theme="5"/>
      </right>
      <bottom style="medium">
        <color theme="5"/>
      </bottom>
    </border>
    <border>
      <left style="medium">
        <color theme="5"/>
      </left>
      <top style="medium">
        <color theme="5"/>
      </top>
    </border>
    <border>
      <right style="medium">
        <color theme="5"/>
      </right>
      <top style="medium">
        <color theme="5"/>
      </top>
    </border>
    <border>
      <right style="medium">
        <color rgb="FFF79646"/>
      </right>
    </border>
    <border>
      <left style="medium">
        <color rgb="FFF79646"/>
      </left>
      <right style="medium">
        <color theme="5"/>
      </right>
      <top style="medium">
        <color rgb="FFF79646"/>
      </top>
    </border>
    <border>
      <left style="medium">
        <color rgb="FFF79646"/>
      </left>
      <right style="medium">
        <color theme="5"/>
      </right>
      <bottom style="medium">
        <color rgb="FFF79646"/>
      </bottom>
    </border>
    <border>
      <left style="medium">
        <color rgb="FFF79646"/>
      </left>
      <right style="medium">
        <color rgb="FFF79646"/>
      </right>
    </border>
    <border>
      <left style="medium">
        <color rgb="FFF79646"/>
      </left>
      <right style="medium">
        <color theme="5"/>
      </right>
    </border>
    <border>
      <left style="medium">
        <color theme="5"/>
      </left>
    </border>
    <border>
      <right style="medium">
        <color theme="5"/>
      </right>
    </border>
    <border>
      <bottom style="medium">
        <color rgb="FFF79646"/>
      </bottom>
    </border>
    <border>
      <left style="medium">
        <color rgb="FFFF9933"/>
      </left>
      <right style="medium">
        <color rgb="FFF79646"/>
      </right>
      <top style="medium">
        <color rgb="FFFF9933"/>
      </top>
    </border>
    <border>
      <right style="medium">
        <color rgb="FFF79646"/>
      </right>
      <top style="medium">
        <color rgb="FFFF9933"/>
      </top>
    </border>
    <border>
      <top style="medium">
        <color rgb="FFFF9933"/>
      </top>
    </border>
    <border>
      <left style="medium">
        <color theme="5"/>
      </left>
      <top style="medium">
        <color rgb="FFFF9933"/>
      </top>
    </border>
    <border>
      <right style="medium">
        <color rgb="FFFF9933"/>
      </right>
      <top style="medium">
        <color rgb="FFFF9933"/>
      </top>
    </border>
    <border>
      <left style="medium">
        <color rgb="FFFF9933"/>
      </left>
      <right style="medium">
        <color rgb="FFFF9933"/>
      </right>
      <top style="medium">
        <color rgb="FFFF9933"/>
      </top>
    </border>
    <border>
      <left style="medium">
        <color rgb="FFFF9933"/>
      </left>
      <top style="medium">
        <color rgb="FFFF9933"/>
      </top>
    </border>
    <border>
      <left style="medium">
        <color rgb="FFFF9933"/>
      </left>
      <right style="medium">
        <color rgb="FFFF9933"/>
      </right>
      <bottom style="medium">
        <color rgb="FFFF9933"/>
      </bottom>
    </border>
    <border>
      <left style="medium">
        <color rgb="FFFF9933"/>
      </left>
      <bottom style="medium">
        <color rgb="FFFF9933"/>
      </bottom>
    </border>
    <border>
      <right style="medium">
        <color rgb="FFFF9933"/>
      </right>
      <bottom style="medium">
        <color rgb="FFFF9933"/>
      </bottom>
    </border>
    <border>
      <left style="thin">
        <color rgb="FFC0C0C0"/>
      </left>
      <right style="thin">
        <color rgb="FFC0C0C0"/>
      </right>
      <top style="thin">
        <color rgb="FFC0C0C0"/>
      </top>
      <bottom style="thin">
        <color rgb="FFC0C0C0"/>
      </bottom>
    </border>
    <border>
      <left style="thin">
        <color rgb="FFC0C0C0"/>
      </left>
      <right style="thin">
        <color rgb="FFC0C0C0"/>
      </right>
      <top/>
      <bottom/>
    </border>
  </borders>
  <cellStyleXfs count="1">
    <xf borderId="0" fillId="0" fontId="0" numFmtId="0" applyAlignment="1" applyFont="1"/>
  </cellStyleXfs>
  <cellXfs count="255">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vertical="center"/>
    </xf>
    <xf borderId="0" fillId="0" fontId="4" numFmtId="0" xfId="0" applyAlignment="1" applyFont="1">
      <alignment shrinkToFit="0" vertical="center" wrapText="1"/>
    </xf>
    <xf borderId="0" fillId="0" fontId="5" numFmtId="0" xfId="0" applyAlignment="1" applyFont="1">
      <alignment vertical="center"/>
    </xf>
    <xf borderId="0" fillId="0" fontId="4" numFmtId="0" xfId="0" applyFont="1"/>
    <xf borderId="1" fillId="2" fontId="4" numFmtId="0" xfId="0" applyBorder="1" applyFill="1" applyFont="1"/>
    <xf borderId="1" fillId="2" fontId="4" numFmtId="164" xfId="0" applyAlignment="1" applyBorder="1" applyFont="1" applyNumberFormat="1">
      <alignment vertical="center"/>
    </xf>
    <xf borderId="2" fillId="2" fontId="1" numFmtId="0" xfId="0" applyAlignment="1" applyBorder="1" applyFont="1">
      <alignment vertical="center"/>
    </xf>
    <xf borderId="2" fillId="2" fontId="4" numFmtId="0" xfId="0" applyAlignment="1" applyBorder="1" applyFont="1">
      <alignment vertical="center"/>
    </xf>
    <xf borderId="2" fillId="3" fontId="4" numFmtId="17" xfId="0" applyAlignment="1" applyBorder="1" applyFill="1" applyFont="1" applyNumberFormat="1">
      <alignment horizontal="center" vertical="center"/>
    </xf>
    <xf borderId="3" fillId="2" fontId="1" numFmtId="0" xfId="0" applyAlignment="1" applyBorder="1" applyFont="1">
      <alignment horizontal="left" shrinkToFit="0" vertical="center" wrapText="1"/>
    </xf>
    <xf borderId="4" fillId="2" fontId="1" numFmtId="0" xfId="0" applyAlignment="1" applyBorder="1" applyFont="1">
      <alignment horizontal="center" vertical="center"/>
    </xf>
    <xf borderId="5" fillId="0" fontId="6" numFmtId="0" xfId="0" applyBorder="1" applyFont="1"/>
    <xf borderId="4" fillId="2" fontId="4" numFmtId="0" xfId="0" applyAlignment="1" applyBorder="1" applyFont="1">
      <alignment vertical="center"/>
    </xf>
    <xf borderId="3" fillId="2" fontId="1" numFmtId="0" xfId="0" applyAlignment="1" applyBorder="1" applyFont="1">
      <alignment horizontal="center" vertical="center"/>
    </xf>
    <xf borderId="1" fillId="3" fontId="4" numFmtId="0" xfId="0" applyBorder="1" applyFont="1"/>
    <xf borderId="1" fillId="3" fontId="4" numFmtId="164" xfId="0" applyAlignment="1" applyBorder="1" applyFont="1" applyNumberFormat="1">
      <alignment vertical="center"/>
    </xf>
    <xf borderId="6" fillId="3" fontId="7" numFmtId="0" xfId="0" applyAlignment="1" applyBorder="1" applyFont="1">
      <alignment vertical="center"/>
    </xf>
    <xf borderId="7" fillId="3" fontId="8" numFmtId="0" xfId="0" applyAlignment="1" applyBorder="1" applyFont="1">
      <alignment horizontal="left" vertical="center"/>
    </xf>
    <xf borderId="8" fillId="0" fontId="6" numFmtId="0" xfId="0" applyBorder="1" applyFont="1"/>
    <xf borderId="9" fillId="3" fontId="7" numFmtId="0" xfId="0" applyAlignment="1" applyBorder="1" applyFont="1">
      <alignment vertical="center"/>
    </xf>
    <xf borderId="10" fillId="3" fontId="9" numFmtId="0" xfId="0" applyAlignment="1" applyBorder="1" applyFont="1">
      <alignment horizontal="left" vertical="center"/>
    </xf>
    <xf borderId="11" fillId="3" fontId="8" numFmtId="0" xfId="0" applyAlignment="1" applyBorder="1" applyFont="1">
      <alignment horizontal="left" vertical="center"/>
    </xf>
    <xf borderId="12" fillId="0" fontId="6" numFmtId="0" xfId="0" applyBorder="1" applyFont="1"/>
    <xf borderId="9" fillId="3" fontId="7" numFmtId="0" xfId="0" applyAlignment="1" applyBorder="1" applyFont="1">
      <alignment horizontal="left" shrinkToFit="0" vertical="center" wrapText="1"/>
    </xf>
    <xf borderId="1" fillId="3" fontId="7" numFmtId="0" xfId="0" applyAlignment="1" applyBorder="1" applyFont="1">
      <alignment vertical="center"/>
    </xf>
    <xf borderId="1" fillId="3" fontId="8" numFmtId="0" xfId="0" applyAlignment="1" applyBorder="1" applyFont="1">
      <alignment horizontal="center" vertical="center"/>
    </xf>
    <xf borderId="6" fillId="3" fontId="8" numFmtId="0" xfId="0" applyAlignment="1" applyBorder="1" applyFont="1">
      <alignment vertical="center"/>
    </xf>
    <xf borderId="10" fillId="3" fontId="8" numFmtId="0" xfId="0" applyAlignment="1" applyBorder="1" applyFont="1">
      <alignment horizontal="left" vertical="center"/>
    </xf>
    <xf borderId="9" fillId="3" fontId="8" numFmtId="0" xfId="0" applyAlignment="1" applyBorder="1" applyFont="1">
      <alignment vertical="center"/>
    </xf>
    <xf borderId="13" fillId="3" fontId="8" numFmtId="0" xfId="0" applyAlignment="1" applyBorder="1" applyFont="1">
      <alignment horizontal="left" vertical="center"/>
    </xf>
    <xf borderId="14" fillId="3" fontId="8" numFmtId="0" xfId="0" applyAlignment="1" applyBorder="1" applyFont="1">
      <alignment vertical="center"/>
    </xf>
    <xf borderId="15" fillId="3" fontId="8" numFmtId="0" xfId="0" applyAlignment="1" applyBorder="1" applyFont="1">
      <alignment horizontal="left" vertical="center"/>
    </xf>
    <xf borderId="16" fillId="3" fontId="8" numFmtId="0" xfId="0" applyAlignment="1" applyBorder="1" applyFont="1">
      <alignment vertical="center"/>
    </xf>
    <xf borderId="16" fillId="3" fontId="8" numFmtId="0" xfId="0" applyAlignment="1" applyBorder="1" applyFont="1">
      <alignment horizontal="left" vertical="center"/>
    </xf>
    <xf borderId="10" fillId="3" fontId="8" numFmtId="0" xfId="0" applyAlignment="1" applyBorder="1" applyFont="1">
      <alignment vertical="center"/>
    </xf>
    <xf borderId="9" fillId="4" fontId="8" numFmtId="0" xfId="0" applyAlignment="1" applyBorder="1" applyFill="1" applyFont="1">
      <alignment vertical="center"/>
    </xf>
    <xf borderId="13" fillId="4" fontId="8" numFmtId="0" xfId="0" applyAlignment="1" applyBorder="1" applyFont="1">
      <alignment vertical="center"/>
    </xf>
    <xf borderId="13" fillId="3" fontId="8" numFmtId="0" xfId="0" applyAlignment="1" applyBorder="1" applyFont="1">
      <alignment vertical="center"/>
    </xf>
    <xf quotePrefix="1" borderId="9" fillId="3" fontId="8" numFmtId="165" xfId="0" applyAlignment="1" applyBorder="1" applyFont="1" applyNumberFormat="1">
      <alignment horizontal="left" vertical="center"/>
    </xf>
    <xf borderId="13" fillId="3" fontId="8" numFmtId="165" xfId="0" applyAlignment="1" applyBorder="1" applyFont="1" applyNumberFormat="1">
      <alignment horizontal="left" vertical="center"/>
    </xf>
    <xf borderId="1" fillId="3" fontId="10" numFmtId="0" xfId="0" applyBorder="1" applyFont="1"/>
    <xf borderId="17" fillId="3" fontId="8" numFmtId="0" xfId="0" applyAlignment="1" applyBorder="1" applyFont="1">
      <alignment vertical="center"/>
    </xf>
    <xf borderId="18" fillId="0" fontId="6" numFmtId="0" xfId="0" applyBorder="1" applyFont="1"/>
    <xf borderId="19" fillId="0" fontId="6" numFmtId="0" xfId="0" applyBorder="1" applyFont="1"/>
    <xf borderId="1" fillId="3" fontId="10" numFmtId="0" xfId="0" applyAlignment="1" applyBorder="1" applyFont="1">
      <alignment vertical="center"/>
    </xf>
    <xf quotePrefix="1" borderId="1" fillId="3" fontId="7" numFmtId="0" xfId="0" applyAlignment="1" applyBorder="1" applyFont="1">
      <alignment horizontal="left" vertical="center"/>
    </xf>
    <xf borderId="1" fillId="3" fontId="7" numFmtId="0" xfId="0" applyAlignment="1" applyBorder="1" applyFont="1">
      <alignment horizontal="left" vertical="center"/>
    </xf>
    <xf borderId="1" fillId="3" fontId="11" numFmtId="0" xfId="0" applyAlignment="1" applyBorder="1" applyFont="1">
      <alignment vertical="center"/>
    </xf>
    <xf borderId="20" fillId="3" fontId="7" numFmtId="0" xfId="0" applyAlignment="1" applyBorder="1" applyFont="1">
      <alignment horizontal="left" shrinkToFit="0" vertical="center" wrapText="1"/>
    </xf>
    <xf borderId="21" fillId="0" fontId="6" numFmtId="0" xfId="0" applyBorder="1" applyFont="1"/>
    <xf borderId="22" fillId="0" fontId="6" numFmtId="0" xfId="0" applyBorder="1" applyFont="1"/>
    <xf borderId="1" fillId="3" fontId="1" numFmtId="0" xfId="0" applyBorder="1" applyFont="1"/>
    <xf borderId="20" fillId="3" fontId="7" numFmtId="0" xfId="0" applyAlignment="1" applyBorder="1" applyFont="1">
      <alignment horizontal="left" shrinkToFit="0" vertical="top" wrapText="1"/>
    </xf>
    <xf borderId="23" fillId="5" fontId="12" numFmtId="0" xfId="0" applyAlignment="1" applyBorder="1" applyFill="1" applyFont="1">
      <alignment horizontal="left" vertical="center"/>
    </xf>
    <xf borderId="0" fillId="0" fontId="10" numFmtId="0" xfId="0" applyAlignment="1" applyFont="1">
      <alignment vertical="center"/>
    </xf>
    <xf borderId="0" fillId="0" fontId="13" numFmtId="0" xfId="0" applyAlignment="1" applyFont="1">
      <alignment vertical="center"/>
    </xf>
    <xf borderId="6" fillId="0" fontId="14" numFmtId="0" xfId="0" applyAlignment="1" applyBorder="1" applyFont="1">
      <alignment shrinkToFit="0" vertical="center" wrapText="1"/>
    </xf>
    <xf borderId="7" fillId="0" fontId="14" numFmtId="0" xfId="0" applyAlignment="1" applyBorder="1" applyFont="1">
      <alignment horizontal="left" shrinkToFit="0" vertical="center" wrapText="1"/>
    </xf>
    <xf borderId="24" fillId="0" fontId="6" numFmtId="0" xfId="0" applyBorder="1" applyFont="1"/>
    <xf borderId="25" fillId="0" fontId="14" numFmtId="0" xfId="0" applyAlignment="1" applyBorder="1" applyFont="1">
      <alignment shrinkToFit="0" vertical="center" wrapText="1"/>
    </xf>
    <xf borderId="0" fillId="0" fontId="15" numFmtId="0" xfId="0" applyFont="1"/>
    <xf borderId="7" fillId="0" fontId="12" numFmtId="0" xfId="0" applyAlignment="1" applyBorder="1" applyFont="1">
      <alignment horizontal="center" shrinkToFit="0" vertical="center" wrapText="1"/>
    </xf>
    <xf borderId="7" fillId="0" fontId="12" numFmtId="0" xfId="0" applyAlignment="1" applyBorder="1" applyFont="1">
      <alignment horizontal="left" shrinkToFit="0" vertical="center" wrapText="1"/>
    </xf>
    <xf borderId="6" fillId="0" fontId="12" numFmtId="0" xfId="0" applyAlignment="1" applyBorder="1" applyFont="1">
      <alignment shrinkToFit="0" vertical="center" wrapText="1"/>
    </xf>
    <xf borderId="26" fillId="0" fontId="16" numFmtId="0" xfId="0" applyAlignment="1" applyBorder="1" applyFont="1">
      <alignment shrinkToFit="0" vertical="center" wrapText="1"/>
    </xf>
    <xf borderId="6" fillId="0" fontId="14" numFmtId="0" xfId="0" applyAlignment="1" applyBorder="1" applyFont="1">
      <alignment horizontal="left" shrinkToFit="0" vertical="center" wrapText="1"/>
    </xf>
    <xf borderId="1" fillId="3" fontId="17" numFmtId="0" xfId="0" applyBorder="1" applyFont="1"/>
    <xf borderId="1" fillId="3" fontId="7" numFmtId="0" xfId="0" applyBorder="1" applyFont="1"/>
    <xf borderId="7" fillId="0" fontId="14" numFmtId="0" xfId="0" applyAlignment="1" applyBorder="1" applyFont="1">
      <alignment horizontal="left" shrinkToFit="0" vertical="top" wrapText="1"/>
    </xf>
    <xf borderId="27" fillId="0" fontId="12" numFmtId="0" xfId="0" applyAlignment="1" applyBorder="1" applyFont="1">
      <alignment horizontal="left" shrinkToFit="0" vertical="top" wrapText="1"/>
    </xf>
    <xf borderId="28" fillId="0" fontId="6" numFmtId="0" xfId="0" applyBorder="1" applyFont="1"/>
    <xf borderId="29" fillId="0" fontId="6" numFmtId="0" xfId="0" applyBorder="1" applyFont="1"/>
    <xf borderId="0" fillId="0" fontId="14" numFmtId="0" xfId="0" applyAlignment="1" applyFont="1">
      <alignment horizontal="left" vertical="center"/>
    </xf>
    <xf borderId="27" fillId="0" fontId="14" numFmtId="0" xfId="0" applyAlignment="1" applyBorder="1" applyFont="1">
      <alignment horizontal="left" shrinkToFit="0" vertical="center" wrapText="1"/>
    </xf>
    <xf borderId="20" fillId="3" fontId="18" numFmtId="0" xfId="0" applyBorder="1" applyFont="1"/>
    <xf borderId="7" fillId="0" fontId="12" numFmtId="0" xfId="0" applyAlignment="1" applyBorder="1" applyFont="1">
      <alignment horizontal="left" shrinkToFit="0" vertical="top" wrapText="1"/>
    </xf>
    <xf borderId="7" fillId="5" fontId="12" numFmtId="0" xfId="0" applyAlignment="1" applyBorder="1" applyFont="1">
      <alignment horizontal="left" vertical="center"/>
    </xf>
    <xf borderId="30" fillId="3" fontId="4" numFmtId="0" xfId="0" applyAlignment="1" applyBorder="1" applyFont="1">
      <alignment horizontal="left" shrinkToFit="0" vertical="top" wrapText="1"/>
    </xf>
    <xf borderId="31" fillId="0" fontId="6" numFmtId="0" xfId="0" applyBorder="1" applyFont="1"/>
    <xf borderId="32" fillId="0" fontId="6" numFmtId="0" xfId="0" applyBorder="1" applyFont="1"/>
    <xf borderId="1" fillId="3" fontId="19" numFmtId="0" xfId="0" applyBorder="1" applyFont="1"/>
    <xf borderId="33" fillId="3" fontId="10" numFmtId="0" xfId="0" applyAlignment="1" applyBorder="1" applyFont="1">
      <alignment horizontal="left" shrinkToFit="0" vertical="top" wrapText="1"/>
    </xf>
    <xf borderId="34" fillId="0" fontId="6" numFmtId="0" xfId="0" applyBorder="1" applyFont="1"/>
    <xf borderId="35" fillId="0" fontId="6" numFmtId="0" xfId="0" applyBorder="1" applyFont="1"/>
    <xf borderId="1" fillId="3" fontId="20" numFmtId="0" xfId="0" applyBorder="1" applyFont="1"/>
    <xf borderId="1" fillId="3" fontId="4" numFmtId="0" xfId="0" applyAlignment="1" applyBorder="1" applyFont="1">
      <alignment horizontal="left"/>
    </xf>
    <xf borderId="7" fillId="0" fontId="14" numFmtId="0" xfId="0" applyAlignment="1" applyBorder="1" applyFont="1">
      <alignment shrinkToFit="0" vertical="top" wrapText="1"/>
    </xf>
    <xf borderId="7" fillId="5" fontId="12" numFmtId="0" xfId="0" applyAlignment="1" applyBorder="1" applyFont="1">
      <alignment horizontal="left" shrinkToFit="0" vertical="center" wrapText="1"/>
    </xf>
    <xf borderId="6" fillId="5" fontId="12" numFmtId="0" xfId="0" applyAlignment="1" applyBorder="1" applyFont="1">
      <alignment vertical="center"/>
    </xf>
    <xf borderId="7" fillId="0" fontId="14" numFmtId="0" xfId="0" applyAlignment="1" applyBorder="1" applyFont="1">
      <alignment shrinkToFit="0" vertical="center" wrapText="1"/>
    </xf>
    <xf borderId="36" fillId="0" fontId="21" numFmtId="0" xfId="0" applyAlignment="1" applyBorder="1" applyFont="1">
      <alignment horizontal="center" shrinkToFit="0" vertical="center" wrapText="1"/>
    </xf>
    <xf borderId="37" fillId="0" fontId="12" numFmtId="0" xfId="0" applyAlignment="1" applyBorder="1" applyFont="1">
      <alignment horizontal="left" shrinkToFit="0" vertical="center" wrapText="1"/>
    </xf>
    <xf borderId="38" fillId="0" fontId="6" numFmtId="0" xfId="0" applyBorder="1" applyFont="1"/>
    <xf borderId="39" fillId="0" fontId="6" numFmtId="0" xfId="0" applyBorder="1" applyFont="1"/>
    <xf borderId="25" fillId="0" fontId="6" numFmtId="0" xfId="0" applyBorder="1" applyFont="1"/>
    <xf borderId="40" fillId="0" fontId="14" numFmtId="0" xfId="0" applyAlignment="1" applyBorder="1" applyFont="1">
      <alignment horizontal="left" shrinkToFit="0" vertical="center" wrapText="1"/>
    </xf>
    <xf borderId="41" fillId="0" fontId="6" numFmtId="0" xfId="0" applyBorder="1" applyFont="1"/>
    <xf borderId="7" fillId="3" fontId="12" numFmtId="0" xfId="0" applyAlignment="1" applyBorder="1" applyFont="1">
      <alignment horizontal="left" vertical="center"/>
    </xf>
    <xf borderId="8" fillId="0" fontId="14" numFmtId="0" xfId="0" applyAlignment="1" applyBorder="1" applyFont="1">
      <alignment shrinkToFit="0" vertical="center" wrapText="1"/>
    </xf>
    <xf borderId="8" fillId="0" fontId="14" numFmtId="0" xfId="0" applyAlignment="1" applyBorder="1" applyFont="1">
      <alignment horizontal="left" shrinkToFit="0" vertical="center" wrapText="1"/>
    </xf>
    <xf borderId="7" fillId="3" fontId="12" numFmtId="0" xfId="0" applyAlignment="1" applyBorder="1" applyFont="1">
      <alignment horizontal="left" shrinkToFit="0" vertical="center" wrapText="1"/>
    </xf>
    <xf borderId="7" fillId="3" fontId="14" numFmtId="0" xfId="0" applyAlignment="1" applyBorder="1" applyFont="1">
      <alignment horizontal="left" shrinkToFit="0" vertical="center" wrapText="1"/>
    </xf>
    <xf borderId="0" fillId="0" fontId="22" numFmtId="0" xfId="0" applyAlignment="1" applyFont="1">
      <alignment shrinkToFit="0" vertical="center" wrapText="1"/>
    </xf>
    <xf borderId="6" fillId="0" fontId="12" numFmtId="0" xfId="0" applyAlignment="1" applyBorder="1" applyFont="1">
      <alignment horizontal="center" shrinkToFit="0" vertical="center" wrapText="1"/>
    </xf>
    <xf borderId="8" fillId="0" fontId="12" numFmtId="0" xfId="0" applyAlignment="1" applyBorder="1" applyFont="1">
      <alignment horizontal="center" shrinkToFit="0" vertical="center" wrapText="1"/>
    </xf>
    <xf borderId="7" fillId="3" fontId="14" numFmtId="0" xfId="0" applyAlignment="1" applyBorder="1" applyFont="1">
      <alignment horizontal="left" shrinkToFit="0" vertical="top" wrapText="1"/>
    </xf>
    <xf borderId="7" fillId="3" fontId="14" numFmtId="0" xfId="0" applyAlignment="1" applyBorder="1" applyFont="1">
      <alignment vertical="center"/>
    </xf>
    <xf borderId="7" fillId="0" fontId="12" numFmtId="0" xfId="0" applyAlignment="1" applyBorder="1" applyFont="1">
      <alignment shrinkToFit="0" vertical="center" wrapText="1"/>
    </xf>
    <xf borderId="20" fillId="3" fontId="12" numFmtId="0" xfId="0" applyAlignment="1" applyBorder="1" applyFont="1">
      <alignment horizontal="left" vertical="center"/>
    </xf>
    <xf borderId="7" fillId="3" fontId="14" numFmtId="0" xfId="0" applyAlignment="1" applyBorder="1" applyFont="1">
      <alignment horizontal="left" vertical="center"/>
    </xf>
    <xf borderId="42" fillId="3" fontId="12" numFmtId="0" xfId="0" applyAlignment="1" applyBorder="1" applyFont="1">
      <alignment horizontal="left" vertical="center"/>
    </xf>
    <xf borderId="43" fillId="0" fontId="6" numFmtId="0" xfId="0" applyBorder="1" applyFont="1"/>
    <xf borderId="27" fillId="0" fontId="12" numFmtId="0" xfId="0" applyAlignment="1" applyBorder="1" applyFont="1">
      <alignment horizontal="left" shrinkToFit="0" vertical="center" wrapText="1"/>
    </xf>
    <xf borderId="27" fillId="0" fontId="10" numFmtId="0" xfId="0" applyAlignment="1" applyBorder="1" applyFont="1">
      <alignment horizontal="left" shrinkToFit="0" vertical="center" wrapText="1"/>
    </xf>
    <xf borderId="27" fillId="5" fontId="12" numFmtId="0" xfId="0" applyAlignment="1" applyBorder="1" applyFont="1">
      <alignment horizontal="left" vertical="center"/>
    </xf>
    <xf borderId="11" fillId="3" fontId="14" numFmtId="0" xfId="0" applyAlignment="1" applyBorder="1" applyFont="1">
      <alignment horizontal="left" shrinkToFit="0" vertical="center" wrapText="1"/>
    </xf>
    <xf borderId="44" fillId="5" fontId="12" numFmtId="0" xfId="0" applyAlignment="1" applyBorder="1" applyFont="1">
      <alignment horizontal="center" vertical="center"/>
    </xf>
    <xf borderId="45" fillId="0" fontId="6" numFmtId="0" xfId="0" applyBorder="1" applyFont="1"/>
    <xf borderId="24" fillId="0" fontId="14" numFmtId="0" xfId="0" applyAlignment="1" applyBorder="1" applyFont="1">
      <alignment horizontal="left" shrinkToFit="0" vertical="center" wrapText="1"/>
    </xf>
    <xf borderId="46" fillId="5" fontId="12" numFmtId="0" xfId="0" applyAlignment="1" applyBorder="1" applyFont="1">
      <alignment vertical="center"/>
    </xf>
    <xf borderId="47" fillId="3" fontId="12" numFmtId="0" xfId="0" applyAlignment="1" applyBorder="1" applyFont="1">
      <alignment horizontal="left" vertical="center"/>
    </xf>
    <xf borderId="1" fillId="3" fontId="14" numFmtId="0" xfId="0" applyAlignment="1" applyBorder="1" applyFont="1">
      <alignment horizontal="left" shrinkToFit="0" vertical="center" wrapText="1"/>
    </xf>
    <xf borderId="48" fillId="5" fontId="12" numFmtId="0" xfId="0" applyAlignment="1" applyBorder="1" applyFont="1">
      <alignment horizontal="left" vertical="center"/>
    </xf>
    <xf borderId="49" fillId="0" fontId="6" numFmtId="0" xfId="0" applyBorder="1" applyFont="1"/>
    <xf borderId="50" fillId="0" fontId="6" numFmtId="0" xfId="0" applyBorder="1" applyFont="1"/>
    <xf borderId="51" fillId="5" fontId="12" numFmtId="0" xfId="0" applyAlignment="1" applyBorder="1" applyFont="1">
      <alignment horizontal="left" vertical="center"/>
    </xf>
    <xf borderId="9" fillId="3" fontId="7" numFmtId="0" xfId="0" applyAlignment="1" applyBorder="1" applyFont="1">
      <alignment horizontal="left" vertical="center"/>
    </xf>
    <xf borderId="33" fillId="3" fontId="12" numFmtId="0" xfId="0" applyAlignment="1" applyBorder="1" applyFont="1">
      <alignment horizontal="left" vertical="center"/>
    </xf>
    <xf borderId="27" fillId="3" fontId="7" numFmtId="166" xfId="0" applyAlignment="1" applyBorder="1" applyFont="1" applyNumberFormat="1">
      <alignment horizontal="left" shrinkToFit="0" vertical="center" wrapText="1"/>
    </xf>
    <xf borderId="51" fillId="3" fontId="10" numFmtId="166" xfId="0" applyAlignment="1" applyBorder="1" applyFont="1" applyNumberFormat="1">
      <alignment shrinkToFit="0" vertical="center" wrapText="1"/>
    </xf>
    <xf borderId="52" fillId="3" fontId="7" numFmtId="166" xfId="0" applyAlignment="1" applyBorder="1" applyFont="1" applyNumberFormat="1">
      <alignment horizontal="left" shrinkToFit="0" vertical="center" wrapText="1"/>
    </xf>
    <xf borderId="53" fillId="0" fontId="6" numFmtId="0" xfId="0" applyBorder="1" applyFont="1"/>
    <xf borderId="54" fillId="0" fontId="6" numFmtId="0" xfId="0" applyBorder="1" applyFont="1"/>
    <xf borderId="55" fillId="3" fontId="7" numFmtId="166" xfId="0" applyAlignment="1" applyBorder="1" applyFont="1" applyNumberFormat="1">
      <alignment horizontal="left" shrinkToFit="0" vertical="center" wrapText="1"/>
    </xf>
    <xf borderId="56" fillId="6" fontId="10" numFmtId="166" xfId="0" applyAlignment="1" applyBorder="1" applyFill="1" applyFont="1" applyNumberFormat="1">
      <alignment shrinkToFit="0" vertical="center" wrapText="1"/>
    </xf>
    <xf borderId="51" fillId="3" fontId="7" numFmtId="166" xfId="0" applyAlignment="1" applyBorder="1" applyFont="1" applyNumberFormat="1">
      <alignment shrinkToFit="0" vertical="center" wrapText="1"/>
    </xf>
    <xf borderId="1" fillId="3" fontId="7" numFmtId="166" xfId="0" applyAlignment="1" applyBorder="1" applyFont="1" applyNumberFormat="1">
      <alignment horizontal="left" shrinkToFit="0" vertical="center" wrapText="1"/>
    </xf>
    <xf borderId="1" fillId="3" fontId="14" numFmtId="0" xfId="0" applyAlignment="1" applyBorder="1" applyFont="1">
      <alignment horizontal="left" vertical="center"/>
    </xf>
    <xf borderId="1" fillId="3" fontId="7" numFmtId="166" xfId="0" applyAlignment="1" applyBorder="1" applyFont="1" applyNumberFormat="1">
      <alignment horizontal="left" shrinkToFit="0" vertical="top" wrapText="1"/>
    </xf>
    <xf borderId="57" fillId="5" fontId="12" numFmtId="0" xfId="0" applyAlignment="1" applyBorder="1" applyFont="1">
      <alignment horizontal="left" vertical="center"/>
    </xf>
    <xf borderId="58" fillId="0" fontId="6" numFmtId="0" xfId="0" applyBorder="1" applyFont="1"/>
    <xf borderId="59" fillId="0" fontId="6" numFmtId="0" xfId="0" applyBorder="1" applyFont="1"/>
    <xf borderId="60" fillId="3" fontId="7" numFmtId="166" xfId="0" applyAlignment="1" applyBorder="1" applyFont="1" applyNumberFormat="1">
      <alignment shrinkToFit="0" vertical="center" wrapText="1"/>
    </xf>
    <xf borderId="27" fillId="5" fontId="12" numFmtId="0" xfId="0" applyAlignment="1" applyBorder="1" applyFont="1">
      <alignment horizontal="left" shrinkToFit="0" vertical="center" wrapText="1"/>
    </xf>
    <xf borderId="61" fillId="3" fontId="10" numFmtId="166" xfId="0" applyAlignment="1" applyBorder="1" applyFont="1" applyNumberFormat="1">
      <alignment horizontal="left" shrinkToFit="0" vertical="center" wrapText="1"/>
    </xf>
    <xf borderId="1" fillId="3" fontId="4" numFmtId="0" xfId="0" applyAlignment="1" applyBorder="1" applyFont="1">
      <alignment horizontal="left" vertical="top"/>
    </xf>
    <xf borderId="51" fillId="3" fontId="7" numFmtId="166" xfId="0" applyAlignment="1" applyBorder="1" applyFont="1" applyNumberFormat="1">
      <alignment horizontal="left" shrinkToFit="0" vertical="center" wrapText="1"/>
    </xf>
    <xf borderId="51" fillId="3" fontId="7" numFmtId="166" xfId="0" applyAlignment="1" applyBorder="1" applyFont="1" applyNumberFormat="1">
      <alignment horizontal="left" shrinkToFit="0" vertical="top" wrapText="1"/>
    </xf>
    <xf borderId="27" fillId="3" fontId="7" numFmtId="166" xfId="0" applyAlignment="1" applyBorder="1" applyFont="1" applyNumberFormat="1">
      <alignment horizontal="left" shrinkToFit="0" vertical="top" wrapText="1"/>
    </xf>
    <xf borderId="1" fillId="3" fontId="7" numFmtId="166" xfId="0" applyAlignment="1" applyBorder="1" applyFont="1" applyNumberFormat="1">
      <alignment shrinkToFit="0" vertical="center" wrapText="1"/>
    </xf>
    <xf borderId="0" fillId="0" fontId="12" numFmtId="0" xfId="0" applyAlignment="1" applyFont="1">
      <alignment vertical="center"/>
    </xf>
    <xf borderId="0" fillId="0" fontId="7" numFmtId="0" xfId="0" applyFont="1"/>
    <xf borderId="27" fillId="7" fontId="12" numFmtId="0" xfId="0" applyAlignment="1" applyBorder="1" applyFill="1" applyFont="1">
      <alignment horizontal="center" shrinkToFit="0" vertical="center" wrapText="1"/>
    </xf>
    <xf borderId="0" fillId="0" fontId="14" numFmtId="0" xfId="0" applyAlignment="1" applyFont="1">
      <alignment vertical="center"/>
    </xf>
    <xf borderId="51" fillId="0" fontId="14" numFmtId="0" xfId="0" applyAlignment="1" applyBorder="1" applyFont="1">
      <alignment horizontal="left" shrinkToFit="0" vertical="center" wrapText="1"/>
    </xf>
    <xf borderId="62" fillId="0" fontId="12" numFmtId="0" xfId="0" applyAlignment="1" applyBorder="1" applyFont="1">
      <alignment horizontal="left" shrinkToFit="0" vertical="center" wrapText="1"/>
    </xf>
    <xf borderId="63" fillId="0" fontId="6" numFmtId="0" xfId="0" applyBorder="1" applyFont="1"/>
    <xf borderId="63" fillId="0" fontId="14" numFmtId="0" xfId="0" applyAlignment="1" applyBorder="1" applyFont="1">
      <alignment horizontal="left" shrinkToFit="0" vertical="center" wrapText="1"/>
    </xf>
    <xf borderId="27" fillId="0" fontId="14" numFmtId="0" xfId="0" applyAlignment="1" applyBorder="1" applyFont="1">
      <alignment horizontal="left" shrinkToFit="0" vertical="top" wrapText="1"/>
    </xf>
    <xf borderId="27" fillId="0" fontId="23" numFmtId="0" xfId="0" applyAlignment="1" applyBorder="1" applyFont="1">
      <alignment horizontal="left" vertical="center"/>
    </xf>
    <xf borderId="25" fillId="0" fontId="12" numFmtId="0" xfId="0" applyAlignment="1" applyBorder="1" applyFont="1">
      <alignment shrinkToFit="0" vertical="center" wrapText="1"/>
    </xf>
    <xf borderId="64" fillId="0" fontId="14" numFmtId="0" xfId="0" applyAlignment="1" applyBorder="1" applyFont="1">
      <alignment shrinkToFit="0" vertical="center" wrapText="1"/>
    </xf>
    <xf borderId="65" fillId="0" fontId="14" numFmtId="0" xfId="0" applyAlignment="1" applyBorder="1" applyFont="1">
      <alignment horizontal="left" shrinkToFit="0" vertical="center" wrapText="1"/>
    </xf>
    <xf borderId="66" fillId="0" fontId="6" numFmtId="0" xfId="0" applyBorder="1" applyFont="1"/>
    <xf borderId="67" fillId="0" fontId="6" numFmtId="0" xfId="0" applyBorder="1" applyFont="1"/>
    <xf borderId="27" fillId="7" fontId="12" numFmtId="0" xfId="0" applyAlignment="1" applyBorder="1" applyFont="1">
      <alignment horizontal="left" shrinkToFit="0" vertical="center" wrapText="1"/>
    </xf>
    <xf borderId="68" fillId="0" fontId="12" numFmtId="0" xfId="0" applyAlignment="1" applyBorder="1" applyFont="1">
      <alignment horizontal="left" shrinkToFit="0" vertical="center" wrapText="1"/>
    </xf>
    <xf borderId="69" fillId="0" fontId="6" numFmtId="0" xfId="0" applyBorder="1" applyFont="1"/>
    <xf borderId="63" fillId="0" fontId="12" numFmtId="0" xfId="0" applyAlignment="1" applyBorder="1" applyFont="1">
      <alignment horizontal="left" shrinkToFit="0" vertical="center" wrapText="1"/>
    </xf>
    <xf borderId="0" fillId="0" fontId="14" numFmtId="0" xfId="0" applyAlignment="1" applyFont="1">
      <alignment horizontal="left" shrinkToFit="0" vertical="center" wrapText="1"/>
    </xf>
    <xf borderId="63" fillId="0" fontId="12" numFmtId="0" xfId="0" applyAlignment="1" applyBorder="1" applyFont="1">
      <alignment shrinkToFit="0" vertical="center" wrapText="1"/>
    </xf>
    <xf borderId="51" fillId="0" fontId="12" numFmtId="0" xfId="0" applyAlignment="1" applyBorder="1" applyFont="1">
      <alignment shrinkToFit="0" vertical="center" wrapText="1"/>
    </xf>
    <xf borderId="1" fillId="3" fontId="4" numFmtId="164" xfId="0" applyAlignment="1" applyBorder="1" applyFont="1" applyNumberFormat="1">
      <alignment horizontal="left" vertical="top"/>
    </xf>
    <xf borderId="1" fillId="3" fontId="7" numFmtId="164" xfId="0" applyAlignment="1" applyBorder="1" applyFont="1" applyNumberFormat="1">
      <alignment horizontal="left" vertical="top"/>
    </xf>
    <xf borderId="6" fillId="0" fontId="10" numFmtId="0" xfId="0" applyAlignment="1" applyBorder="1" applyFont="1">
      <alignment shrinkToFit="0" vertical="center" wrapText="1"/>
    </xf>
    <xf borderId="8" fillId="0" fontId="10" numFmtId="0" xfId="0" applyAlignment="1" applyBorder="1" applyFont="1">
      <alignment horizontal="left" shrinkToFit="0" vertical="top" wrapText="1"/>
    </xf>
    <xf borderId="8" fillId="0" fontId="10" numFmtId="0" xfId="0" applyAlignment="1" applyBorder="1" applyFont="1">
      <alignment shrinkToFit="0" vertical="center" wrapText="1"/>
    </xf>
    <xf borderId="27" fillId="0" fontId="12" numFmtId="0" xfId="0" applyAlignment="1" applyBorder="1" applyFont="1">
      <alignment horizontal="center" shrinkToFit="0" vertical="center" wrapText="1"/>
    </xf>
    <xf borderId="36" fillId="0" fontId="14" numFmtId="0" xfId="0" applyAlignment="1" applyBorder="1" applyFont="1">
      <alignment shrinkToFit="0" vertical="center" wrapText="1"/>
    </xf>
    <xf borderId="70" fillId="0" fontId="7" numFmtId="0" xfId="0" applyAlignment="1" applyBorder="1" applyFont="1">
      <alignment horizontal="left" shrinkToFit="0" vertical="top" wrapText="1"/>
    </xf>
    <xf borderId="71" fillId="0" fontId="14" numFmtId="0" xfId="0" applyAlignment="1" applyBorder="1" applyFont="1">
      <alignment horizontal="left" shrinkToFit="0" vertical="center" wrapText="1"/>
    </xf>
    <xf borderId="68" fillId="0" fontId="14" numFmtId="0" xfId="0" applyAlignment="1" applyBorder="1" applyFont="1">
      <alignment horizontal="center" shrinkToFit="0" vertical="center" wrapText="1"/>
    </xf>
    <xf borderId="64" fillId="0" fontId="7" numFmtId="0" xfId="0" applyAlignment="1" applyBorder="1" applyFont="1">
      <alignment horizontal="left" shrinkToFit="0" vertical="top" wrapText="1"/>
    </xf>
    <xf borderId="72" fillId="0" fontId="6" numFmtId="0" xfId="0" applyBorder="1" applyFont="1"/>
    <xf borderId="65" fillId="0" fontId="6" numFmtId="0" xfId="0" applyBorder="1" applyFont="1"/>
    <xf borderId="36" fillId="0" fontId="14" numFmtId="0" xfId="0" applyAlignment="1" applyBorder="1" applyFont="1">
      <alignment horizontal="left" shrinkToFit="0" vertical="center" wrapText="1"/>
    </xf>
    <xf borderId="73" fillId="0" fontId="6" numFmtId="0" xfId="0" applyBorder="1" applyFont="1"/>
    <xf borderId="74" fillId="0" fontId="6" numFmtId="0" xfId="0" applyBorder="1" applyFont="1"/>
    <xf borderId="75" fillId="0" fontId="6" numFmtId="0" xfId="0" applyBorder="1" applyFont="1"/>
    <xf borderId="76" fillId="0" fontId="6" numFmtId="0" xfId="0" applyBorder="1" applyFont="1"/>
    <xf borderId="73" fillId="0" fontId="14" numFmtId="0" xfId="0" applyAlignment="1" applyBorder="1" applyFont="1">
      <alignment horizontal="left" shrinkToFit="0" vertical="center" wrapText="1"/>
    </xf>
    <xf borderId="77" fillId="0" fontId="14" numFmtId="0" xfId="0" applyAlignment="1" applyBorder="1" applyFont="1">
      <alignment horizontal="left" shrinkToFit="0" vertical="center" wrapText="1"/>
    </xf>
    <xf borderId="27" fillId="0" fontId="14" numFmtId="0" xfId="0" applyAlignment="1" applyBorder="1" applyFont="1">
      <alignment horizontal="center" shrinkToFit="0" vertical="center" wrapText="1"/>
    </xf>
    <xf borderId="51" fillId="0" fontId="7" numFmtId="0" xfId="0" applyAlignment="1" applyBorder="1" applyFont="1">
      <alignment horizontal="left" shrinkToFit="0" vertical="top" wrapText="1"/>
    </xf>
    <xf borderId="72" fillId="0" fontId="14" numFmtId="0" xfId="0" applyAlignment="1" applyBorder="1" applyFont="1">
      <alignment shrinkToFit="0" vertical="center" wrapText="1"/>
    </xf>
    <xf borderId="0" fillId="0" fontId="4" numFmtId="0" xfId="0" applyAlignment="1" applyFont="1">
      <alignment horizontal="left" vertical="top"/>
    </xf>
    <xf borderId="24" fillId="0" fontId="10" numFmtId="0" xfId="0" applyAlignment="1" applyBorder="1" applyFont="1">
      <alignment shrinkToFit="0" vertical="center" wrapText="1"/>
    </xf>
    <xf borderId="27" fillId="0" fontId="10" numFmtId="0" xfId="0" applyAlignment="1" applyBorder="1" applyFont="1">
      <alignment horizontal="center" shrinkToFit="0" vertical="center" wrapText="1"/>
    </xf>
    <xf borderId="36" fillId="0" fontId="7" numFmtId="0" xfId="0" applyAlignment="1" applyBorder="1" applyFont="1">
      <alignment horizontal="left" shrinkToFit="0" vertical="center" wrapText="1"/>
    </xf>
    <xf borderId="71" fillId="0" fontId="7" numFmtId="0" xfId="0" applyAlignment="1" applyBorder="1" applyFont="1">
      <alignment horizontal="left" shrinkToFit="0" vertical="center" wrapText="1"/>
    </xf>
    <xf borderId="68" fillId="0" fontId="7" numFmtId="0" xfId="0" applyAlignment="1" applyBorder="1" applyFont="1">
      <alignment horizontal="center" shrinkToFit="0" vertical="center" wrapText="1"/>
    </xf>
    <xf borderId="25" fillId="0" fontId="7" numFmtId="0" xfId="0" applyAlignment="1" applyBorder="1" applyFont="1">
      <alignment horizontal="left" shrinkToFit="0" vertical="center" wrapText="1"/>
    </xf>
    <xf borderId="78" fillId="0" fontId="10" numFmtId="0" xfId="0" applyAlignment="1" applyBorder="1" applyFont="1">
      <alignment shrinkToFit="0" vertical="center" wrapText="1"/>
    </xf>
    <xf borderId="79" fillId="0" fontId="10" numFmtId="0" xfId="0" applyAlignment="1" applyBorder="1" applyFont="1">
      <alignment horizontal="left" shrinkToFit="0" vertical="top" wrapText="1"/>
    </xf>
    <xf borderId="80" fillId="0" fontId="10" numFmtId="0" xfId="0" applyAlignment="1" applyBorder="1" applyFont="1">
      <alignment shrinkToFit="0" vertical="center" wrapText="1"/>
    </xf>
    <xf borderId="81" fillId="0" fontId="10" numFmtId="0" xfId="0" applyAlignment="1" applyBorder="1" applyFont="1">
      <alignment horizontal="center" shrinkToFit="0" vertical="center" wrapText="1"/>
    </xf>
    <xf borderId="82" fillId="0" fontId="6" numFmtId="0" xfId="0" applyBorder="1" applyFont="1"/>
    <xf borderId="83" fillId="0" fontId="7" numFmtId="0" xfId="0" applyAlignment="1" applyBorder="1" applyFont="1">
      <alignment horizontal="center" shrinkToFit="0" vertical="center" wrapText="1"/>
    </xf>
    <xf borderId="83" fillId="0" fontId="7" numFmtId="0" xfId="0" applyAlignment="1" applyBorder="1" applyFont="1">
      <alignment horizontal="left" shrinkToFit="0" vertical="top" wrapText="1"/>
    </xf>
    <xf borderId="84" fillId="0" fontId="7" numFmtId="0" xfId="0" applyAlignment="1" applyBorder="1" applyFont="1">
      <alignment horizontal="center" shrinkToFit="0" vertical="center" wrapText="1"/>
    </xf>
    <xf borderId="85" fillId="0" fontId="6" numFmtId="0" xfId="0" applyBorder="1" applyFont="1"/>
    <xf borderId="86" fillId="0" fontId="6" numFmtId="0" xfId="0" applyBorder="1" applyFont="1"/>
    <xf borderId="87" fillId="0" fontId="6" numFmtId="0" xfId="0" applyBorder="1" applyFont="1"/>
    <xf borderId="25" fillId="0" fontId="7" numFmtId="0" xfId="0" applyAlignment="1" applyBorder="1" applyFont="1">
      <alignment shrinkToFit="0" vertical="center" wrapText="1"/>
    </xf>
    <xf borderId="64" fillId="0" fontId="7" numFmtId="0" xfId="0" applyAlignment="1" applyBorder="1" applyFont="1">
      <alignment shrinkToFit="0" vertical="center" wrapText="1"/>
    </xf>
    <xf borderId="27" fillId="0" fontId="7" numFmtId="0" xfId="0" applyAlignment="1" applyBorder="1" applyFont="1">
      <alignment horizontal="center" shrinkToFit="0" vertical="center" wrapText="1"/>
    </xf>
    <xf borderId="1" fillId="3" fontId="24" numFmtId="0" xfId="0" applyAlignment="1" applyBorder="1" applyFont="1">
      <alignment horizontal="left" vertical="top"/>
    </xf>
    <xf borderId="20" fillId="3" fontId="1" numFmtId="0" xfId="0" applyAlignment="1" applyBorder="1" applyFont="1">
      <alignment shrinkToFit="0" wrapText="1"/>
    </xf>
    <xf borderId="20" fillId="3" fontId="4" numFmtId="0" xfId="0" applyAlignment="1" applyBorder="1" applyFont="1">
      <alignment horizontal="left" shrinkToFit="0" vertical="top" wrapText="1"/>
    </xf>
    <xf borderId="20" fillId="3" fontId="4" numFmtId="0" xfId="0" applyAlignment="1" applyBorder="1" applyFont="1">
      <alignment shrinkToFit="0" vertical="top" wrapText="1"/>
    </xf>
    <xf borderId="20" fillId="3" fontId="4" numFmtId="0" xfId="0" applyAlignment="1" applyBorder="1" applyFont="1">
      <alignment shrinkToFit="0" wrapText="1"/>
    </xf>
    <xf borderId="1" fillId="3" fontId="1" numFmtId="0" xfId="0" applyAlignment="1" applyBorder="1" applyFont="1">
      <alignment horizontal="left" vertical="top"/>
    </xf>
    <xf borderId="20" fillId="3" fontId="4" numFmtId="0" xfId="0" applyAlignment="1" applyBorder="1" applyFont="1">
      <alignment horizontal="left" vertical="top"/>
    </xf>
    <xf borderId="20" fillId="3" fontId="1" numFmtId="0" xfId="0" applyBorder="1" applyFont="1"/>
    <xf borderId="20" fillId="3" fontId="4" numFmtId="0" xfId="0" applyBorder="1" applyFont="1"/>
    <xf borderId="20" fillId="3" fontId="1" numFmtId="0" xfId="0" applyAlignment="1" applyBorder="1" applyFont="1">
      <alignment horizontal="left" vertical="top"/>
    </xf>
    <xf borderId="0" fillId="0" fontId="4" numFmtId="0" xfId="0" applyAlignment="1" applyFont="1">
      <alignment horizontal="left" shrinkToFit="0" vertical="top" wrapText="1"/>
    </xf>
    <xf borderId="20" fillId="3" fontId="4" numFmtId="0" xfId="0" applyAlignment="1" applyBorder="1" applyFont="1">
      <alignment horizontal="left" shrinkToFit="0" wrapText="1"/>
    </xf>
    <xf borderId="0" fillId="0" fontId="25" numFmtId="0" xfId="0" applyAlignment="1" applyFont="1">
      <alignment horizontal="left" shrinkToFit="0" vertical="top" wrapText="1"/>
    </xf>
    <xf borderId="20" fillId="3" fontId="1" numFmtId="0" xfId="0" applyAlignment="1" applyBorder="1" applyFont="1">
      <alignment horizontal="left"/>
    </xf>
    <xf borderId="0" fillId="0" fontId="4" numFmtId="167" xfId="0" applyFont="1" applyNumberFormat="1"/>
    <xf borderId="16" fillId="0" fontId="1" numFmtId="0" xfId="0" applyBorder="1" applyFont="1"/>
    <xf borderId="18" fillId="0" fontId="1" numFmtId="0" xfId="0" applyBorder="1" applyFont="1"/>
    <xf borderId="19" fillId="0" fontId="1" numFmtId="0" xfId="0" applyBorder="1" applyFont="1"/>
    <xf borderId="16" fillId="0" fontId="14" numFmtId="0" xfId="0" applyAlignment="1" applyBorder="1" applyFont="1">
      <alignment horizontal="left" shrinkToFit="0" vertical="center" wrapText="1"/>
    </xf>
    <xf borderId="77" fillId="0" fontId="14" numFmtId="167" xfId="0" applyAlignment="1" applyBorder="1" applyFont="1" applyNumberFormat="1">
      <alignment shrinkToFit="0" vertical="center" wrapText="1"/>
    </xf>
    <xf borderId="64" fillId="0" fontId="14" numFmtId="167" xfId="0" applyAlignment="1" applyBorder="1" applyFont="1" applyNumberFormat="1">
      <alignment shrinkToFit="0" vertical="center" wrapText="1"/>
    </xf>
    <xf borderId="16" fillId="0" fontId="14" numFmtId="0" xfId="0" applyAlignment="1" applyBorder="1" applyFont="1">
      <alignment horizontal="left" shrinkToFit="0" vertical="top" wrapText="1"/>
    </xf>
    <xf borderId="0" fillId="0" fontId="14" numFmtId="167" xfId="0" applyAlignment="1" applyFont="1" applyNumberFormat="1">
      <alignment shrinkToFit="0" vertical="center" wrapText="1"/>
    </xf>
    <xf borderId="16" fillId="0" fontId="14" numFmtId="166" xfId="0" applyAlignment="1" applyBorder="1" applyFont="1" applyNumberFormat="1">
      <alignment horizontal="left" shrinkToFit="0" vertical="center" wrapText="1"/>
    </xf>
    <xf borderId="88" fillId="8" fontId="26" numFmtId="0" xfId="0" applyAlignment="1" applyBorder="1" applyFill="1" applyFont="1">
      <alignment horizontal="center" vertical="center"/>
    </xf>
    <xf borderId="89" fillId="9" fontId="26" numFmtId="0" xfId="0" applyAlignment="1" applyBorder="1" applyFill="1" applyFont="1">
      <alignment horizontal="center" vertical="center"/>
    </xf>
    <xf borderId="88" fillId="0" fontId="14" numFmtId="0" xfId="0" applyAlignment="1" applyBorder="1" applyFont="1">
      <alignment horizontal="center" vertical="center"/>
    </xf>
    <xf borderId="88" fillId="0" fontId="14" numFmtId="15" xfId="0" applyAlignment="1" applyBorder="1" applyFont="1" applyNumberFormat="1">
      <alignment horizontal="center" vertical="center"/>
    </xf>
    <xf borderId="88" fillId="0" fontId="14" numFmtId="9" xfId="0" applyAlignment="1" applyBorder="1" applyFont="1" applyNumberFormat="1">
      <alignment horizontal="center" vertical="center"/>
    </xf>
    <xf borderId="88" fillId="10" fontId="14" numFmtId="0" xfId="0" applyAlignment="1" applyBorder="1" applyFill="1" applyFont="1">
      <alignment horizontal="center" vertical="center"/>
    </xf>
    <xf borderId="88" fillId="0" fontId="14" numFmtId="16" xfId="0" applyAlignment="1" applyBorder="1" applyFont="1" applyNumberFormat="1">
      <alignment horizontal="center" vertical="center"/>
    </xf>
    <xf borderId="0" fillId="0" fontId="1" numFmtId="0" xfId="0" applyAlignment="1" applyFont="1">
      <alignment horizontal="center"/>
    </xf>
    <xf borderId="0" fillId="0" fontId="4" numFmtId="16" xfId="0" applyFont="1" applyNumberFormat="1"/>
    <xf borderId="0" fillId="0" fontId="4" numFmtId="0" xfId="0" applyAlignment="1" applyFont="1">
      <alignment horizontal="center"/>
    </xf>
    <xf borderId="0" fillId="0" fontId="4" numFmtId="9" xfId="0" applyFont="1" applyNumberFormat="1"/>
    <xf borderId="0" fillId="0" fontId="4" numFmtId="164" xfId="0" applyAlignment="1" applyFont="1" applyNumberFormat="1">
      <alignment horizontal="center" vertical="center"/>
    </xf>
  </cellXfs>
  <cellStyles count="1">
    <cellStyle xfId="0" name="Normal" builtinId="0"/>
  </cellStyles>
  <dxfs count="6">
    <dxf>
      <font/>
      <fill>
        <patternFill patternType="solid">
          <fgColor rgb="FFFF5050"/>
          <bgColor rgb="FFFF5050"/>
        </patternFill>
      </fill>
      <border/>
    </dxf>
    <dxf>
      <font/>
      <fill>
        <patternFill patternType="solid">
          <fgColor rgb="FF92D050"/>
          <bgColor rgb="FF92D050"/>
        </patternFill>
      </fill>
      <border/>
    </dxf>
    <dxf>
      <font/>
      <fill>
        <patternFill patternType="solid">
          <fgColor rgb="FFFBE4D5"/>
          <bgColor rgb="FFFBE4D5"/>
        </patternFill>
      </fill>
      <border/>
    </dxf>
    <dxf>
      <font>
        <color rgb="FFFF0000"/>
      </font>
      <fill>
        <patternFill patternType="solid">
          <fgColor rgb="FFFFC7CE"/>
          <bgColor rgb="FFFFC7CE"/>
        </patternFill>
      </fill>
      <border/>
    </dxf>
    <dxf>
      <font/>
      <fill>
        <patternFill patternType="solid">
          <fgColor theme="7"/>
          <bgColor theme="7"/>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Step%201'!A1" TargetMode="External"/><Relationship Id="rId3" Type="http://schemas.openxmlformats.org/officeDocument/2006/relationships/hyperlink" Target="#'Step%202'!A1" TargetMode="External"/><Relationship Id="rId4" Type="http://schemas.openxmlformats.org/officeDocument/2006/relationships/hyperlink" Target="#'Step%203'!A1" TargetMode="External"/><Relationship Id="rId10" Type="http://schemas.openxmlformats.org/officeDocument/2006/relationships/hyperlink" Target="#Assesment!A1" TargetMode="External"/><Relationship Id="rId9" Type="http://schemas.openxmlformats.org/officeDocument/2006/relationships/hyperlink" Target="#'Contract%20Clause'!A1" TargetMode="External"/><Relationship Id="rId5" Type="http://schemas.openxmlformats.org/officeDocument/2006/relationships/hyperlink" Target="#'Step%204'!A1" TargetMode="External"/><Relationship Id="rId6" Type="http://schemas.openxmlformats.org/officeDocument/2006/relationships/hyperlink" Target="#'Step%205'!A1" TargetMode="External"/><Relationship Id="rId7" Type="http://schemas.openxmlformats.org/officeDocument/2006/relationships/hyperlink" Target="#Cost!A1" TargetMode="External"/><Relationship Id="rId8" Type="http://schemas.openxmlformats.org/officeDocument/2006/relationships/hyperlink" Target="#'Other%20Issues'!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2" Type="http://schemas.openxmlformats.org/officeDocument/2006/relationships/hyperlink" Target="#Intro!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6.xml.rels><?xml version="1.0" encoding="UTF-8" standalone="yes"?><Relationships xmlns="http://schemas.openxmlformats.org/package/2006/relationships"><Relationship Id="rId20" Type="http://schemas.openxmlformats.org/officeDocument/2006/relationships/hyperlink" Target="#'Other%20Issues'!A1" TargetMode="External"/><Relationship Id="rId11" Type="http://schemas.openxmlformats.org/officeDocument/2006/relationships/hyperlink" Target="#Assesment!A1" TargetMode="External"/><Relationship Id="rId22" Type="http://schemas.openxmlformats.org/officeDocument/2006/relationships/hyperlink" Target="#Assesment!A1" TargetMode="External"/><Relationship Id="rId10" Type="http://schemas.openxmlformats.org/officeDocument/2006/relationships/hyperlink" Target="#'Contract%20Clause'!A1" TargetMode="External"/><Relationship Id="rId21" Type="http://schemas.openxmlformats.org/officeDocument/2006/relationships/hyperlink" Target="#'Contract%20Clause'!A1" TargetMode="External"/><Relationship Id="rId13" Type="http://schemas.openxmlformats.org/officeDocument/2006/relationships/hyperlink" Target="#Intro!A1" TargetMode="External"/><Relationship Id="rId12" Type="http://schemas.openxmlformats.org/officeDocument/2006/relationships/hyperlink" Target="#Dashboard!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15" Type="http://schemas.openxmlformats.org/officeDocument/2006/relationships/hyperlink" Target="#'Step%202'!A1" TargetMode="External"/><Relationship Id="rId14" Type="http://schemas.openxmlformats.org/officeDocument/2006/relationships/hyperlink" Target="#'Step%201'!A1" TargetMode="External"/><Relationship Id="rId17" Type="http://schemas.openxmlformats.org/officeDocument/2006/relationships/hyperlink" Target="#'Step%204'!A1" TargetMode="External"/><Relationship Id="rId16" Type="http://schemas.openxmlformats.org/officeDocument/2006/relationships/hyperlink" Target="#'Step%203'!A1" TargetMode="External"/><Relationship Id="rId5" Type="http://schemas.openxmlformats.org/officeDocument/2006/relationships/hyperlink" Target="#'Step%203'!A1" TargetMode="External"/><Relationship Id="rId19" Type="http://schemas.openxmlformats.org/officeDocument/2006/relationships/hyperlink" Target="#Cost!A1" TargetMode="External"/><Relationship Id="rId6" Type="http://schemas.openxmlformats.org/officeDocument/2006/relationships/hyperlink" Target="#'Step%204'!A1" TargetMode="External"/><Relationship Id="rId18" Type="http://schemas.openxmlformats.org/officeDocument/2006/relationships/hyperlink" Target="#'Step%205'!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Step%205'!A1" TargetMode="External"/><Relationship Id="rId2" Type="http://schemas.openxmlformats.org/officeDocument/2006/relationships/hyperlink" Target="#Cost!A1" TargetMode="External"/><Relationship Id="rId3" Type="http://schemas.openxmlformats.org/officeDocument/2006/relationships/hyperlink" Target="#'Other%20Issues'!A1" TargetMode="External"/><Relationship Id="rId4" Type="http://schemas.openxmlformats.org/officeDocument/2006/relationships/hyperlink" Target="#'Contract%20Clause'!A1" TargetMode="External"/><Relationship Id="rId5" Type="http://schemas.openxmlformats.org/officeDocument/2006/relationships/hyperlink" Target="#Assesment!A1" TargetMode="External"/><Relationship Id="rId6" Type="http://schemas.openxmlformats.org/officeDocument/2006/relationships/hyperlink" Target="#'Step%205'!A1" TargetMode="External"/><Relationship Id="rId7" Type="http://schemas.openxmlformats.org/officeDocument/2006/relationships/hyperlink" Target="#Assesment!A1" TargetMode="External"/><Relationship Id="rId8" Type="http://schemas.openxmlformats.org/officeDocument/2006/relationships/hyperlink" Target="#'Step%205'!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Step%203'!A1" TargetMode="External"/><Relationship Id="rId10" Type="http://schemas.openxmlformats.org/officeDocument/2006/relationships/hyperlink" Target="#'Step%202'!A1" TargetMode="External"/><Relationship Id="rId13" Type="http://schemas.openxmlformats.org/officeDocument/2006/relationships/hyperlink" Target="#Cost!A1" TargetMode="External"/><Relationship Id="rId12" Type="http://schemas.openxmlformats.org/officeDocument/2006/relationships/hyperlink" Target="#'Step%205'!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Step%201'!A1" TargetMode="External"/><Relationship Id="rId15" Type="http://schemas.openxmlformats.org/officeDocument/2006/relationships/hyperlink" Target="#'Contract%20Clause'!A1" TargetMode="External"/><Relationship Id="rId14" Type="http://schemas.openxmlformats.org/officeDocument/2006/relationships/hyperlink" Target="#'Other%20Issues'!A1" TargetMode="External"/><Relationship Id="rId16" Type="http://schemas.openxmlformats.org/officeDocument/2006/relationships/hyperlink" Target="#Assesment!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Dashboard!A1" TargetMode="External"/><Relationship Id="rId8" Type="http://schemas.openxmlformats.org/officeDocument/2006/relationships/hyperlink" Target="#Intro!A1" TargetMode="External"/></Relationships>
</file>

<file path=xl/drawings/_rels/drawing10.xml.rels><?xml version="1.0" encoding="UTF-8" standalone="yes"?><Relationships xmlns="http://schemas.openxmlformats.org/package/2006/relationships"><Relationship Id="rId40" Type="http://schemas.openxmlformats.org/officeDocument/2006/relationships/hyperlink" Target="#'Contract%20Clause'!A1" TargetMode="External"/><Relationship Id="rId42" Type="http://schemas.openxmlformats.org/officeDocument/2006/relationships/hyperlink" Target="#'Step%204'!A1" TargetMode="External"/><Relationship Id="rId41" Type="http://schemas.openxmlformats.org/officeDocument/2006/relationships/hyperlink" Target="#Assesment!A1" TargetMode="External"/><Relationship Id="rId44" Type="http://schemas.openxmlformats.org/officeDocument/2006/relationships/hyperlink" Target="#Intro!A1" TargetMode="External"/><Relationship Id="rId43" Type="http://schemas.openxmlformats.org/officeDocument/2006/relationships/hyperlink" Target="#Dashboard!A1" TargetMode="External"/><Relationship Id="rId46" Type="http://schemas.openxmlformats.org/officeDocument/2006/relationships/hyperlink" Target="#'Step%202'!A1" TargetMode="External"/><Relationship Id="rId45" Type="http://schemas.openxmlformats.org/officeDocument/2006/relationships/hyperlink" Target="#'Step%201'!A1" TargetMode="External"/><Relationship Id="rId1" Type="http://schemas.openxmlformats.org/officeDocument/2006/relationships/hyperlink" Target="#'Contract%20Clause'!A1" TargetMode="External"/><Relationship Id="rId2" Type="http://schemas.openxmlformats.org/officeDocument/2006/relationships/hyperlink" Target="#Assesment!A1" TargetMode="External"/><Relationship Id="rId3" Type="http://schemas.openxmlformats.org/officeDocument/2006/relationships/hyperlink" Target="#'Step%204'!A1" TargetMode="External"/><Relationship Id="rId4" Type="http://schemas.openxmlformats.org/officeDocument/2006/relationships/hyperlink" Target="#Dashboard!A1" TargetMode="External"/><Relationship Id="rId9" Type="http://schemas.openxmlformats.org/officeDocument/2006/relationships/hyperlink" Target="#Assesment!A1" TargetMode="External"/><Relationship Id="rId48" Type="http://schemas.openxmlformats.org/officeDocument/2006/relationships/hyperlink" Target="#Assesment!A1" TargetMode="External"/><Relationship Id="rId47" Type="http://schemas.openxmlformats.org/officeDocument/2006/relationships/hyperlink" Target="#'Step%203'!A1" TargetMode="External"/><Relationship Id="rId49" Type="http://schemas.openxmlformats.org/officeDocument/2006/relationships/hyperlink" Target="#'Step%205'!A1" TargetMode="External"/><Relationship Id="rId5" Type="http://schemas.openxmlformats.org/officeDocument/2006/relationships/hyperlink" Target="#Intro!A1" TargetMode="External"/><Relationship Id="rId6" Type="http://schemas.openxmlformats.org/officeDocument/2006/relationships/hyperlink" Target="#'Step%201'!A1" TargetMode="External"/><Relationship Id="rId7" Type="http://schemas.openxmlformats.org/officeDocument/2006/relationships/hyperlink" Target="#'Step%202'!A1" TargetMode="External"/><Relationship Id="rId8" Type="http://schemas.openxmlformats.org/officeDocument/2006/relationships/hyperlink" Target="#'Step%203'!A1" TargetMode="External"/><Relationship Id="rId31" Type="http://schemas.openxmlformats.org/officeDocument/2006/relationships/hyperlink" Target="#Intro!A1" TargetMode="External"/><Relationship Id="rId30" Type="http://schemas.openxmlformats.org/officeDocument/2006/relationships/hyperlink" Target="#Dashboard!A1" TargetMode="External"/><Relationship Id="rId33" Type="http://schemas.openxmlformats.org/officeDocument/2006/relationships/hyperlink" Target="#'Step%202'!A1" TargetMode="External"/><Relationship Id="rId32" Type="http://schemas.openxmlformats.org/officeDocument/2006/relationships/hyperlink" Target="#'Step%201'!A1" TargetMode="External"/><Relationship Id="rId35" Type="http://schemas.openxmlformats.org/officeDocument/2006/relationships/hyperlink" Target="#Assesment!A1" TargetMode="External"/><Relationship Id="rId34" Type="http://schemas.openxmlformats.org/officeDocument/2006/relationships/hyperlink" Target="#'Step%203'!A1" TargetMode="External"/><Relationship Id="rId37" Type="http://schemas.openxmlformats.org/officeDocument/2006/relationships/hyperlink" Target="#Cost!A1" TargetMode="External"/><Relationship Id="rId36" Type="http://schemas.openxmlformats.org/officeDocument/2006/relationships/hyperlink" Target="#'Step%205'!A1" TargetMode="External"/><Relationship Id="rId39" Type="http://schemas.openxmlformats.org/officeDocument/2006/relationships/hyperlink" Target="#'Contract%20Clause'!A1" TargetMode="External"/><Relationship Id="rId38" Type="http://schemas.openxmlformats.org/officeDocument/2006/relationships/hyperlink" Target="#'Other%20Issues'!A1" TargetMode="External"/><Relationship Id="rId62" Type="http://schemas.openxmlformats.org/officeDocument/2006/relationships/hyperlink" Target="#'Step%205'!A1" TargetMode="External"/><Relationship Id="rId61" Type="http://schemas.openxmlformats.org/officeDocument/2006/relationships/hyperlink" Target="#Assesment!A1" TargetMode="External"/><Relationship Id="rId20" Type="http://schemas.openxmlformats.org/officeDocument/2006/relationships/hyperlink" Target="#'Step%202'!A1" TargetMode="External"/><Relationship Id="rId64" Type="http://schemas.openxmlformats.org/officeDocument/2006/relationships/hyperlink" Target="#'Other%20Issues'!A1" TargetMode="External"/><Relationship Id="rId63" Type="http://schemas.openxmlformats.org/officeDocument/2006/relationships/hyperlink" Target="#Cost!A1" TargetMode="External"/><Relationship Id="rId22" Type="http://schemas.openxmlformats.org/officeDocument/2006/relationships/hyperlink" Target="#Assesment!A1" TargetMode="External"/><Relationship Id="rId21" Type="http://schemas.openxmlformats.org/officeDocument/2006/relationships/hyperlink" Target="#'Step%203'!A1" TargetMode="External"/><Relationship Id="rId65" Type="http://schemas.openxmlformats.org/officeDocument/2006/relationships/hyperlink" Target="#'Contract%20Clause'!A1" TargetMode="External"/><Relationship Id="rId24" Type="http://schemas.openxmlformats.org/officeDocument/2006/relationships/hyperlink" Target="#Cost!A1" TargetMode="External"/><Relationship Id="rId23" Type="http://schemas.openxmlformats.org/officeDocument/2006/relationships/hyperlink" Target="#'Step%205'!A1" TargetMode="External"/><Relationship Id="rId60" Type="http://schemas.openxmlformats.org/officeDocument/2006/relationships/hyperlink" Target="#'Step%203'!A1" TargetMode="External"/><Relationship Id="rId26" Type="http://schemas.openxmlformats.org/officeDocument/2006/relationships/hyperlink" Target="#'Contract%20Clause'!A1" TargetMode="External"/><Relationship Id="rId25" Type="http://schemas.openxmlformats.org/officeDocument/2006/relationships/hyperlink" Target="#'Other%20Issues'!A1" TargetMode="External"/><Relationship Id="rId28" Type="http://schemas.openxmlformats.org/officeDocument/2006/relationships/hyperlink" Target="#Assesment!A1" TargetMode="External"/><Relationship Id="rId27" Type="http://schemas.openxmlformats.org/officeDocument/2006/relationships/hyperlink" Target="#'Contract%20Clause'!A1" TargetMode="External"/><Relationship Id="rId29" Type="http://schemas.openxmlformats.org/officeDocument/2006/relationships/hyperlink" Target="#'Step%204'!A1" TargetMode="External"/><Relationship Id="rId51" Type="http://schemas.openxmlformats.org/officeDocument/2006/relationships/hyperlink" Target="#'Other%20Issues'!A1" TargetMode="External"/><Relationship Id="rId50" Type="http://schemas.openxmlformats.org/officeDocument/2006/relationships/hyperlink" Target="#Cost!A1" TargetMode="External"/><Relationship Id="rId53" Type="http://schemas.openxmlformats.org/officeDocument/2006/relationships/hyperlink" Target="#'Contract%20Clause'!A1" TargetMode="External"/><Relationship Id="rId52" Type="http://schemas.openxmlformats.org/officeDocument/2006/relationships/hyperlink" Target="#'Contract%20Clause'!A1" TargetMode="External"/><Relationship Id="rId11" Type="http://schemas.openxmlformats.org/officeDocument/2006/relationships/hyperlink" Target="#Cost!A1" TargetMode="External"/><Relationship Id="rId55" Type="http://schemas.openxmlformats.org/officeDocument/2006/relationships/hyperlink" Target="#'Step%204'!A1" TargetMode="External"/><Relationship Id="rId10" Type="http://schemas.openxmlformats.org/officeDocument/2006/relationships/hyperlink" Target="#'Step%205'!A1" TargetMode="External"/><Relationship Id="rId54" Type="http://schemas.openxmlformats.org/officeDocument/2006/relationships/hyperlink" Target="#Assesment!A1" TargetMode="External"/><Relationship Id="rId13" Type="http://schemas.openxmlformats.org/officeDocument/2006/relationships/hyperlink" Target="#'Contract%20Clause'!A1" TargetMode="External"/><Relationship Id="rId57" Type="http://schemas.openxmlformats.org/officeDocument/2006/relationships/hyperlink" Target="#Intro!A1" TargetMode="External"/><Relationship Id="rId12" Type="http://schemas.openxmlformats.org/officeDocument/2006/relationships/hyperlink" Target="#'Other%20Issues'!A1" TargetMode="External"/><Relationship Id="rId56" Type="http://schemas.openxmlformats.org/officeDocument/2006/relationships/hyperlink" Target="#Dashboard!A1" TargetMode="External"/><Relationship Id="rId15" Type="http://schemas.openxmlformats.org/officeDocument/2006/relationships/hyperlink" Target="#Assesment!A1" TargetMode="External"/><Relationship Id="rId59" Type="http://schemas.openxmlformats.org/officeDocument/2006/relationships/hyperlink" Target="#'Step%202'!A1" TargetMode="External"/><Relationship Id="rId14" Type="http://schemas.openxmlformats.org/officeDocument/2006/relationships/hyperlink" Target="#'Contract%20Clause'!A1" TargetMode="External"/><Relationship Id="rId58" Type="http://schemas.openxmlformats.org/officeDocument/2006/relationships/hyperlink" Target="#'Step%201'!A1" TargetMode="External"/><Relationship Id="rId17" Type="http://schemas.openxmlformats.org/officeDocument/2006/relationships/hyperlink" Target="#Dashboard!A1" TargetMode="External"/><Relationship Id="rId16" Type="http://schemas.openxmlformats.org/officeDocument/2006/relationships/hyperlink" Target="#'Step%204'!A1" TargetMode="External"/><Relationship Id="rId19" Type="http://schemas.openxmlformats.org/officeDocument/2006/relationships/hyperlink" Target="#'Step%201'!A1" TargetMode="External"/><Relationship Id="rId18" Type="http://schemas.openxmlformats.org/officeDocument/2006/relationships/hyperlink" Target="#Intro!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38775"/>
    <xdr:grpSp>
      <xdr:nvGrpSpPr>
        <xdr:cNvPr id="2" name="Shape 2"/>
        <xdr:cNvGrpSpPr/>
      </xdr:nvGrpSpPr>
      <xdr:grpSpPr>
        <a:xfrm>
          <a:off x="0" y="1060613"/>
          <a:ext cx="10692000" cy="5438775"/>
          <a:chOff x="0" y="1060613"/>
          <a:chExt cx="10692000" cy="5438775"/>
        </a:xfrm>
      </xdr:grpSpPr>
      <xdr:grpSp>
        <xdr:nvGrpSpPr>
          <xdr:cNvPr id="3" name="Shape 3"/>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a:hlinkClick r:id="rId1"/>
            </xdr:cNvPr>
            <xdr:cNvSpPr/>
          </xdr:nvSpPr>
          <xdr:spPr>
            <a:xfrm>
              <a:off x="0" y="452753"/>
              <a:ext cx="1364274" cy="247184"/>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Home</a:t>
              </a:r>
              <a:r>
                <a:rPr b="0" lang="en-US" sz="1000" cap="none">
                  <a:solidFill>
                    <a:schemeClr val="dk1"/>
                  </a:solidFill>
                  <a:latin typeface="Arial"/>
                  <a:ea typeface="Arial"/>
                  <a:cs typeface="Arial"/>
                  <a:sym typeface="Arial"/>
                </a:rPr>
                <a:t> Page</a:t>
              </a:r>
              <a:endParaRPr b="0" sz="1000" cap="none">
                <a:solidFill>
                  <a:schemeClr val="dk1"/>
                </a:solidFill>
                <a:latin typeface="Arial"/>
                <a:ea typeface="Arial"/>
                <a:cs typeface="Arial"/>
                <a:sym typeface="Arial"/>
              </a:endParaRPr>
            </a:p>
          </xdr:txBody>
        </xdr:sp>
        <xdr:sp>
          <xdr:nvSpPr>
            <xdr:cNvPr id="8" name="Shape 8">
              <a:hlinkClick r:id="rId2"/>
            </xdr:cNvPr>
            <xdr:cNvSpPr/>
          </xdr:nvSpPr>
          <xdr:spPr>
            <a:xfrm>
              <a:off x="0" y="773961"/>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grpSp>
    </xdr:grpSp>
    <xdr:clientData fLocksWithSheet="0"/>
  </xdr:oneCellAnchor>
  <xdr:oneCellAnchor>
    <xdr:from>
      <xdr:col>3</xdr:col>
      <xdr:colOff>647700</xdr:colOff>
      <xdr:row>0</xdr:row>
      <xdr:rowOff>38100</xdr:rowOff>
    </xdr:from>
    <xdr:ext cx="6372225" cy="342900"/>
    <xdr:sp>
      <xdr:nvSpPr>
        <xdr:cNvPr id="9" name="Shape 9"/>
        <xdr:cNvSpPr/>
      </xdr:nvSpPr>
      <xdr:spPr>
        <a:xfrm>
          <a:off x="2159888" y="3613313"/>
          <a:ext cx="63722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7</xdr:row>
      <xdr:rowOff>95250</xdr:rowOff>
    </xdr:from>
    <xdr:ext cx="1143000" cy="238125"/>
    <xdr:sp>
      <xdr:nvSpPr>
        <xdr:cNvPr id="10" name="Shape 10">
          <a:hlinkClick r:id="rId3"/>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9</xdr:row>
      <xdr:rowOff>28575</xdr:rowOff>
    </xdr:from>
    <xdr:ext cx="1143000" cy="238125"/>
    <xdr:sp>
      <xdr:nvSpPr>
        <xdr:cNvPr id="11" name="Shape 11">
          <a:hlinkClick r:id="rId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1409700</xdr:colOff>
      <xdr:row>10</xdr:row>
      <xdr:rowOff>152400</xdr:rowOff>
    </xdr:from>
    <xdr:ext cx="1019175" cy="361950"/>
    <xdr:sp>
      <xdr:nvSpPr>
        <xdr:cNvPr id="12" name="Shape 12"/>
        <xdr:cNvSpPr/>
      </xdr:nvSpPr>
      <xdr:spPr>
        <a:xfrm>
          <a:off x="4841175" y="3603788"/>
          <a:ext cx="1009650" cy="3524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Create</a:t>
          </a:r>
          <a:r>
            <a:rPr b="1" lang="en-US" sz="1100">
              <a:solidFill>
                <a:schemeClr val="lt1"/>
              </a:solidFill>
              <a:latin typeface="Calibri"/>
              <a:ea typeface="Calibri"/>
              <a:cs typeface="Calibri"/>
              <a:sym typeface="Calibri"/>
            </a:rPr>
            <a:t> New</a:t>
          </a:r>
          <a:endParaRPr b="1" sz="1100"/>
        </a:p>
      </xdr:txBody>
    </xdr:sp>
    <xdr:clientData fLocksWithSheet="0"/>
  </xdr:oneCellAnchor>
  <xdr:oneCellAnchor>
    <xdr:from>
      <xdr:col>4</xdr:col>
      <xdr:colOff>66675</xdr:colOff>
      <xdr:row>9</xdr:row>
      <xdr:rowOff>38100</xdr:rowOff>
    </xdr:from>
    <xdr:ext cx="838200" cy="285750"/>
    <xdr:sp>
      <xdr:nvSpPr>
        <xdr:cNvPr id="13" name="Shape 13"/>
        <xdr:cNvSpPr/>
      </xdr:nvSpPr>
      <xdr:spPr>
        <a:xfrm>
          <a:off x="4931663" y="3641888"/>
          <a:ext cx="828675" cy="2762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Browse</a:t>
          </a:r>
          <a:endParaRPr sz="1400"/>
        </a:p>
      </xdr:txBody>
    </xdr:sp>
    <xdr:clientData fLocksWithSheet="0"/>
  </xdr:oneCellAnchor>
  <xdr:oneCellAnchor>
    <xdr:from>
      <xdr:col>0</xdr:col>
      <xdr:colOff>0</xdr:colOff>
      <xdr:row>10</xdr:row>
      <xdr:rowOff>9525</xdr:rowOff>
    </xdr:from>
    <xdr:ext cx="1143000" cy="247650"/>
    <xdr:sp>
      <xdr:nvSpPr>
        <xdr:cNvPr id="14" name="Shape 14">
          <a:hlinkClick r:id="rId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clientData fLocksWithSheet="0"/>
  </xdr:oneCellAnchor>
  <xdr:oneCellAnchor>
    <xdr:from>
      <xdr:col>0</xdr:col>
      <xdr:colOff>0</xdr:colOff>
      <xdr:row>11</xdr:row>
      <xdr:rowOff>85725</xdr:rowOff>
    </xdr:from>
    <xdr:ext cx="1143000" cy="247650"/>
    <xdr:sp>
      <xdr:nvSpPr>
        <xdr:cNvPr id="15" name="Shape 15">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5</xdr:col>
      <xdr:colOff>1438275</xdr:colOff>
      <xdr:row>15</xdr:row>
      <xdr:rowOff>114300</xdr:rowOff>
    </xdr:from>
    <xdr:ext cx="1028700" cy="361950"/>
    <xdr:sp>
      <xdr:nvSpPr>
        <xdr:cNvPr id="16" name="Shape 16"/>
        <xdr:cNvSpPr/>
      </xdr:nvSpPr>
      <xdr:spPr>
        <a:xfrm>
          <a:off x="4836413" y="3603788"/>
          <a:ext cx="1019175" cy="352425"/>
        </a:xfrm>
        <a:prstGeom prst="roundRect">
          <a:avLst>
            <a:gd fmla="val 16667" name="adj"/>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0</xdr:row>
      <xdr:rowOff>0</xdr:rowOff>
    </xdr:from>
    <xdr:ext cx="13154025" cy="2209800"/>
    <xdr:grpSp>
      <xdr:nvGrpSpPr>
        <xdr:cNvPr id="2" name="Shape 2"/>
        <xdr:cNvGrpSpPr/>
      </xdr:nvGrpSpPr>
      <xdr:grpSpPr>
        <a:xfrm>
          <a:off x="0" y="2675100"/>
          <a:ext cx="10692000" cy="2209800"/>
          <a:chOff x="0" y="2675100"/>
          <a:chExt cx="10692000" cy="2209800"/>
        </a:xfrm>
      </xdr:grpSpPr>
      <xdr:grpSp>
        <xdr:nvGrpSpPr>
          <xdr:cNvPr id="17" name="Shape 17"/>
          <xdr:cNvGrpSpPr/>
        </xdr:nvGrpSpPr>
        <xdr:grpSpPr>
          <a:xfrm>
            <a:off x="0" y="2675100"/>
            <a:ext cx="10692000" cy="2209800"/>
            <a:chOff x="0" y="0"/>
            <a:chExt cx="14653315" cy="2292590"/>
          </a:xfrm>
        </xdr:grpSpPr>
        <xdr:sp>
          <xdr:nvSpPr>
            <xdr:cNvPr id="4" name="Shape 4"/>
            <xdr:cNvSpPr/>
          </xdr:nvSpPr>
          <xdr:spPr>
            <a:xfrm>
              <a:off x="0" y="0"/>
              <a:ext cx="14653300" cy="2292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8" name="Shape 18"/>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9" name="Shape 1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0" name="Shape 20">
              <a:hlinkClick r:id="rId2"/>
            </xdr:cNvPr>
            <xdr:cNvSpPr/>
          </xdr:nvSpPr>
          <xdr:spPr>
            <a:xfrm>
              <a:off x="0" y="10483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21" name="Shape 21">
              <a:hlinkClick r:id="rId3"/>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22" name="Shape 22">
              <a:hlinkClick r:id="rId4"/>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23" name="Shape 23">
              <a:hlinkClick r:id="rId5"/>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2</xdr:col>
      <xdr:colOff>762000</xdr:colOff>
      <xdr:row>0</xdr:row>
      <xdr:rowOff>38100</xdr:rowOff>
    </xdr:from>
    <xdr:ext cx="6229350" cy="342900"/>
    <xdr:sp>
      <xdr:nvSpPr>
        <xdr:cNvPr id="24" name="Shape 24"/>
        <xdr:cNvSpPr/>
      </xdr:nvSpPr>
      <xdr:spPr>
        <a:xfrm>
          <a:off x="2231325" y="3613313"/>
          <a:ext cx="62293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11</xdr:row>
      <xdr:rowOff>133350</xdr:rowOff>
    </xdr:from>
    <xdr:ext cx="1143000" cy="304800"/>
    <xdr:sp>
      <xdr:nvSpPr>
        <xdr:cNvPr id="25" name="Shape 25">
          <a:hlinkClick r:id="rId6"/>
        </xdr:cNvPr>
        <xdr:cNvSpPr/>
      </xdr:nvSpPr>
      <xdr:spPr>
        <a:xfrm>
          <a:off x="4779263" y="3632363"/>
          <a:ext cx="1133475" cy="2952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76200</xdr:rowOff>
    </xdr:from>
    <xdr:ext cx="1143000" cy="314325"/>
    <xdr:sp>
      <xdr:nvSpPr>
        <xdr:cNvPr id="26" name="Shape 26">
          <a:hlinkClick r:id="rId7"/>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14</xdr:row>
      <xdr:rowOff>200025</xdr:rowOff>
    </xdr:from>
    <xdr:ext cx="1143000" cy="447675"/>
    <xdr:sp>
      <xdr:nvSpPr>
        <xdr:cNvPr id="27" name="Shape 27">
          <a:hlinkClick r:id="rId8"/>
        </xdr:cNvPr>
        <xdr:cNvSpPr/>
      </xdr:nvSpPr>
      <xdr:spPr>
        <a:xfrm>
          <a:off x="4779263" y="3560925"/>
          <a:ext cx="1133475" cy="4381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16</xdr:row>
      <xdr:rowOff>57150</xdr:rowOff>
    </xdr:from>
    <xdr:ext cx="1143000" cy="1476375"/>
    <xdr:sp>
      <xdr:nvSpPr>
        <xdr:cNvPr id="28" name="Shape 28">
          <a:hlinkClick r:id="rId9"/>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22</xdr:row>
      <xdr:rowOff>104775</xdr:rowOff>
    </xdr:from>
    <xdr:ext cx="1143000" cy="247650"/>
    <xdr:sp>
      <xdr:nvSpPr>
        <xdr:cNvPr id="29" name="Shape 29">
          <a:hlinkClick r:id="rId10"/>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4</xdr:col>
      <xdr:colOff>704850</xdr:colOff>
      <xdr:row>65</xdr:row>
      <xdr:rowOff>0</xdr:rowOff>
    </xdr:from>
    <xdr:ext cx="1019175" cy="542925"/>
    <xdr:sp>
      <xdr:nvSpPr>
        <xdr:cNvPr id="30" name="Shape 30"/>
        <xdr:cNvSpPr/>
      </xdr:nvSpPr>
      <xdr:spPr>
        <a:xfrm>
          <a:off x="4841175" y="3508538"/>
          <a:ext cx="1009650" cy="542925"/>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3</xdr:col>
      <xdr:colOff>1228725</xdr:colOff>
      <xdr:row>5</xdr:row>
      <xdr:rowOff>47625</xdr:rowOff>
    </xdr:from>
    <xdr:ext cx="3190875" cy="133350"/>
    <xdr:sp>
      <xdr:nvSpPr>
        <xdr:cNvPr id="31" name="Shape 31"/>
        <xdr:cNvSpPr/>
      </xdr:nvSpPr>
      <xdr:spPr>
        <a:xfrm>
          <a:off x="3760088" y="3718088"/>
          <a:ext cx="3171825" cy="123825"/>
        </a:xfrm>
        <a:prstGeom prst="rect">
          <a:avLst/>
        </a:prstGeom>
        <a:solidFill>
          <a:schemeClr val="dk1"/>
        </a:solidFill>
        <a:ln cap="flat" cmpd="sng" w="12700">
          <a:solidFill>
            <a:schemeClr val="dk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xdr:col>
      <xdr:colOff>0</xdr:colOff>
      <xdr:row>24</xdr:row>
      <xdr:rowOff>28575</xdr:rowOff>
    </xdr:from>
    <xdr:ext cx="1200150" cy="85725"/>
    <xdr:sp>
      <xdr:nvSpPr>
        <xdr:cNvPr id="32" name="Shape 32"/>
        <xdr:cNvSpPr/>
      </xdr:nvSpPr>
      <xdr:spPr>
        <a:xfrm>
          <a:off x="4750688" y="3741900"/>
          <a:ext cx="1190625" cy="76200"/>
        </a:xfrm>
        <a:prstGeom prst="rect">
          <a:avLst/>
        </a:prstGeom>
        <a:solidFill>
          <a:schemeClr val="dk1"/>
        </a:solidFill>
        <a:ln cap="flat" cmpd="sng" w="12700">
          <a:solidFill>
            <a:schemeClr val="dk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xdr:col>
      <xdr:colOff>1476375</xdr:colOff>
      <xdr:row>6</xdr:row>
      <xdr:rowOff>28575</xdr:rowOff>
    </xdr:from>
    <xdr:ext cx="2705100" cy="171450"/>
    <xdr:sp>
      <xdr:nvSpPr>
        <xdr:cNvPr id="33" name="Shape 33"/>
        <xdr:cNvSpPr/>
      </xdr:nvSpPr>
      <xdr:spPr>
        <a:xfrm>
          <a:off x="3998213" y="3699038"/>
          <a:ext cx="2695575" cy="161925"/>
        </a:xfrm>
        <a:prstGeom prst="rect">
          <a:avLst/>
        </a:prstGeom>
        <a:solidFill>
          <a:schemeClr val="dk1"/>
        </a:solidFill>
        <a:ln cap="flat" cmpd="sng" w="12700">
          <a:solidFill>
            <a:schemeClr val="dk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38100</xdr:rowOff>
    </xdr:from>
    <xdr:ext cx="13344525" cy="3943350"/>
    <xdr:grpSp>
      <xdr:nvGrpSpPr>
        <xdr:cNvPr id="2" name="Shape 2" title="Drawing"/>
        <xdr:cNvGrpSpPr/>
      </xdr:nvGrpSpPr>
      <xdr:grpSpPr>
        <a:xfrm>
          <a:off x="0" y="1808325"/>
          <a:ext cx="10692000" cy="3943350"/>
          <a:chOff x="0" y="1808325"/>
          <a:chExt cx="10692000" cy="3943350"/>
        </a:xfrm>
      </xdr:grpSpPr>
      <xdr:grpSp>
        <xdr:nvGrpSpPr>
          <xdr:cNvPr id="34" name="Shape 34"/>
          <xdr:cNvGrpSpPr/>
        </xdr:nvGrpSpPr>
        <xdr:grpSpPr>
          <a:xfrm>
            <a:off x="0" y="1808325"/>
            <a:ext cx="10692000" cy="3943350"/>
            <a:chOff x="0" y="0"/>
            <a:chExt cx="14653315" cy="4189247"/>
          </a:xfrm>
        </xdr:grpSpPr>
        <xdr:sp>
          <xdr:nvSpPr>
            <xdr:cNvPr id="4" name="Shape 4"/>
            <xdr:cNvSpPr/>
          </xdr:nvSpPr>
          <xdr:spPr>
            <a:xfrm>
              <a:off x="0" y="0"/>
              <a:ext cx="14653300" cy="41892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5" name="Shape 35"/>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6" name="Shape 36"/>
            <xdr:cNvSpPr/>
          </xdr:nvSpPr>
          <xdr:spPr>
            <a:xfrm>
              <a:off x="0" y="381450"/>
              <a:ext cx="1258485" cy="3807797"/>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7" name="Shape 37">
              <a:hlinkClick r:id="rId1"/>
            </xdr:cNvPr>
            <xdr:cNvSpPr/>
          </xdr:nvSpPr>
          <xdr:spPr>
            <a:xfrm>
              <a:off x="0" y="439923"/>
              <a:ext cx="1231709"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38" name="Shape 38">
              <a:hlinkClick r:id="rId2"/>
            </xdr:cNvPr>
            <xdr:cNvSpPr/>
          </xdr:nvSpPr>
          <xdr:spPr>
            <a:xfrm>
              <a:off x="0" y="766149"/>
              <a:ext cx="121832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39" name="Shape 39">
              <a:hlinkClick r:id="rId3"/>
            </xdr:cNvPr>
            <xdr:cNvSpPr/>
          </xdr:nvSpPr>
          <xdr:spPr>
            <a:xfrm>
              <a:off x="0" y="1045552"/>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1</a:t>
              </a:r>
              <a:endParaRPr sz="1400"/>
            </a:p>
          </xdr:txBody>
        </xdr:sp>
        <xdr:sp>
          <xdr:nvSpPr>
            <xdr:cNvPr id="40" name="Shape 40">
              <a:hlinkClick r:id="rId4"/>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41" name="Shape 41">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42" name="Shape 42">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152400</xdr:colOff>
      <xdr:row>0</xdr:row>
      <xdr:rowOff>38100</xdr:rowOff>
    </xdr:from>
    <xdr:ext cx="6229350" cy="342900"/>
    <xdr:sp>
      <xdr:nvSpPr>
        <xdr:cNvPr id="43" name="Shape 43"/>
        <xdr:cNvSpPr/>
      </xdr:nvSpPr>
      <xdr:spPr>
        <a:xfrm>
          <a:off x="2236088" y="3613313"/>
          <a:ext cx="62198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13</xdr:row>
      <xdr:rowOff>57150</xdr:rowOff>
    </xdr:from>
    <xdr:ext cx="1143000" cy="247650"/>
    <xdr:sp>
      <xdr:nvSpPr>
        <xdr:cNvPr id="44" name="Shape 44">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15</xdr:row>
      <xdr:rowOff>0</xdr:rowOff>
    </xdr:from>
    <xdr:ext cx="1143000" cy="257175"/>
    <xdr:sp>
      <xdr:nvSpPr>
        <xdr:cNvPr id="45" name="Shape 45">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16</xdr:row>
      <xdr:rowOff>114300</xdr:rowOff>
    </xdr:from>
    <xdr:ext cx="1143000" cy="285750"/>
    <xdr:sp>
      <xdr:nvSpPr>
        <xdr:cNvPr id="46" name="Shape 46">
          <a:hlinkClick r:id="rId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18</xdr:row>
      <xdr:rowOff>57150</xdr:rowOff>
    </xdr:from>
    <xdr:ext cx="1143000" cy="257175"/>
    <xdr:sp>
      <xdr:nvSpPr>
        <xdr:cNvPr id="47" name="Shape 47">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19050</xdr:colOff>
      <xdr:row>19</xdr:row>
      <xdr:rowOff>142875</xdr:rowOff>
    </xdr:from>
    <xdr:ext cx="1143000" cy="381000"/>
    <xdr:sp>
      <xdr:nvSpPr>
        <xdr:cNvPr id="48" name="Shape 48">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4476750</xdr:colOff>
      <xdr:row>76</xdr:row>
      <xdr:rowOff>57150</xdr:rowOff>
    </xdr:from>
    <xdr:ext cx="933450" cy="542925"/>
    <xdr:sp>
      <xdr:nvSpPr>
        <xdr:cNvPr id="49" name="Shape 49"/>
        <xdr:cNvSpPr/>
      </xdr:nvSpPr>
      <xdr:spPr>
        <a:xfrm>
          <a:off x="4884038" y="3513300"/>
          <a:ext cx="92392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1</xdr:col>
      <xdr:colOff>981075</xdr:colOff>
      <xdr:row>76</xdr:row>
      <xdr:rowOff>57150</xdr:rowOff>
    </xdr:from>
    <xdr:ext cx="942975" cy="542925"/>
    <xdr:sp>
      <xdr:nvSpPr>
        <xdr:cNvPr id="50" name="Shape 50">
          <a:hlinkClick r:id="rId12"/>
        </xdr:cNvPr>
        <xdr:cNvSpPr/>
      </xdr:nvSpPr>
      <xdr:spPr>
        <a:xfrm>
          <a:off x="4879275" y="3513300"/>
          <a:ext cx="9334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382625" cy="5438775"/>
    <xdr:grpSp>
      <xdr:nvGrpSpPr>
        <xdr:cNvPr id="2" name="Shape 2"/>
        <xdr:cNvGrpSpPr/>
      </xdr:nvGrpSpPr>
      <xdr:grpSpPr>
        <a:xfrm>
          <a:off x="0" y="1060613"/>
          <a:ext cx="10692000" cy="5438775"/>
          <a:chOff x="0" y="1060613"/>
          <a:chExt cx="10692000" cy="5438775"/>
        </a:xfrm>
      </xdr:grpSpPr>
      <xdr:grpSp>
        <xdr:nvGrpSpPr>
          <xdr:cNvPr id="51" name="Shape 51"/>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2" name="Shape 52"/>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3" name="Shape 53"/>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4" name="Shape 54">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55" name="Shape 55">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56" name="Shape 56">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57" name="Shape 57">
              <a:hlinkClick r:id="rId4"/>
            </xdr:cNvPr>
            <xdr:cNvSpPr/>
          </xdr:nvSpPr>
          <xdr:spPr>
            <a:xfrm>
              <a:off x="0" y="1360067"/>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2</a:t>
              </a:r>
              <a:endParaRPr sz="1400"/>
            </a:p>
          </xdr:txBody>
        </xdr:sp>
        <xdr:sp>
          <xdr:nvSpPr>
            <xdr:cNvPr id="58" name="Shape 58">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59" name="Shape 59">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647700</xdr:colOff>
      <xdr:row>0</xdr:row>
      <xdr:rowOff>38100</xdr:rowOff>
    </xdr:from>
    <xdr:ext cx="6172200" cy="342900"/>
    <xdr:sp>
      <xdr:nvSpPr>
        <xdr:cNvPr id="60" name="Shape 60"/>
        <xdr:cNvSpPr/>
      </xdr:nvSpPr>
      <xdr:spPr>
        <a:xfrm>
          <a:off x="2264663" y="3613313"/>
          <a:ext cx="616267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133350</xdr:rowOff>
    </xdr:from>
    <xdr:ext cx="1143000" cy="266700"/>
    <xdr:sp>
      <xdr:nvSpPr>
        <xdr:cNvPr id="61" name="Shape 61">
          <a:hlinkClick r:id="rId7"/>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304800</xdr:rowOff>
    </xdr:from>
    <xdr:ext cx="1143000" cy="285750"/>
    <xdr:sp>
      <xdr:nvSpPr>
        <xdr:cNvPr id="62" name="Shape 62">
          <a:hlinkClick r:id="rId8"/>
        </xdr:cNvPr>
        <xdr:cNvSpPr/>
      </xdr:nvSpPr>
      <xdr:spPr>
        <a:xfrm>
          <a:off x="4779263" y="3637125"/>
          <a:ext cx="1133475" cy="2857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647700</xdr:rowOff>
    </xdr:from>
    <xdr:ext cx="1143000" cy="323850"/>
    <xdr:sp>
      <xdr:nvSpPr>
        <xdr:cNvPr id="63" name="Shape 63">
          <a:hlinkClick r:id="rId9"/>
        </xdr:cNvPr>
        <xdr:cNvSpPr/>
      </xdr:nvSpPr>
      <xdr:spPr>
        <a:xfrm>
          <a:off x="4779263" y="3618075"/>
          <a:ext cx="1133475" cy="323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914400</xdr:rowOff>
    </xdr:from>
    <xdr:ext cx="1133475" cy="38100"/>
    <xdr:sp>
      <xdr:nvSpPr>
        <xdr:cNvPr id="64" name="Shape 64">
          <a:hlinkClick r:id="rId10"/>
        </xdr:cNvPr>
        <xdr:cNvSpPr/>
      </xdr:nvSpPr>
      <xdr:spPr>
        <a:xfrm flipH="1" rot="10800000">
          <a:off x="4779263" y="3722850"/>
          <a:ext cx="1133475" cy="1143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15</xdr:row>
      <xdr:rowOff>133350</xdr:rowOff>
    </xdr:from>
    <xdr:ext cx="1143000" cy="419100"/>
    <xdr:sp>
      <xdr:nvSpPr>
        <xdr:cNvPr id="65" name="Shape 65">
          <a:hlinkClick r:id="rId11"/>
        </xdr:cNvPr>
        <xdr:cNvSpPr/>
      </xdr:nvSpPr>
      <xdr:spPr>
        <a:xfrm>
          <a:off x="4779263" y="3575213"/>
          <a:ext cx="1133475" cy="4095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7</xdr:col>
      <xdr:colOff>2743200</xdr:colOff>
      <xdr:row>30</xdr:row>
      <xdr:rowOff>0</xdr:rowOff>
    </xdr:from>
    <xdr:ext cx="857250" cy="733425"/>
    <xdr:sp>
      <xdr:nvSpPr>
        <xdr:cNvPr id="66" name="Shape 66"/>
        <xdr:cNvSpPr/>
      </xdr:nvSpPr>
      <xdr:spPr>
        <a:xfrm>
          <a:off x="4922138" y="3418050"/>
          <a:ext cx="847725" cy="7239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533400</xdr:colOff>
      <xdr:row>30</xdr:row>
      <xdr:rowOff>0</xdr:rowOff>
    </xdr:from>
    <xdr:ext cx="981075" cy="723900"/>
    <xdr:sp>
      <xdr:nvSpPr>
        <xdr:cNvPr id="67" name="Shape 67"/>
        <xdr:cNvSpPr/>
      </xdr:nvSpPr>
      <xdr:spPr>
        <a:xfrm>
          <a:off x="4860225" y="3418050"/>
          <a:ext cx="971550"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19725"/>
    <xdr:grpSp>
      <xdr:nvGrpSpPr>
        <xdr:cNvPr id="2" name="Shape 2"/>
        <xdr:cNvGrpSpPr/>
      </xdr:nvGrpSpPr>
      <xdr:grpSpPr>
        <a:xfrm>
          <a:off x="0" y="1070138"/>
          <a:ext cx="10692000" cy="5419725"/>
          <a:chOff x="0" y="1070138"/>
          <a:chExt cx="10692000" cy="5419725"/>
        </a:xfrm>
      </xdr:grpSpPr>
      <xdr:grpSp>
        <xdr:nvGrpSpPr>
          <xdr:cNvPr id="68" name="Shape 68"/>
          <xdr:cNvGrpSpPr/>
        </xdr:nvGrpSpPr>
        <xdr:grpSpPr>
          <a:xfrm>
            <a:off x="0" y="1070138"/>
            <a:ext cx="10692000" cy="541972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69" name="Shape 69"/>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0" name="Shape 70"/>
            <xdr:cNvSpPr/>
          </xdr:nvSpPr>
          <xdr:spPr>
            <a:xfrm>
              <a:off x="0" y="381449"/>
              <a:ext cx="1198238"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1" name="Shape 71">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72" name="Shape 72">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73" name="Shape 73">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74" name="Shape 74">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75" name="Shape 75">
              <a:hlinkClick r:id="rId5"/>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76" name="Shape 76">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571500</xdr:colOff>
      <xdr:row>0</xdr:row>
      <xdr:rowOff>38100</xdr:rowOff>
    </xdr:from>
    <xdr:ext cx="6238875" cy="352425"/>
    <xdr:sp>
      <xdr:nvSpPr>
        <xdr:cNvPr id="77" name="Shape 77"/>
        <xdr:cNvSpPr/>
      </xdr:nvSpPr>
      <xdr:spPr>
        <a:xfrm>
          <a:off x="2231325" y="3608550"/>
          <a:ext cx="6229350" cy="3429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9</xdr:row>
      <xdr:rowOff>285750</xdr:rowOff>
    </xdr:from>
    <xdr:ext cx="1143000" cy="247650"/>
    <xdr:sp>
      <xdr:nvSpPr>
        <xdr:cNvPr id="78" name="Shape 78">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10</xdr:row>
      <xdr:rowOff>285750</xdr:rowOff>
    </xdr:from>
    <xdr:ext cx="1143000" cy="257175"/>
    <xdr:sp>
      <xdr:nvSpPr>
        <xdr:cNvPr id="79" name="Shape 79">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266700</xdr:rowOff>
    </xdr:from>
    <xdr:ext cx="1143000" cy="266700"/>
    <xdr:sp>
      <xdr:nvSpPr>
        <xdr:cNvPr id="80" name="Shape 80">
          <a:hlinkClick r:id="rId9"/>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12</xdr:row>
      <xdr:rowOff>257175</xdr:rowOff>
    </xdr:from>
    <xdr:ext cx="1143000" cy="257175"/>
    <xdr:sp>
      <xdr:nvSpPr>
        <xdr:cNvPr id="81" name="Shape 81">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13</xdr:row>
      <xdr:rowOff>266700</xdr:rowOff>
    </xdr:from>
    <xdr:ext cx="1143000" cy="390525"/>
    <xdr:sp>
      <xdr:nvSpPr>
        <xdr:cNvPr id="82" name="Shape 82">
          <a:hlinkClick r:id="rId11"/>
        </xdr:cNvPr>
        <xdr:cNvSpPr/>
      </xdr:nvSpPr>
      <xdr:spPr>
        <a:xfrm>
          <a:off x="4779263" y="3589500"/>
          <a:ext cx="1133475" cy="3810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47625</xdr:colOff>
      <xdr:row>0</xdr:row>
      <xdr:rowOff>9525</xdr:rowOff>
    </xdr:from>
    <xdr:ext cx="13268325" cy="5419725"/>
    <xdr:grpSp>
      <xdr:nvGrpSpPr>
        <xdr:cNvPr id="2" name="Shape 2"/>
        <xdr:cNvGrpSpPr/>
      </xdr:nvGrpSpPr>
      <xdr:grpSpPr>
        <a:xfrm>
          <a:off x="0" y="1070138"/>
          <a:ext cx="10692000" cy="5419725"/>
          <a:chOff x="0" y="1070138"/>
          <a:chExt cx="10692000" cy="5419725"/>
        </a:xfrm>
      </xdr:grpSpPr>
      <xdr:grpSp>
        <xdr:nvGrpSpPr>
          <xdr:cNvPr id="83" name="Shape 83"/>
          <xdr:cNvGrpSpPr/>
        </xdr:nvGrpSpPr>
        <xdr:grpSpPr>
          <a:xfrm>
            <a:off x="0" y="1070138"/>
            <a:ext cx="10692000" cy="5419725"/>
            <a:chOff x="-6694" y="0"/>
            <a:chExt cx="14660009" cy="5795347"/>
          </a:xfrm>
        </xdr:grpSpPr>
        <xdr:sp>
          <xdr:nvSpPr>
            <xdr:cNvPr id="4" name="Shape 4"/>
            <xdr:cNvSpPr/>
          </xdr:nvSpPr>
          <xdr:spPr>
            <a:xfrm>
              <a:off x="-6694" y="0"/>
              <a:ext cx="146600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84" name="Shape 84"/>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5" name="Shape 85"/>
            <xdr:cNvSpPr/>
          </xdr:nvSpPr>
          <xdr:spPr>
            <a:xfrm>
              <a:off x="0" y="381449"/>
              <a:ext cx="1352202"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6" name="Shape 86">
              <a:hlinkClick r:id="rId12"/>
            </xdr:cNvPr>
            <xdr:cNvSpPr/>
          </xdr:nvSpPr>
          <xdr:spPr>
            <a:xfrm>
              <a:off x="-6694" y="483442"/>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87" name="Shape 87">
              <a:hlinkClick r:id="rId13"/>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88" name="Shape 88">
              <a:hlinkClick r:id="rId14"/>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89" name="Shape 89">
              <a:hlinkClick r:id="rId15"/>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90" name="Shape 90">
              <a:hlinkClick r:id="rId16"/>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91" name="Shape 91">
              <a:hlinkClick r:id="rId17"/>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0</xdr:col>
      <xdr:colOff>0</xdr:colOff>
      <xdr:row>7</xdr:row>
      <xdr:rowOff>276225</xdr:rowOff>
    </xdr:from>
    <xdr:ext cx="1143000" cy="266700"/>
    <xdr:sp>
      <xdr:nvSpPr>
        <xdr:cNvPr id="92" name="Shape 92">
          <a:hlinkClick r:id="rId18"/>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8</xdr:row>
      <xdr:rowOff>0</xdr:rowOff>
    </xdr:from>
    <xdr:ext cx="1143000" cy="285750"/>
    <xdr:sp>
      <xdr:nvSpPr>
        <xdr:cNvPr id="93" name="Shape 93">
          <a:hlinkClick r:id="rId1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9</xdr:row>
      <xdr:rowOff>161925</xdr:rowOff>
    </xdr:from>
    <xdr:ext cx="1143000" cy="323850"/>
    <xdr:sp>
      <xdr:nvSpPr>
        <xdr:cNvPr id="94" name="Shape 94">
          <a:hlinkClick r:id="rId2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10</xdr:row>
      <xdr:rowOff>180975</xdr:rowOff>
    </xdr:from>
    <xdr:ext cx="1143000" cy="285750"/>
    <xdr:sp>
      <xdr:nvSpPr>
        <xdr:cNvPr id="95" name="Shape 95">
          <a:hlinkClick r:id="rId21"/>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11</xdr:row>
      <xdr:rowOff>219075</xdr:rowOff>
    </xdr:from>
    <xdr:ext cx="1143000" cy="266700"/>
    <xdr:sp>
      <xdr:nvSpPr>
        <xdr:cNvPr id="96" name="Shape 96">
          <a:hlinkClick r:id="rId22"/>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3105150</xdr:colOff>
      <xdr:row>120</xdr:row>
      <xdr:rowOff>9525</xdr:rowOff>
    </xdr:from>
    <xdr:ext cx="838200" cy="542925"/>
    <xdr:sp>
      <xdr:nvSpPr>
        <xdr:cNvPr id="97" name="Shape 97"/>
        <xdr:cNvSpPr/>
      </xdr:nvSpPr>
      <xdr:spPr>
        <a:xfrm>
          <a:off x="4931663" y="3513300"/>
          <a:ext cx="82867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295275</xdr:colOff>
      <xdr:row>120</xdr:row>
      <xdr:rowOff>9525</xdr:rowOff>
    </xdr:from>
    <xdr:ext cx="990600" cy="542925"/>
    <xdr:sp>
      <xdr:nvSpPr>
        <xdr:cNvPr id="98" name="Shape 98"/>
        <xdr:cNvSpPr/>
      </xdr:nvSpPr>
      <xdr:spPr>
        <a:xfrm>
          <a:off x="4855463" y="3513300"/>
          <a:ext cx="981075"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47625</xdr:colOff>
      <xdr:row>22</xdr:row>
      <xdr:rowOff>285750</xdr:rowOff>
    </xdr:from>
    <xdr:ext cx="857250" cy="390525"/>
    <xdr:sp>
      <xdr:nvSpPr>
        <xdr:cNvPr id="99" name="Shape 99"/>
        <xdr:cNvSpPr/>
      </xdr:nvSpPr>
      <xdr:spPr>
        <a:xfrm>
          <a:off x="4922138" y="3589500"/>
          <a:ext cx="847725" cy="3810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Add Rows</a:t>
          </a:r>
          <a:endParaRPr sz="1400"/>
        </a:p>
      </xdr:txBody>
    </xdr:sp>
    <xdr:clientData fLocksWithSheet="0"/>
  </xdr:oneCellAnchor>
  <xdr:oneCellAnchor>
    <xdr:from>
      <xdr:col>1</xdr:col>
      <xdr:colOff>361950</xdr:colOff>
      <xdr:row>23</xdr:row>
      <xdr:rowOff>0</xdr:rowOff>
    </xdr:from>
    <xdr:ext cx="828675" cy="361950"/>
    <xdr:sp>
      <xdr:nvSpPr>
        <xdr:cNvPr id="100" name="Shape 100"/>
        <xdr:cNvSpPr/>
      </xdr:nvSpPr>
      <xdr:spPr>
        <a:xfrm>
          <a:off x="4936425" y="3608550"/>
          <a:ext cx="819150" cy="3429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Delete row</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181725" cy="342900"/>
    <xdr:sp>
      <xdr:nvSpPr>
        <xdr:cNvPr id="101" name="Shape 101"/>
        <xdr:cNvSpPr/>
      </xdr:nvSpPr>
      <xdr:spPr>
        <a:xfrm>
          <a:off x="2259900" y="3613313"/>
          <a:ext cx="6172200" cy="333375"/>
        </a:xfrm>
        <a:prstGeom prst="rect">
          <a:avLst/>
        </a:prstGeom>
        <a:solidFill>
          <a:schemeClr val="dk2"/>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104775</xdr:rowOff>
    </xdr:from>
    <xdr:ext cx="1143000" cy="1476375"/>
    <xdr:sp>
      <xdr:nvSpPr>
        <xdr:cNvPr id="102" name="Shape 102">
          <a:hlinkClick r:id="rId1"/>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14</xdr:row>
      <xdr:rowOff>28575</xdr:rowOff>
    </xdr:from>
    <xdr:ext cx="1143000" cy="228600"/>
    <xdr:sp>
      <xdr:nvSpPr>
        <xdr:cNvPr id="103" name="Shape 103">
          <a:hlinkClick r:id="rId2"/>
        </xdr:cNvPr>
        <xdr:cNvSpPr/>
      </xdr:nvSpPr>
      <xdr:spPr>
        <a:xfrm>
          <a:off x="4779263" y="3670463"/>
          <a:ext cx="1133475" cy="219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15</xdr:row>
      <xdr:rowOff>133350</xdr:rowOff>
    </xdr:from>
    <xdr:ext cx="1143000" cy="285750"/>
    <xdr:sp>
      <xdr:nvSpPr>
        <xdr:cNvPr id="104" name="Shape 104">
          <a:hlinkClick r:id="rId3"/>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17</xdr:row>
      <xdr:rowOff>142875</xdr:rowOff>
    </xdr:from>
    <xdr:ext cx="1143000" cy="76200"/>
    <xdr:sp>
      <xdr:nvSpPr>
        <xdr:cNvPr id="105" name="Shape 105">
          <a:hlinkClick r:id="rId4"/>
        </xdr:cNvPr>
        <xdr:cNvSpPr/>
      </xdr:nvSpPr>
      <xdr:spPr>
        <a:xfrm>
          <a:off x="4779263" y="3746663"/>
          <a:ext cx="1133475" cy="66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36</xdr:row>
      <xdr:rowOff>0</xdr:rowOff>
    </xdr:from>
    <xdr:ext cx="1143000" cy="733425"/>
    <xdr:sp>
      <xdr:nvSpPr>
        <xdr:cNvPr id="106" name="Shape 106">
          <a:hlinkClick r:id="rId5"/>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9525</xdr:colOff>
      <xdr:row>12</xdr:row>
      <xdr:rowOff>104775</xdr:rowOff>
    </xdr:from>
    <xdr:ext cx="1143000" cy="1476375"/>
    <xdr:sp>
      <xdr:nvSpPr>
        <xdr:cNvPr id="107" name="Shape 107">
          <a:hlinkClick r:id="rId6"/>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36</xdr:row>
      <xdr:rowOff>0</xdr:rowOff>
    </xdr:from>
    <xdr:ext cx="1143000" cy="733425"/>
    <xdr:sp>
      <xdr:nvSpPr>
        <xdr:cNvPr id="108" name="Shape 108">
          <a:hlinkClick r:id="rId7"/>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38100</xdr:colOff>
      <xdr:row>12</xdr:row>
      <xdr:rowOff>104775</xdr:rowOff>
    </xdr:from>
    <xdr:ext cx="1143000" cy="1476375"/>
    <xdr:sp>
      <xdr:nvSpPr>
        <xdr:cNvPr id="109" name="Shape 109">
          <a:hlinkClick r:id="rId8"/>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5</xdr:col>
      <xdr:colOff>504825</xdr:colOff>
      <xdr:row>40</xdr:row>
      <xdr:rowOff>9525</xdr:rowOff>
    </xdr:from>
    <xdr:ext cx="981075" cy="542925"/>
    <xdr:sp>
      <xdr:nvSpPr>
        <xdr:cNvPr id="110" name="Shape 110"/>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161925</xdr:colOff>
      <xdr:row>41</xdr:row>
      <xdr:rowOff>0</xdr:rowOff>
    </xdr:from>
    <xdr:ext cx="981075" cy="542925"/>
    <xdr:sp>
      <xdr:nvSpPr>
        <xdr:cNvPr id="111" name="Shape 111"/>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77850" cy="5448300"/>
    <xdr:grpSp>
      <xdr:nvGrpSpPr>
        <xdr:cNvPr id="2" name="Shape 2"/>
        <xdr:cNvGrpSpPr/>
      </xdr:nvGrpSpPr>
      <xdr:grpSpPr>
        <a:xfrm>
          <a:off x="0" y="1055850"/>
          <a:ext cx="10692000" cy="5448300"/>
          <a:chOff x="0" y="1055850"/>
          <a:chExt cx="10692000" cy="5448300"/>
        </a:xfrm>
      </xdr:grpSpPr>
      <xdr:grpSp>
        <xdr:nvGrpSpPr>
          <xdr:cNvPr id="112" name="Shape 112"/>
          <xdr:cNvGrpSpPr/>
        </xdr:nvGrpSpPr>
        <xdr:grpSpPr>
          <a:xfrm>
            <a:off x="0" y="1055850"/>
            <a:ext cx="10692000" cy="54483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13" name="Shape 113"/>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4" name="Shape 114"/>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5" name="Shape 115">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16" name="Shape 116">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17" name="Shape 117">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18" name="Shape 118">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19" name="Shape 119">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20" name="Shape 120">
              <a:hlinkClick r:id="rId6"/>
            </xdr:cNvPr>
            <xdr:cNvSpPr/>
          </xdr:nvSpPr>
          <xdr:spPr>
            <a:xfrm>
              <a:off x="0" y="204263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1000125</xdr:colOff>
      <xdr:row>0</xdr:row>
      <xdr:rowOff>38100</xdr:rowOff>
    </xdr:from>
    <xdr:ext cx="6162675" cy="342900"/>
    <xdr:sp>
      <xdr:nvSpPr>
        <xdr:cNvPr id="121" name="Shape 121"/>
        <xdr:cNvSpPr/>
      </xdr:nvSpPr>
      <xdr:spPr>
        <a:xfrm>
          <a:off x="2269425" y="3613313"/>
          <a:ext cx="61531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104775</xdr:rowOff>
    </xdr:from>
    <xdr:ext cx="1143000" cy="247650"/>
    <xdr:sp>
      <xdr:nvSpPr>
        <xdr:cNvPr id="122" name="Shape 122">
          <a:hlinkClick r:id="rId7"/>
        </xdr:cNvPr>
        <xdr:cNvSpPr/>
      </xdr:nvSpPr>
      <xdr:spPr>
        <a:xfrm>
          <a:off x="4779263" y="3660938"/>
          <a:ext cx="1133475" cy="238125"/>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5</a:t>
          </a:r>
          <a:endParaRPr sz="1400"/>
        </a:p>
      </xdr:txBody>
    </xdr:sp>
    <xdr:clientData fLocksWithSheet="0"/>
  </xdr:oneCellAnchor>
  <xdr:oneCellAnchor>
    <xdr:from>
      <xdr:col>0</xdr:col>
      <xdr:colOff>0</xdr:colOff>
      <xdr:row>11</xdr:row>
      <xdr:rowOff>28575</xdr:rowOff>
    </xdr:from>
    <xdr:ext cx="1143000" cy="238125"/>
    <xdr:sp>
      <xdr:nvSpPr>
        <xdr:cNvPr id="123" name="Shape 123">
          <a:hlinkClick r:id="rId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323850</xdr:rowOff>
    </xdr:from>
    <xdr:ext cx="1143000" cy="400050"/>
    <xdr:sp>
      <xdr:nvSpPr>
        <xdr:cNvPr id="124" name="Shape 124">
          <a:hlinkClick r:id="rId9"/>
        </xdr:cNvPr>
        <xdr:cNvSpPr/>
      </xdr:nvSpPr>
      <xdr:spPr>
        <a:xfrm>
          <a:off x="4779263" y="3584738"/>
          <a:ext cx="1133475" cy="3905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0</xdr:rowOff>
    </xdr:from>
    <xdr:ext cx="1143000" cy="314325"/>
    <xdr:sp>
      <xdr:nvSpPr>
        <xdr:cNvPr id="125" name="Shape 125">
          <a:hlinkClick r:id="rId10"/>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15</xdr:row>
      <xdr:rowOff>38100</xdr:rowOff>
    </xdr:from>
    <xdr:ext cx="1143000" cy="381000"/>
    <xdr:sp>
      <xdr:nvSpPr>
        <xdr:cNvPr id="126" name="Shape 126">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0</xdr:colOff>
      <xdr:row>43</xdr:row>
      <xdr:rowOff>0</xdr:rowOff>
    </xdr:from>
    <xdr:ext cx="1009650" cy="495300"/>
    <xdr:sp>
      <xdr:nvSpPr>
        <xdr:cNvPr id="127" name="Shape 127"/>
        <xdr:cNvSpPr/>
      </xdr:nvSpPr>
      <xdr:spPr>
        <a:xfrm>
          <a:off x="4841175" y="3532350"/>
          <a:ext cx="1009650" cy="4953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Back</a:t>
          </a:r>
          <a:endParaRPr sz="1400"/>
        </a:p>
      </xdr:txBody>
    </xdr:sp>
    <xdr:clientData fLocksWithSheet="0"/>
  </xdr:oneCellAnchor>
  <xdr:oneCellAnchor>
    <xdr:from>
      <xdr:col>7</xdr:col>
      <xdr:colOff>1190625</xdr:colOff>
      <xdr:row>42</xdr:row>
      <xdr:rowOff>85725</xdr:rowOff>
    </xdr:from>
    <xdr:ext cx="914400" cy="504825"/>
    <xdr:sp>
      <xdr:nvSpPr>
        <xdr:cNvPr id="128" name="Shape 128"/>
        <xdr:cNvSpPr/>
      </xdr:nvSpPr>
      <xdr:spPr>
        <a:xfrm>
          <a:off x="4893563" y="3532350"/>
          <a:ext cx="904875" cy="4953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Next</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335000" cy="9477375"/>
    <xdr:grpSp>
      <xdr:nvGrpSpPr>
        <xdr:cNvPr id="2" name="Shape 2"/>
        <xdr:cNvGrpSpPr/>
      </xdr:nvGrpSpPr>
      <xdr:grpSpPr>
        <a:xfrm>
          <a:off x="0" y="0"/>
          <a:ext cx="10692000" cy="7560000"/>
          <a:chOff x="0" y="0"/>
          <a:chExt cx="10692000" cy="7560000"/>
        </a:xfrm>
      </xdr:grpSpPr>
      <xdr:grpSp>
        <xdr:nvGrpSpPr>
          <xdr:cNvPr id="129" name="Shape 129"/>
          <xdr:cNvGrpSpPr/>
        </xdr:nvGrpSpPr>
        <xdr:grpSpPr>
          <a:xfrm>
            <a:off x="0" y="0"/>
            <a:ext cx="10692000" cy="75600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30" name="Shape 130"/>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31" name="Shape 131"/>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32" name="Shape 132">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3" name="Shape 133">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34" name="Shape 134">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35" name="Shape 135">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36" name="Shape 136">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37" name="Shape 137">
              <a:hlinkClick r:id="rId6"/>
            </xdr:cNvPr>
            <xdr:cNvSpPr/>
          </xdr:nvSpPr>
          <xdr:spPr>
            <a:xfrm>
              <a:off x="0" y="2022558"/>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sp>
          <xdr:nvSpPr>
            <xdr:cNvPr id="138" name="Shape 138">
              <a:hlinkClick r:id="rId7"/>
            </xdr:cNvPr>
            <xdr:cNvSpPr/>
          </xdr:nvSpPr>
          <xdr:spPr>
            <a:xfrm>
              <a:off x="0" y="473474"/>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9" name="Shape 139">
              <a:hlinkClick r:id="rId8"/>
            </xdr:cNvPr>
            <xdr:cNvSpPr/>
          </xdr:nvSpPr>
          <xdr:spPr>
            <a:xfrm>
              <a:off x="0" y="791323"/>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40" name="Shape 140">
              <a:hlinkClick r:id="rId9"/>
            </xdr:cNvPr>
            <xdr:cNvSpPr/>
          </xdr:nvSpPr>
          <xdr:spPr>
            <a:xfrm>
              <a:off x="0" y="1069045"/>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41" name="Shape 141">
              <a:hlinkClick r:id="rId10"/>
            </xdr:cNvPr>
            <xdr:cNvSpPr/>
          </xdr:nvSpPr>
          <xdr:spPr>
            <a:xfrm>
              <a:off x="0" y="1383560"/>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42" name="Shape 142">
              <a:hlinkClick r:id="rId11"/>
            </xdr:cNvPr>
            <xdr:cNvSpPr/>
          </xdr:nvSpPr>
          <xdr:spPr>
            <a:xfrm>
              <a:off x="0" y="172484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grpSp>
    </xdr:grpSp>
    <xdr:clientData fLocksWithSheet="0"/>
  </xdr:oneCellAnchor>
  <xdr:oneCellAnchor>
    <xdr:from>
      <xdr:col>3</xdr:col>
      <xdr:colOff>676275</xdr:colOff>
      <xdr:row>0</xdr:row>
      <xdr:rowOff>38100</xdr:rowOff>
    </xdr:from>
    <xdr:ext cx="6172200" cy="342900"/>
    <xdr:sp>
      <xdr:nvSpPr>
        <xdr:cNvPr id="143" name="Shape 143"/>
        <xdr:cNvSpPr/>
      </xdr:nvSpPr>
      <xdr:spPr>
        <a:xfrm>
          <a:off x="2264663" y="3613313"/>
          <a:ext cx="616267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619125</xdr:rowOff>
    </xdr:from>
    <xdr:ext cx="1143000" cy="247650"/>
    <xdr:sp>
      <xdr:nvSpPr>
        <xdr:cNvPr id="144" name="Shape 144">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12</xdr:row>
      <xdr:rowOff>38100</xdr:rowOff>
    </xdr:from>
    <xdr:ext cx="1143000" cy="257175"/>
    <xdr:sp>
      <xdr:nvSpPr>
        <xdr:cNvPr id="145" name="Shape 145">
          <a:hlinkClick r:id="rId13"/>
        </xdr:cNvPr>
        <xdr:cNvSpPr/>
      </xdr:nvSpPr>
      <xdr:spPr>
        <a:xfrm>
          <a:off x="4779263" y="3656175"/>
          <a:ext cx="1133475" cy="247650"/>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152400</xdr:rowOff>
    </xdr:from>
    <xdr:ext cx="1143000" cy="695325"/>
    <xdr:sp>
      <xdr:nvSpPr>
        <xdr:cNvPr id="146" name="Shape 146">
          <a:hlinkClick r:id="rId14"/>
        </xdr:cNvPr>
        <xdr:cNvSpPr/>
      </xdr:nvSpPr>
      <xdr:spPr>
        <a:xfrm>
          <a:off x="4779263" y="3437100"/>
          <a:ext cx="1133475" cy="685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15</xdr:row>
      <xdr:rowOff>0</xdr:rowOff>
    </xdr:from>
    <xdr:ext cx="1143000" cy="561975"/>
    <xdr:sp>
      <xdr:nvSpPr>
        <xdr:cNvPr id="147" name="Shape 147">
          <a:hlinkClick r:id="rId15"/>
        </xdr:cNvPr>
        <xdr:cNvSpPr/>
      </xdr:nvSpPr>
      <xdr:spPr>
        <a:xfrm>
          <a:off x="4779263" y="3503775"/>
          <a:ext cx="1133475" cy="5524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17</xdr:row>
      <xdr:rowOff>76200</xdr:rowOff>
    </xdr:from>
    <xdr:ext cx="1143000" cy="238125"/>
    <xdr:sp>
      <xdr:nvSpPr>
        <xdr:cNvPr id="148" name="Shape 148">
          <a:hlinkClick r:id="rId16"/>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171450</xdr:colOff>
      <xdr:row>51</xdr:row>
      <xdr:rowOff>142875</xdr:rowOff>
    </xdr:from>
    <xdr:ext cx="981075" cy="542925"/>
    <xdr:sp>
      <xdr:nvSpPr>
        <xdr:cNvPr id="149" name="Shape 149"/>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304800</xdr:colOff>
      <xdr:row>52</xdr:row>
      <xdr:rowOff>0</xdr:rowOff>
    </xdr:from>
    <xdr:ext cx="981075" cy="542925"/>
    <xdr:sp>
      <xdr:nvSpPr>
        <xdr:cNvPr id="150" name="Shape 150"/>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200775" cy="342900"/>
    <xdr:sp>
      <xdr:nvSpPr>
        <xdr:cNvPr id="151" name="Shape 151"/>
        <xdr:cNvSpPr/>
      </xdr:nvSpPr>
      <xdr:spPr>
        <a:xfrm>
          <a:off x="2250375" y="3613313"/>
          <a:ext cx="61912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15</xdr:row>
      <xdr:rowOff>161925</xdr:rowOff>
    </xdr:from>
    <xdr:ext cx="1171575" cy="609600"/>
    <xdr:sp>
      <xdr:nvSpPr>
        <xdr:cNvPr id="152" name="Shape 152">
          <a:hlinkClick r:id="rId1"/>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53" name="Shape 153">
          <a:hlinkClick r:id="rId2"/>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4" name="Shape 154"/>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5" name="Shape 155"/>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6" name="Shape 156"/>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57" name="Shape 157">
          <a:hlinkClick r:id="rId3"/>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58" name="Shape 158">
          <a:hlinkClick r:id="rId4"/>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59" name="Shape 159">
          <a:hlinkClick r:id="rId5"/>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60" name="Shape 160">
          <a:hlinkClick r:id="rId6"/>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61" name="Shape 161">
          <a:hlinkClick r:id="rId7"/>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62" name="Shape 162">
          <a:hlinkClick r:id="rId8"/>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63" name="Shape 163">
          <a:hlinkClick r:id="rId9"/>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64" name="Shape 164">
          <a:hlinkClick r:id="rId1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65" name="Shape 165">
          <a:hlinkClick r:id="rId11"/>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66" name="Shape 166">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67" name="Shape 167">
          <a:hlinkClick r:id="rId13"/>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68" name="Shape 168"/>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169" name="Shape 169">
          <a:hlinkClick r:id="rId14"/>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70" name="Shape 170">
          <a:hlinkClick r:id="rId15"/>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4" name="Shape 154"/>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5" name="Shape 155"/>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6" name="Shape 156"/>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71" name="Shape 171">
          <a:hlinkClick r:id="rId16"/>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72" name="Shape 172">
          <a:hlinkClick r:id="rId17"/>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73" name="Shape 173">
          <a:hlinkClick r:id="rId18"/>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74" name="Shape 174">
          <a:hlinkClick r:id="rId19"/>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75" name="Shape 175">
          <a:hlinkClick r:id="rId20"/>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76" name="Shape 176">
          <a:hlinkClick r:id="rId21"/>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77" name="Shape 177">
          <a:hlinkClick r:id="rId22"/>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78" name="Shape 178">
          <a:hlinkClick r:id="rId23"/>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79" name="Shape 179">
          <a:hlinkClick r:id="rId24"/>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80" name="Shape 180">
          <a:hlinkClick r:id="rId2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81" name="Shape 181">
          <a:hlinkClick r:id="rId2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82" name="Shape 182"/>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183" name="Shape 183">
          <a:hlinkClick r:id="rId27"/>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84" name="Shape 184">
          <a:hlinkClick r:id="rId2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4" name="Shape 154"/>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5" name="Shape 155"/>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6" name="Shape 156"/>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85" name="Shape 185">
          <a:hlinkClick r:id="rId29"/>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86" name="Shape 186">
          <a:hlinkClick r:id="rId30"/>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87" name="Shape 187">
          <a:hlinkClick r:id="rId31"/>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88" name="Shape 188">
          <a:hlinkClick r:id="rId32"/>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89" name="Shape 189">
          <a:hlinkClick r:id="rId33"/>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90" name="Shape 190">
          <a:hlinkClick r:id="rId34"/>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91" name="Shape 191">
          <a:hlinkClick r:id="rId35"/>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92" name="Shape 192">
          <a:hlinkClick r:id="rId36"/>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93" name="Shape 193">
          <a:hlinkClick r:id="rId37"/>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94" name="Shape 194">
          <a:hlinkClick r:id="rId38"/>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95" name="Shape 195">
          <a:hlinkClick r:id="rId39"/>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96" name="Shape 196"/>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6</xdr:col>
      <xdr:colOff>3295650</xdr:colOff>
      <xdr:row>46</xdr:row>
      <xdr:rowOff>76200</xdr:rowOff>
    </xdr:from>
    <xdr:ext cx="1009650" cy="542925"/>
    <xdr:sp>
      <xdr:nvSpPr>
        <xdr:cNvPr id="197" name="Shape 197"/>
        <xdr:cNvSpPr/>
      </xdr:nvSpPr>
      <xdr:spPr>
        <a:xfrm>
          <a:off x="4845938" y="3508538"/>
          <a:ext cx="1000125" cy="5429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Submit</a:t>
          </a:r>
          <a:endParaRPr sz="1400"/>
        </a:p>
      </xdr:txBody>
    </xdr:sp>
    <xdr:clientData fLocksWithSheet="0"/>
  </xdr:oneCellAnchor>
  <xdr:oneCellAnchor>
    <xdr:from>
      <xdr:col>0</xdr:col>
      <xdr:colOff>0</xdr:colOff>
      <xdr:row>15</xdr:row>
      <xdr:rowOff>161925</xdr:rowOff>
    </xdr:from>
    <xdr:ext cx="1171575" cy="609600"/>
    <xdr:sp>
      <xdr:nvSpPr>
        <xdr:cNvPr id="198" name="Shape 198">
          <a:hlinkClick r:id="rId40"/>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99" name="Shape 199">
          <a:hlinkClick r:id="rId41"/>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4" name="Shape 154"/>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5" name="Shape 155"/>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6" name="Shape 156"/>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200" name="Shape 200">
          <a:hlinkClick r:id="rId42"/>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201" name="Shape 201">
          <a:hlinkClick r:id="rId43"/>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202" name="Shape 202">
          <a:hlinkClick r:id="rId44"/>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03" name="Shape 203">
          <a:hlinkClick r:id="rId45"/>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204" name="Shape 204">
          <a:hlinkClick r:id="rId46"/>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05" name="Shape 205">
          <a:hlinkClick r:id="rId47"/>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06" name="Shape 206">
          <a:hlinkClick r:id="rId48"/>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07" name="Shape 207">
          <a:hlinkClick r:id="rId49"/>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208" name="Shape 208">
          <a:hlinkClick r:id="rId50"/>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09" name="Shape 209">
          <a:hlinkClick r:id="rId51"/>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10" name="Shape 210">
          <a:hlinkClick r:id="rId5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211" name="Shape 211"/>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212" name="Shape 212">
          <a:hlinkClick r:id="rId53"/>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213" name="Shape 213">
          <a:hlinkClick r:id="rId5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4" name="Shape 154"/>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5" name="Shape 155"/>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6" name="Shape 156"/>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214" name="Shape 214">
          <a:hlinkClick r:id="rId55"/>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215" name="Shape 215">
          <a:hlinkClick r:id="rId56"/>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216" name="Shape 216">
          <a:hlinkClick r:id="rId57"/>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17" name="Shape 217">
          <a:hlinkClick r:id="rId58"/>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218" name="Shape 218">
          <a:hlinkClick r:id="rId59"/>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19" name="Shape 219">
          <a:hlinkClick r:id="rId60"/>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20" name="Shape 220">
          <a:hlinkClick r:id="rId61"/>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21" name="Shape 221">
          <a:hlinkClick r:id="rId62"/>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222" name="Shape 222">
          <a:hlinkClick r:id="rId63"/>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23" name="Shape 223">
          <a:hlinkClick r:id="rId64"/>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24" name="Shape 224">
          <a:hlinkClick r:id="rId6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225" name="Shape 225"/>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001875" cy="4267200"/>
    <xdr:grpSp>
      <xdr:nvGrpSpPr>
        <xdr:cNvPr id="2" name="Shape 2"/>
        <xdr:cNvGrpSpPr/>
      </xdr:nvGrpSpPr>
      <xdr:grpSpPr>
        <a:xfrm>
          <a:off x="0" y="1646400"/>
          <a:ext cx="10692000" cy="4267200"/>
          <a:chOff x="0" y="1646400"/>
          <a:chExt cx="10692000" cy="4267200"/>
        </a:xfrm>
      </xdr:grpSpPr>
      <xdr:grpSp>
        <xdr:nvGrpSpPr>
          <xdr:cNvPr id="226" name="Shape 226"/>
          <xdr:cNvGrpSpPr/>
        </xdr:nvGrpSpPr>
        <xdr:grpSpPr>
          <a:xfrm>
            <a:off x="0" y="1646400"/>
            <a:ext cx="10692000" cy="42672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27" name="Shape 227"/>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8" name="Shape 228"/>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9" name="Shape 22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30" name="Shape 230">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231" name="Shape 231">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a:t>
              </a:r>
              <a:endParaRPr sz="1400"/>
            </a:p>
          </xdr:txBody>
        </xdr:sp>
        <xdr:sp>
          <xdr:nvSpPr>
            <xdr:cNvPr id="232" name="Shape 232">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sp>
          <xdr:nvSpPr>
            <xdr:cNvPr id="233" name="Shape 233">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grpSp>
    </xdr:grpSp>
    <xdr:clientData fLocksWithSheet="0"/>
  </xdr:oneCellAnchor>
  <xdr:oneCellAnchor>
    <xdr:from>
      <xdr:col>0</xdr:col>
      <xdr:colOff>0</xdr:colOff>
      <xdr:row>6</xdr:row>
      <xdr:rowOff>685800</xdr:rowOff>
    </xdr:from>
    <xdr:ext cx="1143000" cy="247650"/>
    <xdr:sp>
      <xdr:nvSpPr>
        <xdr:cNvPr id="234" name="Shape 234">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4</xdr:col>
      <xdr:colOff>0</xdr:colOff>
      <xdr:row>26</xdr:row>
      <xdr:rowOff>0</xdr:rowOff>
    </xdr:from>
    <xdr:ext cx="914400" cy="352425"/>
    <xdr:sp>
      <xdr:nvSpPr>
        <xdr:cNvPr id="235" name="Shape 235"/>
        <xdr:cNvSpPr/>
      </xdr:nvSpPr>
      <xdr:spPr>
        <a:xfrm>
          <a:off x="4888800" y="3603788"/>
          <a:ext cx="914400" cy="3524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Reviewed</a:t>
          </a:r>
          <a:endParaRPr sz="1400"/>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workbookViewId="0"/>
  </sheetViews>
  <sheetFormatPr customHeight="1" defaultColWidth="14.43" defaultRowHeight="15.0"/>
  <cols>
    <col customWidth="1" min="1" max="3" width="8.71"/>
    <col customWidth="1" min="4" max="4" width="30.43"/>
    <col customWidth="1" min="5" max="7" width="8.71"/>
    <col customWidth="1" min="8" max="8" width="7.86"/>
    <col customWidth="1" min="9" max="9" width="8.71"/>
    <col customWidth="1" min="10" max="10" width="41.0"/>
    <col customWidth="1" min="11" max="26" width="8.71"/>
  </cols>
  <sheetData>
    <row r="1" ht="14.25" customHeight="1">
      <c r="A1" s="1"/>
      <c r="B1" s="1" t="s">
        <v>0</v>
      </c>
      <c r="C1" s="1"/>
      <c r="D1" s="1" t="s">
        <v>1</v>
      </c>
      <c r="F1" s="1" t="s">
        <v>2</v>
      </c>
      <c r="H1" s="2" t="s">
        <v>3</v>
      </c>
      <c r="J1" s="1" t="s">
        <v>4</v>
      </c>
      <c r="K1" s="3" t="s">
        <v>5</v>
      </c>
      <c r="L1" s="4"/>
    </row>
    <row r="2" ht="14.25" customHeight="1">
      <c r="A2" s="2" t="s">
        <v>6</v>
      </c>
      <c r="B2" s="2" t="s">
        <v>7</v>
      </c>
      <c r="D2" s="2" t="s">
        <v>8</v>
      </c>
      <c r="F2" s="2" t="s">
        <v>9</v>
      </c>
      <c r="H2" s="2" t="s">
        <v>10</v>
      </c>
      <c r="J2" s="2" t="s">
        <v>11</v>
      </c>
      <c r="K2" s="5" t="s">
        <v>12</v>
      </c>
    </row>
    <row r="3" ht="14.25" customHeight="1">
      <c r="A3" s="2" t="s">
        <v>13</v>
      </c>
      <c r="B3" s="2" t="s">
        <v>14</v>
      </c>
      <c r="D3" s="2" t="s">
        <v>15</v>
      </c>
      <c r="F3" s="2" t="s">
        <v>16</v>
      </c>
      <c r="H3" s="2" t="s">
        <v>17</v>
      </c>
      <c r="J3" s="2" t="s">
        <v>18</v>
      </c>
      <c r="K3" s="5" t="s">
        <v>19</v>
      </c>
      <c r="L3" s="4"/>
    </row>
    <row r="4" ht="14.25" customHeight="1">
      <c r="A4" s="2" t="s">
        <v>20</v>
      </c>
      <c r="B4" s="2" t="s">
        <v>21</v>
      </c>
      <c r="F4" s="2" t="s">
        <v>21</v>
      </c>
      <c r="J4" s="2" t="s">
        <v>22</v>
      </c>
      <c r="K4" s="5" t="s">
        <v>23</v>
      </c>
      <c r="L4" s="4"/>
    </row>
    <row r="5" ht="14.25" customHeight="1">
      <c r="K5" s="2" t="s">
        <v>24</v>
      </c>
    </row>
    <row r="6" ht="14.25" customHeight="1"/>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K2:L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Main">
    <pageSetUpPr/>
  </sheetPr>
  <sheetViews>
    <sheetView showGridLines="0" workbookViewId="0"/>
  </sheetViews>
  <sheetFormatPr customHeight="1" defaultColWidth="14.43" defaultRowHeight="15.0"/>
  <cols>
    <col customWidth="1" min="1" max="3" width="9.14"/>
    <col customWidth="1" min="4" max="4" width="19.43"/>
    <col customWidth="1" min="5" max="5" width="14.86"/>
    <col customWidth="1" min="6" max="6" width="91.0"/>
    <col customWidth="1" min="7" max="10" width="9.14"/>
    <col customWidth="1" min="11" max="11" width="11.86"/>
    <col customWidth="1" min="12" max="12" width="5.86"/>
    <col customWidth="1" min="13" max="13" width="51.71"/>
    <col customWidth="1" min="14" max="14" width="12.29"/>
    <col customWidth="1" min="15" max="15" width="12.86"/>
    <col customWidth="1" min="16" max="16" width="9.14"/>
    <col customWidth="1" hidden="1" min="17" max="18" width="8.71"/>
    <col customWidth="1" min="19" max="26" width="8.71"/>
  </cols>
  <sheetData>
    <row r="1" ht="14.25" customHeight="1">
      <c r="A1" s="6"/>
      <c r="B1" s="6"/>
      <c r="C1" s="6"/>
      <c r="D1" s="6"/>
      <c r="E1" s="6"/>
      <c r="F1" s="6"/>
      <c r="G1" s="6"/>
      <c r="H1" s="6"/>
      <c r="I1" s="6"/>
      <c r="J1" s="6"/>
      <c r="K1" s="6"/>
      <c r="L1" s="6"/>
      <c r="M1" s="6"/>
      <c r="N1" s="6"/>
      <c r="O1" s="6"/>
      <c r="P1" s="6">
        <v>2.0</v>
      </c>
      <c r="Q1" s="6"/>
      <c r="R1" s="6"/>
      <c r="S1" s="6"/>
      <c r="T1" s="6"/>
      <c r="U1" s="6"/>
      <c r="V1" s="6"/>
      <c r="W1" s="6"/>
      <c r="X1" s="6"/>
      <c r="Y1" s="6"/>
      <c r="Z1" s="6"/>
    </row>
    <row r="2" ht="9.75" customHeight="1">
      <c r="A2" s="6"/>
      <c r="B2" s="6"/>
      <c r="C2" s="6"/>
      <c r="D2" s="6"/>
      <c r="E2" s="6"/>
      <c r="F2" s="6"/>
      <c r="G2" s="6"/>
      <c r="H2" s="6"/>
      <c r="I2" s="6"/>
      <c r="J2" s="6"/>
      <c r="K2" s="6"/>
      <c r="L2" s="6"/>
      <c r="M2" s="6"/>
      <c r="N2" s="6"/>
      <c r="O2" s="6"/>
      <c r="P2" s="6"/>
      <c r="Q2" s="6"/>
      <c r="R2" s="6"/>
      <c r="S2" s="6"/>
      <c r="T2" s="6"/>
      <c r="U2" s="6"/>
      <c r="V2" s="6"/>
      <c r="W2" s="6"/>
      <c r="X2" s="6"/>
      <c r="Y2" s="6"/>
      <c r="Z2" s="6"/>
    </row>
    <row r="3" ht="5.25" customHeight="1">
      <c r="A3" s="6"/>
      <c r="B3" s="6"/>
      <c r="C3" s="6"/>
      <c r="D3" s="6"/>
      <c r="E3" s="6"/>
      <c r="F3" s="6"/>
      <c r="G3" s="6"/>
      <c r="H3" s="6"/>
      <c r="I3" s="6"/>
      <c r="J3" s="6"/>
      <c r="K3" s="6"/>
      <c r="L3" s="6"/>
      <c r="M3" s="6"/>
      <c r="N3" s="6"/>
      <c r="O3" s="6"/>
      <c r="P3" s="6"/>
      <c r="Q3" s="6"/>
      <c r="R3" s="6"/>
      <c r="S3" s="6"/>
      <c r="T3" s="6"/>
      <c r="U3" s="6"/>
      <c r="V3" s="6"/>
      <c r="W3" s="6"/>
      <c r="X3" s="6"/>
      <c r="Y3" s="6"/>
      <c r="Z3" s="6"/>
    </row>
    <row r="4" ht="7.5" customHeight="1">
      <c r="A4" s="6"/>
      <c r="B4" s="6"/>
      <c r="C4" s="7"/>
      <c r="D4" s="7"/>
      <c r="E4" s="7"/>
      <c r="F4" s="7"/>
      <c r="G4" s="7"/>
      <c r="H4" s="7"/>
      <c r="I4" s="7"/>
      <c r="J4" s="7"/>
      <c r="K4" s="7"/>
      <c r="L4" s="7"/>
      <c r="M4" s="7"/>
      <c r="N4" s="7"/>
      <c r="O4" s="7"/>
      <c r="P4" s="7"/>
      <c r="Q4" s="7"/>
      <c r="R4" s="7"/>
      <c r="S4" s="6"/>
      <c r="T4" s="6"/>
      <c r="U4" s="6"/>
      <c r="V4" s="6"/>
      <c r="W4" s="6"/>
      <c r="X4" s="6"/>
      <c r="Y4" s="6"/>
      <c r="Z4" s="6"/>
    </row>
    <row r="5" ht="14.25" customHeight="1">
      <c r="A5" s="6"/>
      <c r="B5" s="6"/>
      <c r="C5" s="7"/>
      <c r="D5" s="7"/>
      <c r="E5" s="8"/>
      <c r="F5" s="7"/>
      <c r="G5" s="7"/>
      <c r="H5" s="7"/>
      <c r="I5" s="7"/>
      <c r="J5" s="7"/>
      <c r="K5" s="7"/>
      <c r="L5" s="7"/>
      <c r="M5" s="7"/>
      <c r="N5" s="7"/>
      <c r="O5" s="7"/>
      <c r="P5" s="7"/>
      <c r="Q5" s="7"/>
      <c r="R5" s="7"/>
      <c r="S5" s="6"/>
      <c r="T5" s="6"/>
      <c r="U5" s="6"/>
      <c r="V5" s="6"/>
      <c r="W5" s="6"/>
      <c r="X5" s="6"/>
      <c r="Y5" s="6"/>
      <c r="Z5" s="6"/>
    </row>
    <row r="6" ht="14.25" customHeight="1">
      <c r="A6" s="6"/>
      <c r="B6" s="6"/>
      <c r="C6" s="7"/>
      <c r="D6" s="7"/>
      <c r="E6" s="8"/>
      <c r="F6" s="7"/>
      <c r="G6" s="7"/>
      <c r="H6" s="7"/>
      <c r="I6" s="7"/>
      <c r="J6" s="7"/>
      <c r="K6" s="7"/>
      <c r="L6" s="7"/>
      <c r="M6" s="7"/>
      <c r="N6" s="7"/>
      <c r="O6" s="7"/>
      <c r="P6" s="7"/>
      <c r="Q6" s="7"/>
      <c r="R6" s="7"/>
      <c r="S6" s="6"/>
      <c r="T6" s="6"/>
      <c r="U6" s="6"/>
      <c r="V6" s="6"/>
      <c r="W6" s="6"/>
      <c r="X6" s="6"/>
      <c r="Y6" s="6"/>
      <c r="Z6" s="6"/>
    </row>
    <row r="7" ht="14.25" customHeight="1">
      <c r="A7" s="6"/>
      <c r="B7" s="6"/>
      <c r="C7" s="7"/>
      <c r="D7" s="7"/>
      <c r="E7" s="8"/>
      <c r="F7" s="7"/>
      <c r="G7" s="7"/>
      <c r="H7" s="7"/>
      <c r="I7" s="7"/>
      <c r="J7" s="7"/>
      <c r="K7" s="7"/>
      <c r="L7" s="7"/>
      <c r="M7" s="7"/>
      <c r="N7" s="7"/>
      <c r="O7" s="7"/>
      <c r="P7" s="7">
        <v>2.0</v>
      </c>
      <c r="Q7" s="7"/>
      <c r="R7" s="7"/>
      <c r="S7" s="6"/>
      <c r="T7" s="6"/>
      <c r="U7" s="6"/>
      <c r="V7" s="6"/>
      <c r="W7" s="6"/>
      <c r="X7" s="6"/>
      <c r="Y7" s="6"/>
      <c r="Z7" s="6"/>
    </row>
    <row r="8" ht="14.25" customHeight="1">
      <c r="A8" s="6"/>
      <c r="B8" s="6"/>
      <c r="C8" s="7"/>
      <c r="D8" s="7"/>
      <c r="E8" s="8"/>
      <c r="F8" s="7"/>
      <c r="G8" s="7"/>
      <c r="H8" s="7"/>
      <c r="I8" s="7"/>
      <c r="J8" s="7"/>
      <c r="K8" s="7"/>
      <c r="L8" s="7"/>
      <c r="M8" s="7"/>
      <c r="N8" s="7"/>
      <c r="O8" s="7"/>
      <c r="P8" s="7"/>
      <c r="Q8" s="7"/>
      <c r="R8" s="7"/>
      <c r="S8" s="6"/>
      <c r="T8" s="6"/>
      <c r="U8" s="6"/>
      <c r="V8" s="6"/>
      <c r="W8" s="6"/>
      <c r="X8" s="6"/>
      <c r="Y8" s="6"/>
      <c r="Z8" s="6"/>
    </row>
    <row r="9" ht="14.25" customHeight="1">
      <c r="A9" s="6"/>
      <c r="B9" s="6"/>
      <c r="C9" s="7"/>
      <c r="D9" s="7"/>
      <c r="E9" s="7"/>
      <c r="F9" s="7"/>
      <c r="G9" s="7"/>
      <c r="H9" s="7"/>
      <c r="I9" s="7"/>
      <c r="J9" s="7"/>
      <c r="K9" s="7"/>
      <c r="L9" s="7"/>
      <c r="M9" s="7"/>
      <c r="N9" s="7"/>
      <c r="O9" s="7"/>
      <c r="P9" s="7"/>
      <c r="Q9" s="7"/>
      <c r="R9" s="7"/>
      <c r="S9" s="6"/>
      <c r="T9" s="6"/>
      <c r="U9" s="6"/>
      <c r="V9" s="6"/>
      <c r="W9" s="6"/>
      <c r="X9" s="6"/>
      <c r="Y9" s="6"/>
      <c r="Z9" s="6"/>
    </row>
    <row r="10" ht="30.0" customHeight="1">
      <c r="A10" s="6"/>
      <c r="B10" s="6"/>
      <c r="C10" s="7"/>
      <c r="D10" s="9" t="s">
        <v>25</v>
      </c>
      <c r="E10" s="10"/>
      <c r="F10" s="10" t="s">
        <v>26</v>
      </c>
      <c r="G10" s="7"/>
      <c r="H10" s="7"/>
      <c r="I10" s="7"/>
      <c r="J10" s="7"/>
      <c r="K10" s="7"/>
      <c r="L10" s="7"/>
      <c r="M10" s="7"/>
      <c r="N10" s="7"/>
      <c r="O10" s="7"/>
      <c r="P10" s="7"/>
      <c r="Q10" s="7"/>
      <c r="R10" s="7"/>
      <c r="S10" s="6"/>
      <c r="T10" s="6"/>
      <c r="U10" s="6"/>
      <c r="V10" s="6"/>
      <c r="W10" s="6"/>
      <c r="X10" s="6"/>
      <c r="Y10" s="6"/>
      <c r="Z10" s="6"/>
    </row>
    <row r="11" ht="27.0" customHeight="1">
      <c r="A11" s="6"/>
      <c r="B11" s="6"/>
      <c r="C11" s="7"/>
      <c r="D11" s="9" t="s">
        <v>27</v>
      </c>
      <c r="E11" s="11">
        <v>45620.0</v>
      </c>
      <c r="F11" s="7"/>
      <c r="G11" s="7"/>
      <c r="H11" s="7"/>
      <c r="I11" s="7"/>
      <c r="J11" s="7"/>
      <c r="K11" s="7"/>
      <c r="L11" s="7"/>
      <c r="M11" s="7"/>
      <c r="N11" s="7"/>
      <c r="O11" s="7"/>
      <c r="P11" s="7"/>
      <c r="Q11" s="7"/>
      <c r="R11" s="7"/>
      <c r="S11" s="6"/>
      <c r="T11" s="6"/>
      <c r="U11" s="6"/>
      <c r="V11" s="6"/>
      <c r="W11" s="6"/>
      <c r="X11" s="6"/>
      <c r="Y11" s="6"/>
      <c r="Z11" s="6"/>
    </row>
    <row r="12" ht="19.5" customHeight="1">
      <c r="A12" s="6"/>
      <c r="B12" s="6"/>
      <c r="C12" s="7"/>
      <c r="D12" s="7"/>
      <c r="E12" s="7"/>
      <c r="F12" s="7"/>
      <c r="G12" s="7"/>
      <c r="H12" s="7"/>
      <c r="I12" s="7"/>
      <c r="J12" s="7"/>
      <c r="K12" s="7"/>
      <c r="L12" s="7"/>
      <c r="M12" s="7"/>
      <c r="N12" s="7"/>
      <c r="O12" s="7"/>
      <c r="P12" s="7"/>
      <c r="Q12" s="7"/>
      <c r="R12" s="7"/>
      <c r="S12" s="6"/>
      <c r="T12" s="6"/>
      <c r="U12" s="6"/>
      <c r="V12" s="6"/>
      <c r="W12" s="6"/>
      <c r="X12" s="6"/>
      <c r="Y12" s="6"/>
      <c r="Z12" s="6"/>
    </row>
    <row r="13" ht="19.5" customHeight="1">
      <c r="A13" s="6"/>
      <c r="B13" s="6"/>
      <c r="C13" s="7"/>
      <c r="D13" s="12" t="s">
        <v>28</v>
      </c>
      <c r="E13" s="13" t="s">
        <v>29</v>
      </c>
      <c r="F13" s="7"/>
      <c r="G13" s="7"/>
      <c r="H13" s="7"/>
      <c r="I13" s="7"/>
      <c r="J13" s="7"/>
      <c r="K13" s="7"/>
      <c r="L13" s="7"/>
      <c r="M13" s="7"/>
      <c r="N13" s="7"/>
      <c r="O13" s="7"/>
      <c r="P13" s="7"/>
      <c r="Q13" s="7"/>
      <c r="R13" s="6"/>
      <c r="S13" s="6"/>
      <c r="T13" s="6"/>
      <c r="U13" s="6"/>
      <c r="V13" s="6"/>
      <c r="W13" s="6"/>
      <c r="X13" s="6"/>
      <c r="Y13" s="6"/>
      <c r="Z13" s="6"/>
    </row>
    <row r="14" ht="19.5" customHeight="1">
      <c r="A14" s="6"/>
      <c r="B14" s="6"/>
      <c r="C14" s="7"/>
      <c r="D14" s="14"/>
      <c r="E14" s="15"/>
      <c r="F14" s="7"/>
      <c r="G14" s="7"/>
      <c r="H14" s="7"/>
      <c r="I14" s="7"/>
      <c r="J14" s="7"/>
      <c r="K14" s="7"/>
      <c r="L14" s="7"/>
      <c r="M14" s="7"/>
      <c r="N14" s="7"/>
      <c r="O14" s="7"/>
      <c r="P14" s="7"/>
      <c r="Q14" s="7"/>
      <c r="R14" s="6"/>
      <c r="S14" s="6"/>
      <c r="T14" s="6"/>
      <c r="U14" s="6"/>
      <c r="V14" s="6"/>
      <c r="W14" s="6"/>
      <c r="X14" s="6"/>
      <c r="Y14" s="6"/>
      <c r="Z14" s="6"/>
    </row>
    <row r="15" ht="13.5" customHeight="1">
      <c r="A15" s="6"/>
      <c r="B15" s="6"/>
      <c r="C15" s="7"/>
      <c r="D15" s="7"/>
      <c r="E15" s="7"/>
      <c r="F15" s="7"/>
      <c r="G15" s="7"/>
      <c r="H15" s="7"/>
      <c r="I15" s="7"/>
      <c r="J15" s="7"/>
      <c r="K15" s="7"/>
      <c r="L15" s="7"/>
      <c r="M15" s="7"/>
      <c r="N15" s="7"/>
      <c r="O15" s="7"/>
      <c r="P15" s="7"/>
      <c r="Q15" s="7"/>
      <c r="R15" s="6"/>
      <c r="S15" s="6"/>
      <c r="T15" s="6"/>
      <c r="U15" s="6"/>
      <c r="V15" s="6"/>
      <c r="W15" s="6"/>
      <c r="X15" s="6"/>
      <c r="Y15" s="6"/>
      <c r="Z15" s="6"/>
    </row>
    <row r="16" ht="13.5" customHeight="1">
      <c r="A16" s="6"/>
      <c r="B16" s="6"/>
      <c r="C16" s="7"/>
      <c r="D16" s="7"/>
      <c r="E16" s="7"/>
      <c r="F16" s="7"/>
      <c r="G16" s="7"/>
      <c r="H16" s="7"/>
      <c r="I16" s="7"/>
      <c r="J16" s="7"/>
      <c r="K16" s="7"/>
      <c r="L16" s="7"/>
      <c r="M16" s="7"/>
      <c r="N16" s="7"/>
      <c r="O16" s="7"/>
      <c r="P16" s="7"/>
      <c r="Q16" s="7"/>
      <c r="R16" s="6"/>
      <c r="S16" s="6"/>
      <c r="T16" s="6"/>
      <c r="U16" s="6"/>
      <c r="V16" s="6"/>
      <c r="W16" s="6"/>
      <c r="X16" s="6"/>
      <c r="Y16" s="6"/>
      <c r="Z16" s="6"/>
    </row>
    <row r="17" ht="13.5" customHeight="1">
      <c r="A17" s="6"/>
      <c r="B17" s="6"/>
      <c r="C17" s="7"/>
      <c r="D17" s="12" t="s">
        <v>30</v>
      </c>
      <c r="E17" s="16"/>
      <c r="F17" s="7"/>
      <c r="G17" s="7"/>
      <c r="H17" s="7"/>
      <c r="I17" s="7"/>
      <c r="J17" s="7"/>
      <c r="K17" s="7"/>
      <c r="L17" s="7"/>
      <c r="M17" s="7"/>
      <c r="N17" s="7"/>
      <c r="O17" s="7"/>
      <c r="P17" s="7"/>
      <c r="Q17" s="7"/>
      <c r="R17" s="6"/>
      <c r="S17" s="6"/>
      <c r="T17" s="6"/>
      <c r="U17" s="6"/>
      <c r="V17" s="6"/>
      <c r="W17" s="6"/>
      <c r="X17" s="6"/>
      <c r="Y17" s="6"/>
      <c r="Z17" s="6"/>
    </row>
    <row r="18" ht="13.5" customHeight="1">
      <c r="A18" s="6"/>
      <c r="B18" s="6"/>
      <c r="C18" s="7"/>
      <c r="D18" s="14"/>
      <c r="E18" s="14"/>
      <c r="F18" s="7"/>
      <c r="G18" s="7"/>
      <c r="H18" s="7"/>
      <c r="I18" s="7"/>
      <c r="J18" s="7"/>
      <c r="K18" s="7"/>
      <c r="L18" s="7"/>
      <c r="M18" s="7"/>
      <c r="N18" s="7"/>
      <c r="O18" s="7"/>
      <c r="P18" s="7"/>
      <c r="Q18" s="7"/>
      <c r="R18" s="6"/>
      <c r="S18" s="6"/>
      <c r="T18" s="6"/>
      <c r="U18" s="6"/>
      <c r="V18" s="6"/>
      <c r="W18" s="6"/>
      <c r="X18" s="6"/>
      <c r="Y18" s="6"/>
      <c r="Z18" s="6"/>
    </row>
    <row r="19" ht="13.5" customHeight="1">
      <c r="A19" s="6"/>
      <c r="B19" s="6"/>
      <c r="C19" s="7"/>
      <c r="D19" s="7"/>
      <c r="E19" s="7"/>
      <c r="F19" s="7"/>
      <c r="G19" s="7"/>
      <c r="H19" s="7"/>
      <c r="I19" s="7"/>
      <c r="J19" s="7"/>
      <c r="K19" s="7"/>
      <c r="L19" s="7"/>
      <c r="M19" s="7"/>
      <c r="N19" s="7"/>
      <c r="O19" s="7"/>
      <c r="P19" s="7"/>
      <c r="Q19" s="7"/>
      <c r="R19" s="6"/>
      <c r="S19" s="6"/>
      <c r="T19" s="6"/>
      <c r="U19" s="6"/>
      <c r="V19" s="6"/>
      <c r="W19" s="6"/>
      <c r="X19" s="6"/>
      <c r="Y19" s="6"/>
      <c r="Z19" s="6"/>
    </row>
    <row r="20" ht="13.5" customHeight="1">
      <c r="A20" s="6"/>
      <c r="B20" s="6"/>
      <c r="C20" s="7"/>
      <c r="D20" s="7"/>
      <c r="E20" s="7"/>
      <c r="F20" s="7"/>
      <c r="G20" s="7"/>
      <c r="H20" s="7"/>
      <c r="I20" s="7"/>
      <c r="J20" s="7"/>
      <c r="K20" s="7"/>
      <c r="L20" s="7"/>
      <c r="M20" s="7"/>
      <c r="N20" s="7"/>
      <c r="O20" s="7"/>
      <c r="P20" s="7"/>
      <c r="Q20" s="7"/>
      <c r="R20" s="6"/>
      <c r="S20" s="6"/>
      <c r="T20" s="6"/>
      <c r="U20" s="6"/>
      <c r="V20" s="6"/>
      <c r="W20" s="6"/>
      <c r="X20" s="6"/>
      <c r="Y20" s="6"/>
      <c r="Z20" s="6"/>
    </row>
    <row r="21" ht="13.5" customHeight="1">
      <c r="A21" s="6"/>
      <c r="B21" s="6"/>
      <c r="C21" s="7"/>
      <c r="D21" s="7"/>
      <c r="E21" s="7"/>
      <c r="F21" s="7"/>
      <c r="G21" s="7"/>
      <c r="H21" s="7"/>
      <c r="I21" s="7"/>
      <c r="J21" s="7"/>
      <c r="K21" s="7"/>
      <c r="L21" s="7"/>
      <c r="M21" s="7"/>
      <c r="N21" s="7"/>
      <c r="O21" s="7"/>
      <c r="P21" s="7"/>
      <c r="Q21" s="7"/>
      <c r="R21" s="7"/>
      <c r="S21" s="6"/>
      <c r="T21" s="6"/>
      <c r="U21" s="6"/>
      <c r="V21" s="6"/>
      <c r="W21" s="6"/>
      <c r="X21" s="6"/>
      <c r="Y21" s="6"/>
      <c r="Z21" s="6"/>
    </row>
    <row r="22" ht="13.5" customHeight="1">
      <c r="A22" s="6"/>
      <c r="B22" s="6"/>
      <c r="C22" s="7"/>
      <c r="D22" s="7"/>
      <c r="E22" s="7"/>
      <c r="F22" s="7"/>
      <c r="G22" s="7"/>
      <c r="H22" s="7"/>
      <c r="I22" s="7"/>
      <c r="J22" s="7"/>
      <c r="K22" s="7"/>
      <c r="L22" s="7"/>
      <c r="M22" s="7"/>
      <c r="N22" s="7"/>
      <c r="O22" s="7"/>
      <c r="P22" s="7"/>
      <c r="Q22" s="7"/>
      <c r="R22" s="7"/>
      <c r="S22" s="6"/>
      <c r="T22" s="6"/>
      <c r="U22" s="6"/>
      <c r="V22" s="6"/>
      <c r="W22" s="6"/>
      <c r="X22" s="6"/>
      <c r="Y22" s="6"/>
      <c r="Z22" s="6"/>
    </row>
    <row r="23" ht="13.5" customHeight="1">
      <c r="A23" s="6"/>
      <c r="B23" s="6"/>
      <c r="C23" s="7"/>
      <c r="D23" s="7"/>
      <c r="E23" s="7"/>
      <c r="F23" s="7"/>
      <c r="G23" s="7"/>
      <c r="H23" s="7"/>
      <c r="I23" s="7"/>
      <c r="J23" s="7"/>
      <c r="K23" s="7"/>
      <c r="L23" s="7"/>
      <c r="M23" s="7"/>
      <c r="N23" s="7"/>
      <c r="O23" s="7"/>
      <c r="P23" s="7"/>
      <c r="Q23" s="7"/>
      <c r="R23" s="7"/>
      <c r="S23" s="6"/>
      <c r="T23" s="6"/>
      <c r="U23" s="6"/>
      <c r="V23" s="6"/>
      <c r="W23" s="6"/>
      <c r="X23" s="6"/>
      <c r="Y23" s="6"/>
      <c r="Z23" s="6"/>
    </row>
    <row r="24" ht="13.5" customHeight="1">
      <c r="A24" s="6"/>
      <c r="B24" s="6"/>
      <c r="C24" s="7"/>
      <c r="D24" s="7"/>
      <c r="E24" s="7"/>
      <c r="F24" s="7"/>
      <c r="G24" s="7"/>
      <c r="H24" s="7"/>
      <c r="I24" s="7"/>
      <c r="J24" s="7"/>
      <c r="K24" s="7"/>
      <c r="L24" s="7"/>
      <c r="M24" s="7"/>
      <c r="N24" s="7"/>
      <c r="O24" s="7"/>
      <c r="P24" s="7"/>
      <c r="Q24" s="7"/>
      <c r="R24" s="7"/>
      <c r="S24" s="6"/>
      <c r="T24" s="6"/>
      <c r="U24" s="6"/>
      <c r="V24" s="6"/>
      <c r="W24" s="6"/>
      <c r="X24" s="6"/>
      <c r="Y24" s="6"/>
      <c r="Z24" s="6"/>
    </row>
    <row r="25" ht="14.25" customHeight="1">
      <c r="A25" s="6"/>
      <c r="B25" s="6"/>
      <c r="C25" s="7"/>
      <c r="D25" s="7"/>
      <c r="E25" s="7"/>
      <c r="F25" s="7"/>
      <c r="G25" s="7"/>
      <c r="H25" s="7"/>
      <c r="I25" s="7"/>
      <c r="J25" s="7"/>
      <c r="K25" s="7"/>
      <c r="L25" s="7"/>
      <c r="M25" s="7"/>
      <c r="N25" s="7"/>
      <c r="O25" s="7"/>
      <c r="P25" s="7"/>
      <c r="Q25" s="7"/>
      <c r="R25" s="7"/>
      <c r="S25" s="6"/>
      <c r="T25" s="6"/>
      <c r="U25" s="6"/>
      <c r="V25" s="6"/>
      <c r="W25" s="6"/>
      <c r="X25" s="6"/>
      <c r="Y25" s="6"/>
      <c r="Z25" s="6"/>
    </row>
    <row r="26" ht="14.25" customHeight="1">
      <c r="A26" s="6"/>
      <c r="B26" s="6"/>
      <c r="C26" s="7"/>
      <c r="D26" s="7"/>
      <c r="E26" s="7"/>
      <c r="F26" s="7"/>
      <c r="G26" s="7"/>
      <c r="H26" s="7"/>
      <c r="I26" s="7"/>
      <c r="J26" s="7"/>
      <c r="K26" s="7"/>
      <c r="L26" s="7"/>
      <c r="M26" s="7"/>
      <c r="N26" s="7"/>
      <c r="O26" s="7"/>
      <c r="P26" s="7"/>
      <c r="Q26" s="7"/>
      <c r="R26" s="7"/>
      <c r="S26" s="6"/>
      <c r="T26" s="6"/>
      <c r="U26" s="6"/>
      <c r="V26" s="6"/>
      <c r="W26" s="6"/>
      <c r="X26" s="6"/>
      <c r="Y26" s="6"/>
      <c r="Z26" s="6"/>
    </row>
    <row r="27" ht="14.25" customHeight="1">
      <c r="A27" s="6"/>
      <c r="B27" s="6"/>
      <c r="C27" s="7"/>
      <c r="D27" s="7"/>
      <c r="E27" s="7"/>
      <c r="F27" s="7"/>
      <c r="G27" s="7"/>
      <c r="H27" s="7"/>
      <c r="I27" s="7"/>
      <c r="J27" s="7"/>
      <c r="K27" s="7"/>
      <c r="L27" s="7"/>
      <c r="M27" s="7"/>
      <c r="N27" s="7"/>
      <c r="O27" s="7"/>
      <c r="P27" s="7"/>
      <c r="Q27" s="7"/>
      <c r="R27" s="7"/>
      <c r="S27" s="6"/>
      <c r="T27" s="6"/>
      <c r="U27" s="6"/>
      <c r="V27" s="6"/>
      <c r="W27" s="6"/>
      <c r="X27" s="6"/>
      <c r="Y27" s="6"/>
      <c r="Z27" s="6"/>
    </row>
    <row r="28" ht="14.25" customHeight="1">
      <c r="A28" s="6"/>
      <c r="B28" s="6"/>
      <c r="C28" s="7"/>
      <c r="D28" s="7"/>
      <c r="E28" s="7"/>
      <c r="F28" s="7"/>
      <c r="G28" s="7"/>
      <c r="H28" s="7"/>
      <c r="I28" s="7"/>
      <c r="J28" s="7"/>
      <c r="K28" s="7"/>
      <c r="L28" s="7"/>
      <c r="M28" s="7"/>
      <c r="N28" s="7"/>
      <c r="O28" s="7"/>
      <c r="P28" s="7"/>
      <c r="Q28" s="7"/>
      <c r="R28" s="7"/>
      <c r="S28" s="6"/>
      <c r="T28" s="6"/>
      <c r="U28" s="6"/>
      <c r="V28" s="6"/>
      <c r="W28" s="6"/>
      <c r="X28" s="6"/>
      <c r="Y28" s="6"/>
      <c r="Z28" s="6"/>
    </row>
    <row r="29" ht="14.25" customHeight="1">
      <c r="A29" s="6"/>
      <c r="B29" s="6"/>
      <c r="C29" s="7"/>
      <c r="D29" s="7"/>
      <c r="E29" s="7"/>
      <c r="F29" s="7"/>
      <c r="G29" s="7"/>
      <c r="H29" s="7"/>
      <c r="I29" s="7"/>
      <c r="J29" s="7"/>
      <c r="K29" s="7"/>
      <c r="L29" s="7"/>
      <c r="M29" s="7"/>
      <c r="N29" s="7"/>
      <c r="O29" s="7"/>
      <c r="P29" s="7"/>
      <c r="Q29" s="7"/>
      <c r="R29" s="7"/>
      <c r="S29" s="6"/>
      <c r="T29" s="6"/>
      <c r="U29" s="6"/>
      <c r="V29" s="6"/>
      <c r="W29" s="6"/>
      <c r="X29" s="6"/>
      <c r="Y29" s="6"/>
      <c r="Z29" s="6"/>
    </row>
    <row r="30" ht="14.25" customHeight="1">
      <c r="A30" s="6"/>
      <c r="B30" s="6"/>
      <c r="C30" s="7"/>
      <c r="D30" s="7"/>
      <c r="E30" s="7"/>
      <c r="F30" s="7"/>
      <c r="G30" s="7"/>
      <c r="H30" s="7"/>
      <c r="I30" s="7"/>
      <c r="J30" s="7"/>
      <c r="K30" s="7"/>
      <c r="L30" s="7"/>
      <c r="M30" s="7"/>
      <c r="N30" s="7"/>
      <c r="O30" s="7"/>
      <c r="P30" s="7"/>
      <c r="Q30" s="7"/>
      <c r="R30" s="7"/>
      <c r="S30" s="6"/>
      <c r="T30" s="6"/>
      <c r="U30" s="6"/>
      <c r="V30" s="6"/>
      <c r="W30" s="6"/>
      <c r="X30" s="6"/>
      <c r="Y30" s="6"/>
      <c r="Z30" s="6"/>
    </row>
    <row r="31" ht="14.25" customHeight="1">
      <c r="A31" s="6"/>
      <c r="B31" s="6"/>
      <c r="C31" s="7"/>
      <c r="D31" s="7"/>
      <c r="E31" s="7"/>
      <c r="F31" s="7"/>
      <c r="G31" s="7"/>
      <c r="H31" s="7"/>
      <c r="I31" s="7"/>
      <c r="J31" s="7"/>
      <c r="K31" s="7"/>
      <c r="L31" s="7"/>
      <c r="M31" s="7"/>
      <c r="N31" s="7"/>
      <c r="O31" s="7"/>
      <c r="P31" s="7"/>
      <c r="Q31" s="7"/>
      <c r="R31" s="7"/>
      <c r="S31" s="6"/>
      <c r="T31" s="6"/>
      <c r="U31" s="6"/>
      <c r="V31" s="6"/>
      <c r="W31" s="6"/>
      <c r="X31" s="6"/>
      <c r="Y31" s="6"/>
      <c r="Z31" s="6"/>
    </row>
    <row r="32" ht="14.25" customHeight="1">
      <c r="A32" s="7"/>
      <c r="B32" s="7"/>
      <c r="C32" s="7"/>
      <c r="D32" s="7"/>
      <c r="E32" s="7"/>
      <c r="F32" s="7"/>
      <c r="G32" s="7"/>
      <c r="H32" s="7"/>
      <c r="I32" s="7"/>
      <c r="J32" s="7"/>
      <c r="K32" s="7"/>
      <c r="L32" s="7"/>
      <c r="M32" s="7"/>
      <c r="N32" s="7"/>
      <c r="O32" s="7"/>
      <c r="P32" s="7"/>
      <c r="Q32" s="7"/>
      <c r="R32" s="7"/>
      <c r="S32" s="6"/>
      <c r="T32" s="6"/>
      <c r="U32" s="6"/>
      <c r="V32" s="6"/>
      <c r="W32" s="6"/>
      <c r="X32" s="6"/>
      <c r="Y32" s="6"/>
      <c r="Z32" s="6"/>
    </row>
    <row r="33" ht="14.25" hidden="1" customHeight="1">
      <c r="A33" s="6"/>
      <c r="B33" s="6"/>
      <c r="C33" s="7"/>
      <c r="D33" s="7"/>
      <c r="E33" s="7"/>
      <c r="F33" s="7"/>
      <c r="G33" s="7"/>
      <c r="H33" s="7"/>
      <c r="I33" s="7"/>
      <c r="J33" s="7"/>
      <c r="K33" s="7"/>
      <c r="L33" s="7"/>
      <c r="M33" s="7"/>
      <c r="N33" s="7"/>
      <c r="O33" s="6"/>
      <c r="P33" s="6"/>
      <c r="Q33" s="6"/>
      <c r="R33" s="6"/>
      <c r="S33" s="6"/>
      <c r="T33" s="6"/>
      <c r="U33" s="6"/>
      <c r="V33" s="6"/>
      <c r="W33" s="6"/>
      <c r="X33" s="6"/>
      <c r="Y33" s="6"/>
      <c r="Z33" s="6"/>
    </row>
    <row r="34" ht="14.25" hidden="1" customHeight="1">
      <c r="A34" s="6"/>
      <c r="B34" s="6"/>
      <c r="C34" s="6"/>
      <c r="D34" s="6"/>
      <c r="E34" s="6"/>
      <c r="F34" s="6"/>
      <c r="G34" s="6"/>
      <c r="H34" s="6"/>
      <c r="I34" s="6"/>
      <c r="J34" s="6"/>
      <c r="K34" s="6"/>
      <c r="L34" s="7"/>
      <c r="M34" s="7"/>
      <c r="N34" s="7"/>
      <c r="O34" s="6"/>
      <c r="P34" s="6"/>
      <c r="Q34" s="6"/>
      <c r="R34" s="6"/>
      <c r="S34" s="6"/>
      <c r="T34" s="6"/>
      <c r="U34" s="6"/>
      <c r="V34" s="6"/>
      <c r="W34" s="6"/>
      <c r="X34" s="6"/>
      <c r="Y34" s="6"/>
      <c r="Z34" s="6"/>
    </row>
    <row r="35" ht="14.25" hidden="1" customHeight="1">
      <c r="A35" s="6"/>
      <c r="B35" s="6"/>
      <c r="C35" s="6"/>
      <c r="D35" s="6"/>
      <c r="E35" s="6"/>
      <c r="F35" s="6"/>
      <c r="G35" s="6"/>
      <c r="H35" s="6"/>
      <c r="I35" s="6"/>
      <c r="J35" s="6"/>
      <c r="K35" s="6"/>
      <c r="L35" s="7"/>
      <c r="M35" s="7"/>
      <c r="N35" s="7"/>
      <c r="O35" s="6"/>
      <c r="P35" s="6"/>
      <c r="Q35" s="6"/>
      <c r="R35" s="6"/>
      <c r="S35" s="6"/>
      <c r="T35" s="6"/>
      <c r="U35" s="6"/>
      <c r="V35" s="6"/>
      <c r="W35" s="6"/>
      <c r="X35" s="6"/>
      <c r="Y35" s="6"/>
      <c r="Z35" s="6"/>
    </row>
    <row r="36" ht="14.25" hidden="1" customHeight="1">
      <c r="A36" s="6"/>
      <c r="B36" s="6"/>
      <c r="C36" s="6"/>
      <c r="D36" s="6"/>
      <c r="E36" s="6"/>
      <c r="F36" s="6"/>
      <c r="G36" s="6"/>
      <c r="H36" s="6"/>
      <c r="I36" s="6"/>
      <c r="J36" s="6"/>
      <c r="K36" s="6"/>
      <c r="L36" s="7"/>
      <c r="M36" s="7"/>
      <c r="N36" s="7"/>
      <c r="O36" s="6"/>
      <c r="P36" s="6"/>
      <c r="Q36" s="6"/>
      <c r="R36" s="6"/>
      <c r="S36" s="6"/>
      <c r="T36" s="6"/>
      <c r="U36" s="6"/>
      <c r="V36" s="6"/>
      <c r="W36" s="6"/>
      <c r="X36" s="6"/>
      <c r="Y36" s="6"/>
      <c r="Z36" s="6"/>
    </row>
    <row r="37" ht="14.2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3">
    <mergeCell ref="D13:D14"/>
    <mergeCell ref="D17:D18"/>
    <mergeCell ref="E17:E18"/>
  </mergeCells>
  <conditionalFormatting sqref="E14">
    <cfRule type="expression" dxfId="0" priority="1">
      <formula>$P$7&lt;=1</formula>
    </cfRule>
  </conditionalFormatting>
  <conditionalFormatting sqref="E14">
    <cfRule type="expression" dxfId="1" priority="2">
      <formula>$P$7&gt;1</formula>
    </cfRule>
  </conditionalFormatting>
  <conditionalFormatting sqref="E17:E18">
    <cfRule type="expression" dxfId="0" priority="3">
      <formula>$P$1&lt;=1</formula>
    </cfRule>
  </conditionalFormatting>
  <conditionalFormatting sqref="E17:E18">
    <cfRule type="expression" dxfId="1" priority="4">
      <formula>$P$1&gt;1</formula>
    </cfRule>
  </conditionalFormatting>
  <dataValidations>
    <dataValidation type="list" allowBlank="1" showErrorMessage="1" sqref="N13">
      <formula1>"High,Medium,Low"</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9.14"/>
    <col customWidth="1" min="2" max="2" width="16.71"/>
    <col customWidth="1" min="3" max="3" width="41.14"/>
    <col customWidth="1" min="4" max="4" width="37.86"/>
    <col customWidth="1" min="5" max="5" width="28.0"/>
    <col customWidth="1" min="6" max="6" width="21.0"/>
    <col customWidth="1" min="7" max="26" width="8.71"/>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9.5" customHeight="1">
      <c r="A6" s="17"/>
      <c r="B6" s="17"/>
      <c r="C6" s="19" t="s">
        <v>31</v>
      </c>
      <c r="D6" s="20"/>
      <c r="E6" s="21"/>
      <c r="F6" s="18"/>
      <c r="G6" s="17"/>
      <c r="H6" s="17"/>
      <c r="I6" s="17"/>
      <c r="J6" s="17"/>
      <c r="K6" s="17"/>
      <c r="L6" s="17"/>
      <c r="M6" s="17"/>
      <c r="N6" s="17"/>
      <c r="O6" s="17"/>
      <c r="P6" s="17"/>
      <c r="Q6" s="17"/>
      <c r="R6" s="17"/>
      <c r="S6" s="17"/>
      <c r="T6" s="17"/>
      <c r="U6" s="17"/>
      <c r="V6" s="17"/>
      <c r="W6" s="17"/>
      <c r="X6" s="17"/>
      <c r="Y6" s="17"/>
      <c r="Z6" s="17"/>
    </row>
    <row r="7" ht="19.5" customHeight="1">
      <c r="A7" s="17"/>
      <c r="B7" s="17"/>
      <c r="C7" s="22" t="s">
        <v>32</v>
      </c>
      <c r="D7" s="20"/>
      <c r="E7" s="21"/>
      <c r="F7" s="18"/>
      <c r="G7" s="17"/>
      <c r="H7" s="17"/>
      <c r="I7" s="17"/>
      <c r="J7" s="17"/>
      <c r="K7" s="17"/>
      <c r="L7" s="17"/>
      <c r="M7" s="17"/>
      <c r="N7" s="17"/>
      <c r="O7" s="17"/>
      <c r="P7" s="17"/>
      <c r="Q7" s="17"/>
      <c r="R7" s="17"/>
      <c r="S7" s="17"/>
      <c r="T7" s="17"/>
      <c r="U7" s="17"/>
      <c r="V7" s="17"/>
      <c r="W7" s="17"/>
      <c r="X7" s="17"/>
      <c r="Y7" s="17"/>
      <c r="Z7" s="17"/>
    </row>
    <row r="8" ht="19.5" customHeight="1">
      <c r="A8" s="17"/>
      <c r="B8" s="17"/>
      <c r="C8" s="22" t="s">
        <v>33</v>
      </c>
      <c r="D8" s="20" t="s">
        <v>34</v>
      </c>
      <c r="E8" s="21"/>
      <c r="F8" s="18"/>
      <c r="G8" s="17"/>
      <c r="H8" s="17"/>
      <c r="I8" s="17"/>
      <c r="J8" s="17"/>
      <c r="K8" s="17"/>
      <c r="L8" s="17"/>
      <c r="M8" s="17"/>
      <c r="N8" s="17"/>
      <c r="O8" s="17"/>
      <c r="P8" s="17"/>
      <c r="Q8" s="17"/>
      <c r="R8" s="17"/>
      <c r="S8" s="17"/>
      <c r="T8" s="17"/>
      <c r="U8" s="17"/>
      <c r="V8" s="17"/>
      <c r="W8" s="17"/>
      <c r="X8" s="17"/>
      <c r="Y8" s="17"/>
      <c r="Z8" s="17"/>
    </row>
    <row r="9" ht="19.5" customHeight="1">
      <c r="A9" s="17"/>
      <c r="B9" s="17"/>
      <c r="C9" s="22" t="s">
        <v>35</v>
      </c>
      <c r="D9" s="20" t="s">
        <v>36</v>
      </c>
      <c r="E9" s="21"/>
      <c r="F9" s="17"/>
      <c r="G9" s="17"/>
      <c r="H9" s="17"/>
      <c r="I9" s="17"/>
      <c r="J9" s="17"/>
      <c r="K9" s="17"/>
      <c r="L9" s="17"/>
      <c r="M9" s="17"/>
      <c r="N9" s="17"/>
      <c r="O9" s="17"/>
      <c r="P9" s="17"/>
      <c r="Q9" s="17"/>
      <c r="R9" s="17"/>
      <c r="S9" s="17"/>
      <c r="T9" s="17"/>
      <c r="U9" s="17"/>
      <c r="V9" s="17"/>
      <c r="W9" s="17"/>
      <c r="X9" s="17"/>
      <c r="Y9" s="17"/>
      <c r="Z9" s="17"/>
    </row>
    <row r="10" ht="19.5" customHeight="1">
      <c r="A10" s="17"/>
      <c r="B10" s="17"/>
      <c r="C10" s="22" t="s">
        <v>37</v>
      </c>
      <c r="D10" s="20" t="s">
        <v>38</v>
      </c>
      <c r="E10" s="21"/>
      <c r="F10" s="17"/>
      <c r="G10" s="17"/>
      <c r="H10" s="17"/>
      <c r="I10" s="17"/>
      <c r="J10" s="17"/>
      <c r="K10" s="17"/>
      <c r="L10" s="17"/>
      <c r="M10" s="17"/>
      <c r="N10" s="17"/>
      <c r="O10" s="17"/>
      <c r="P10" s="17"/>
      <c r="Q10" s="17"/>
      <c r="R10" s="17"/>
      <c r="S10" s="17"/>
      <c r="T10" s="17"/>
      <c r="U10" s="17"/>
      <c r="V10" s="17"/>
      <c r="W10" s="17"/>
      <c r="X10" s="17"/>
      <c r="Y10" s="17"/>
      <c r="Z10" s="17"/>
    </row>
    <row r="11" ht="19.5" customHeight="1">
      <c r="A11" s="17"/>
      <c r="B11" s="17"/>
      <c r="C11" s="22" t="s">
        <v>39</v>
      </c>
      <c r="D11" s="20" t="s">
        <v>40</v>
      </c>
      <c r="E11" s="21"/>
      <c r="F11" s="17"/>
      <c r="G11" s="17"/>
      <c r="H11" s="17"/>
      <c r="I11" s="17"/>
      <c r="J11" s="17"/>
      <c r="K11" s="17"/>
      <c r="L11" s="17"/>
      <c r="M11" s="17"/>
      <c r="N11" s="17"/>
      <c r="O11" s="17"/>
      <c r="P11" s="17"/>
      <c r="Q11" s="17"/>
      <c r="R11" s="17"/>
      <c r="S11" s="17"/>
      <c r="T11" s="17"/>
      <c r="U11" s="17"/>
      <c r="V11" s="17"/>
      <c r="W11" s="17"/>
      <c r="X11" s="17"/>
      <c r="Y11" s="17"/>
      <c r="Z11" s="17"/>
    </row>
    <row r="12" ht="19.5" customHeight="1">
      <c r="A12" s="17"/>
      <c r="B12" s="17"/>
      <c r="C12" s="22" t="s">
        <v>41</v>
      </c>
      <c r="D12" s="20" t="s">
        <v>42</v>
      </c>
      <c r="E12" s="21"/>
      <c r="F12" s="17"/>
      <c r="G12" s="17"/>
      <c r="H12" s="17"/>
      <c r="I12" s="17"/>
      <c r="J12" s="17"/>
      <c r="K12" s="17"/>
      <c r="L12" s="17"/>
      <c r="M12" s="17"/>
      <c r="N12" s="17"/>
      <c r="O12" s="17"/>
      <c r="P12" s="17"/>
      <c r="Q12" s="17"/>
      <c r="R12" s="17"/>
      <c r="S12" s="17"/>
      <c r="T12" s="17"/>
      <c r="U12" s="17"/>
      <c r="V12" s="17"/>
      <c r="W12" s="17"/>
      <c r="X12" s="17"/>
      <c r="Y12" s="17"/>
      <c r="Z12" s="17"/>
    </row>
    <row r="13" ht="19.5" customHeight="1">
      <c r="A13" s="17"/>
      <c r="B13" s="17"/>
      <c r="C13" s="22" t="s">
        <v>43</v>
      </c>
      <c r="D13" s="20" t="s">
        <v>44</v>
      </c>
      <c r="E13" s="21"/>
      <c r="F13" s="17"/>
      <c r="G13" s="17"/>
      <c r="H13" s="17"/>
      <c r="I13" s="17"/>
      <c r="J13" s="17"/>
      <c r="K13" s="17"/>
      <c r="L13" s="17"/>
      <c r="M13" s="17"/>
      <c r="N13" s="17"/>
      <c r="O13" s="17"/>
      <c r="P13" s="17"/>
      <c r="Q13" s="17"/>
      <c r="R13" s="17"/>
      <c r="S13" s="17"/>
      <c r="T13" s="17"/>
      <c r="U13" s="17"/>
      <c r="V13" s="17"/>
      <c r="W13" s="17"/>
      <c r="X13" s="17"/>
      <c r="Y13" s="17"/>
      <c r="Z13" s="17"/>
    </row>
    <row r="14" ht="19.5" customHeight="1">
      <c r="A14" s="17"/>
      <c r="B14" s="17"/>
      <c r="C14" s="22" t="s">
        <v>45</v>
      </c>
      <c r="D14" s="23" t="s">
        <v>46</v>
      </c>
      <c r="E14" s="23" t="s">
        <v>47</v>
      </c>
      <c r="F14" s="17"/>
      <c r="G14" s="17"/>
      <c r="H14" s="17"/>
      <c r="I14" s="17"/>
      <c r="J14" s="17"/>
      <c r="K14" s="17"/>
      <c r="L14" s="17"/>
      <c r="M14" s="17"/>
      <c r="N14" s="17"/>
      <c r="O14" s="17"/>
      <c r="P14" s="17"/>
      <c r="Q14" s="17"/>
      <c r="R14" s="17"/>
      <c r="S14" s="17"/>
      <c r="T14" s="17"/>
      <c r="U14" s="17"/>
      <c r="V14" s="17"/>
      <c r="W14" s="17"/>
      <c r="X14" s="17"/>
      <c r="Y14" s="17"/>
      <c r="Z14" s="17"/>
    </row>
    <row r="15" ht="19.5" customHeight="1">
      <c r="A15" s="17"/>
      <c r="B15" s="17"/>
      <c r="C15" s="22" t="s">
        <v>48</v>
      </c>
      <c r="D15" s="24" t="s">
        <v>49</v>
      </c>
      <c r="E15" s="25"/>
      <c r="F15" s="17"/>
      <c r="G15" s="17"/>
      <c r="H15" s="17"/>
      <c r="I15" s="17"/>
      <c r="J15" s="17"/>
      <c r="K15" s="17"/>
      <c r="L15" s="17"/>
      <c r="M15" s="17"/>
      <c r="N15" s="17"/>
      <c r="O15" s="17"/>
      <c r="P15" s="17"/>
      <c r="Q15" s="17"/>
      <c r="R15" s="17"/>
      <c r="S15" s="17"/>
      <c r="T15" s="17"/>
      <c r="U15" s="17"/>
      <c r="V15" s="17"/>
      <c r="W15" s="17"/>
      <c r="X15" s="17"/>
      <c r="Y15" s="17"/>
      <c r="Z15" s="17"/>
    </row>
    <row r="16" ht="30.0" customHeight="1">
      <c r="A16" s="17"/>
      <c r="B16" s="17"/>
      <c r="C16" s="26" t="s">
        <v>50</v>
      </c>
      <c r="D16" s="20" t="s">
        <v>51</v>
      </c>
      <c r="E16" s="21"/>
      <c r="F16" s="17"/>
      <c r="G16" s="17"/>
      <c r="H16" s="17"/>
      <c r="I16" s="17"/>
      <c r="J16" s="17"/>
      <c r="K16" s="17"/>
      <c r="L16" s="17"/>
      <c r="M16" s="17"/>
      <c r="N16" s="17"/>
      <c r="O16" s="17"/>
      <c r="P16" s="17"/>
      <c r="Q16" s="17"/>
      <c r="R16" s="17"/>
      <c r="S16" s="17"/>
      <c r="T16" s="17"/>
      <c r="U16" s="17"/>
      <c r="V16" s="17"/>
      <c r="W16" s="17"/>
      <c r="X16" s="17"/>
      <c r="Y16" s="17"/>
      <c r="Z16" s="17"/>
    </row>
    <row r="17" ht="19.5" customHeight="1">
      <c r="A17" s="17"/>
      <c r="B17" s="17"/>
      <c r="C17" s="22" t="s">
        <v>52</v>
      </c>
      <c r="D17" s="20" t="s">
        <v>53</v>
      </c>
      <c r="E17" s="21"/>
      <c r="F17" s="17"/>
      <c r="G17" s="17"/>
      <c r="H17" s="17"/>
      <c r="I17" s="17"/>
      <c r="J17" s="17"/>
      <c r="K17" s="17"/>
      <c r="L17" s="17"/>
      <c r="M17" s="17"/>
      <c r="N17" s="17"/>
      <c r="O17" s="17"/>
      <c r="P17" s="17"/>
      <c r="Q17" s="17"/>
      <c r="R17" s="17"/>
      <c r="S17" s="17"/>
      <c r="T17" s="17"/>
      <c r="U17" s="17"/>
      <c r="V17" s="17"/>
      <c r="W17" s="17"/>
      <c r="X17" s="17"/>
      <c r="Y17" s="17"/>
      <c r="Z17" s="17"/>
    </row>
    <row r="18" ht="19.5" customHeight="1">
      <c r="A18" s="17"/>
      <c r="B18" s="17"/>
      <c r="C18" s="27"/>
      <c r="D18" s="28"/>
      <c r="E18" s="28"/>
      <c r="F18" s="17"/>
      <c r="G18" s="17"/>
      <c r="H18" s="17"/>
      <c r="I18" s="17"/>
      <c r="J18" s="17"/>
      <c r="K18" s="17"/>
      <c r="L18" s="17"/>
      <c r="M18" s="17"/>
      <c r="N18" s="17"/>
      <c r="O18" s="17"/>
      <c r="P18" s="17"/>
      <c r="Q18" s="17"/>
      <c r="R18" s="17"/>
      <c r="S18" s="17"/>
      <c r="T18" s="17"/>
      <c r="U18" s="17"/>
      <c r="V18" s="17"/>
      <c r="W18" s="17"/>
      <c r="X18" s="17"/>
      <c r="Y18" s="17"/>
      <c r="Z18" s="17"/>
    </row>
    <row r="19" ht="19.5" customHeight="1">
      <c r="A19" s="17"/>
      <c r="B19" s="17"/>
      <c r="C19" s="29" t="s">
        <v>54</v>
      </c>
      <c r="D19" s="30" t="s">
        <v>6</v>
      </c>
      <c r="E19" s="28"/>
      <c r="F19" s="17"/>
      <c r="G19" s="17"/>
      <c r="H19" s="17"/>
      <c r="I19" s="17"/>
      <c r="J19" s="17"/>
      <c r="K19" s="17"/>
      <c r="L19" s="17"/>
      <c r="M19" s="17"/>
      <c r="N19" s="17"/>
      <c r="O19" s="17"/>
      <c r="P19" s="17"/>
      <c r="Q19" s="17"/>
      <c r="R19" s="17"/>
      <c r="S19" s="17"/>
      <c r="T19" s="17"/>
      <c r="U19" s="17"/>
      <c r="V19" s="17"/>
      <c r="W19" s="17"/>
      <c r="X19" s="17"/>
      <c r="Y19" s="17"/>
      <c r="Z19" s="17"/>
    </row>
    <row r="20" ht="19.5" customHeight="1">
      <c r="A20" s="17"/>
      <c r="B20" s="17"/>
      <c r="C20" s="31" t="s">
        <v>55</v>
      </c>
      <c r="D20" s="32" t="s">
        <v>13</v>
      </c>
      <c r="E20" s="28"/>
      <c r="F20" s="17"/>
      <c r="G20" s="17"/>
      <c r="H20" s="17"/>
      <c r="I20" s="17"/>
      <c r="J20" s="17"/>
      <c r="K20" s="17"/>
      <c r="L20" s="17"/>
      <c r="M20" s="17"/>
      <c r="N20" s="17"/>
      <c r="O20" s="17"/>
      <c r="P20" s="17"/>
      <c r="Q20" s="17"/>
      <c r="R20" s="17"/>
      <c r="S20" s="17"/>
      <c r="T20" s="17"/>
      <c r="U20" s="17"/>
      <c r="V20" s="17"/>
      <c r="W20" s="17"/>
      <c r="X20" s="17"/>
      <c r="Y20" s="17"/>
      <c r="Z20" s="17"/>
    </row>
    <row r="21" ht="19.5" customHeight="1">
      <c r="A21" s="17"/>
      <c r="B21" s="17"/>
      <c r="C21" s="33" t="s">
        <v>56</v>
      </c>
      <c r="D21" s="34" t="s">
        <v>13</v>
      </c>
      <c r="E21" s="28"/>
      <c r="F21" s="17"/>
      <c r="G21" s="17"/>
      <c r="H21" s="17"/>
      <c r="I21" s="17"/>
      <c r="J21" s="17"/>
      <c r="K21" s="17"/>
      <c r="L21" s="17"/>
      <c r="M21" s="17"/>
      <c r="N21" s="17"/>
      <c r="O21" s="17"/>
      <c r="P21" s="17"/>
      <c r="Q21" s="17"/>
      <c r="R21" s="17"/>
      <c r="S21" s="17"/>
      <c r="T21" s="17"/>
      <c r="U21" s="17"/>
      <c r="V21" s="17"/>
      <c r="W21" s="17"/>
      <c r="X21" s="17"/>
      <c r="Y21" s="17"/>
      <c r="Z21" s="17"/>
    </row>
    <row r="22" ht="19.5" customHeight="1">
      <c r="A22" s="17"/>
      <c r="B22" s="17"/>
      <c r="C22" s="35" t="s">
        <v>57</v>
      </c>
      <c r="D22" s="36" t="s">
        <v>20</v>
      </c>
      <c r="E22" s="28"/>
      <c r="F22" s="17"/>
      <c r="G22" s="17"/>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ht="13.5" customHeight="1">
      <c r="A24" s="17"/>
      <c r="B24" s="17"/>
      <c r="C24" s="29" t="s">
        <v>58</v>
      </c>
      <c r="D24" s="37" t="s">
        <v>59</v>
      </c>
      <c r="E24" s="37" t="s">
        <v>60</v>
      </c>
      <c r="F24" s="17"/>
      <c r="G24" s="17"/>
      <c r="H24" s="17"/>
      <c r="I24" s="17"/>
      <c r="J24" s="17"/>
      <c r="K24" s="17"/>
      <c r="L24" s="17"/>
      <c r="M24" s="17"/>
      <c r="N24" s="17"/>
      <c r="O24" s="17"/>
      <c r="P24" s="17"/>
      <c r="Q24" s="17"/>
      <c r="R24" s="17"/>
      <c r="S24" s="17"/>
      <c r="T24" s="17"/>
      <c r="U24" s="17"/>
      <c r="V24" s="17"/>
      <c r="W24" s="17"/>
      <c r="X24" s="17"/>
      <c r="Y24" s="17"/>
      <c r="Z24" s="17"/>
    </row>
    <row r="25" ht="13.5" customHeight="1">
      <c r="A25" s="17"/>
      <c r="B25" s="17"/>
      <c r="C25" s="38"/>
      <c r="D25" s="39"/>
      <c r="E25" s="39"/>
      <c r="F25" s="17"/>
      <c r="G25" s="17"/>
      <c r="H25" s="17"/>
      <c r="I25" s="17"/>
      <c r="J25" s="17"/>
      <c r="K25" s="17"/>
      <c r="L25" s="17"/>
      <c r="M25" s="17"/>
      <c r="N25" s="17"/>
      <c r="O25" s="17"/>
      <c r="P25" s="17"/>
      <c r="Q25" s="17"/>
      <c r="R25" s="17"/>
      <c r="S25" s="17"/>
      <c r="T25" s="17"/>
      <c r="U25" s="17"/>
      <c r="V25" s="17"/>
      <c r="W25" s="17"/>
      <c r="X25" s="17"/>
      <c r="Y25" s="17"/>
      <c r="Z25" s="17"/>
    </row>
    <row r="26" ht="13.5" customHeight="1">
      <c r="A26" s="17"/>
      <c r="B26" s="17"/>
      <c r="C26" s="31" t="s">
        <v>61</v>
      </c>
      <c r="D26" s="40" t="s">
        <v>62</v>
      </c>
      <c r="E26" s="40" t="s">
        <v>63</v>
      </c>
      <c r="F26" s="17"/>
      <c r="G26" s="17"/>
      <c r="H26" s="17"/>
      <c r="I26" s="17"/>
      <c r="J26" s="17"/>
      <c r="K26" s="17"/>
      <c r="L26" s="17"/>
      <c r="M26" s="17"/>
      <c r="N26" s="17"/>
      <c r="O26" s="17"/>
      <c r="P26" s="17"/>
      <c r="Q26" s="17"/>
      <c r="R26" s="17"/>
      <c r="S26" s="17"/>
      <c r="T26" s="17"/>
      <c r="U26" s="17"/>
      <c r="V26" s="17"/>
      <c r="W26" s="17"/>
      <c r="X26" s="17"/>
      <c r="Y26" s="17"/>
      <c r="Z26" s="17"/>
    </row>
    <row r="27" ht="13.5" customHeight="1">
      <c r="A27" s="17"/>
      <c r="B27" s="17"/>
      <c r="C27" s="41" t="s">
        <v>64</v>
      </c>
      <c r="D27" s="42" t="s">
        <v>64</v>
      </c>
      <c r="E27" s="42" t="s">
        <v>64</v>
      </c>
      <c r="F27" s="17"/>
      <c r="G27" s="17"/>
      <c r="H27" s="17"/>
      <c r="I27" s="17"/>
      <c r="J27" s="17"/>
      <c r="K27" s="17"/>
      <c r="L27" s="17"/>
      <c r="M27" s="17"/>
      <c r="N27" s="17"/>
      <c r="O27" s="17"/>
      <c r="P27" s="17"/>
      <c r="Q27" s="17"/>
      <c r="R27" s="17"/>
      <c r="S27" s="17"/>
      <c r="T27" s="17"/>
      <c r="U27" s="17"/>
      <c r="V27" s="17"/>
      <c r="W27" s="17"/>
      <c r="X27" s="17"/>
      <c r="Y27" s="17"/>
      <c r="Z27" s="17"/>
    </row>
    <row r="28" ht="13.5" customHeight="1">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ht="13.5" customHeight="1">
      <c r="A29" s="17"/>
      <c r="B29" s="17"/>
      <c r="C29" s="43" t="s">
        <v>65</v>
      </c>
      <c r="D29" s="17"/>
      <c r="E29" s="17"/>
      <c r="F29" s="17"/>
      <c r="G29" s="17"/>
      <c r="H29" s="17"/>
      <c r="I29" s="17"/>
      <c r="J29" s="17"/>
      <c r="K29" s="17"/>
      <c r="L29" s="17"/>
      <c r="M29" s="17"/>
      <c r="N29" s="17"/>
      <c r="O29" s="17"/>
      <c r="P29" s="17"/>
      <c r="Q29" s="17"/>
      <c r="R29" s="17"/>
      <c r="S29" s="17"/>
      <c r="T29" s="17"/>
      <c r="U29" s="17"/>
      <c r="V29" s="17"/>
      <c r="W29" s="17"/>
      <c r="X29" s="17"/>
      <c r="Y29" s="17"/>
      <c r="Z29" s="17"/>
    </row>
    <row r="30" ht="13.5" customHeight="1">
      <c r="A30" s="17"/>
      <c r="B30" s="17"/>
      <c r="C30" s="44" t="s">
        <v>66</v>
      </c>
      <c r="D30" s="45"/>
      <c r="E30" s="46"/>
      <c r="F30" s="17"/>
      <c r="G30" s="17"/>
      <c r="H30" s="17"/>
      <c r="I30" s="17"/>
      <c r="J30" s="17"/>
      <c r="K30" s="17"/>
      <c r="L30" s="17"/>
      <c r="M30" s="17"/>
      <c r="N30" s="17"/>
      <c r="O30" s="17"/>
      <c r="P30" s="17"/>
      <c r="Q30" s="17"/>
      <c r="R30" s="17"/>
      <c r="S30" s="17"/>
      <c r="T30" s="17"/>
      <c r="U30" s="17"/>
      <c r="V30" s="17"/>
      <c r="W30" s="17"/>
      <c r="X30" s="17"/>
      <c r="Y30" s="17"/>
      <c r="Z30" s="17"/>
    </row>
    <row r="31" ht="13.5" customHeight="1">
      <c r="A31" s="17"/>
      <c r="B31" s="17"/>
      <c r="C31" s="44" t="s">
        <v>67</v>
      </c>
      <c r="D31" s="45"/>
      <c r="E31" s="46"/>
      <c r="F31" s="17"/>
      <c r="G31" s="17"/>
      <c r="H31" s="17"/>
      <c r="I31" s="17"/>
      <c r="J31" s="17"/>
      <c r="K31" s="17"/>
      <c r="L31" s="17"/>
      <c r="M31" s="17"/>
      <c r="N31" s="17"/>
      <c r="O31" s="17"/>
      <c r="P31" s="17"/>
      <c r="Q31" s="17"/>
      <c r="R31" s="17"/>
      <c r="S31" s="17"/>
      <c r="T31" s="17"/>
      <c r="U31" s="17"/>
      <c r="V31" s="17"/>
      <c r="W31" s="17"/>
      <c r="X31" s="17"/>
      <c r="Y31" s="17"/>
      <c r="Z31" s="17"/>
    </row>
    <row r="32" ht="13.5" customHeight="1">
      <c r="A32" s="17"/>
      <c r="B32" s="17"/>
      <c r="C32" s="44" t="s">
        <v>68</v>
      </c>
      <c r="D32" s="45"/>
      <c r="E32" s="46"/>
      <c r="F32" s="17"/>
      <c r="G32" s="17"/>
      <c r="H32" s="17"/>
      <c r="I32" s="17"/>
      <c r="J32" s="17"/>
      <c r="K32" s="17"/>
      <c r="L32" s="17"/>
      <c r="M32" s="17"/>
      <c r="N32" s="17"/>
      <c r="O32" s="17"/>
      <c r="P32" s="17"/>
      <c r="Q32" s="17"/>
      <c r="R32" s="17"/>
      <c r="S32" s="17"/>
      <c r="T32" s="17"/>
      <c r="U32" s="17"/>
      <c r="V32" s="17"/>
      <c r="W32" s="17"/>
      <c r="X32" s="17"/>
      <c r="Y32" s="17"/>
      <c r="Z32" s="17"/>
    </row>
    <row r="33" ht="13.5" customHeight="1">
      <c r="A33" s="17"/>
      <c r="B33" s="17"/>
      <c r="C33" s="44" t="s">
        <v>69</v>
      </c>
      <c r="D33" s="45"/>
      <c r="E33" s="46"/>
      <c r="F33" s="17"/>
      <c r="G33" s="17"/>
      <c r="H33" s="17"/>
      <c r="I33" s="17"/>
      <c r="J33" s="17"/>
      <c r="K33" s="17"/>
      <c r="L33" s="17"/>
      <c r="M33" s="17"/>
      <c r="N33" s="17"/>
      <c r="O33" s="17"/>
      <c r="P33" s="17"/>
      <c r="Q33" s="17"/>
      <c r="R33" s="17"/>
      <c r="S33" s="17"/>
      <c r="T33" s="17"/>
      <c r="U33" s="17"/>
      <c r="V33" s="17"/>
      <c r="W33" s="17"/>
      <c r="X33" s="17"/>
      <c r="Y33" s="17"/>
      <c r="Z33" s="17"/>
    </row>
    <row r="34" ht="13.5" customHeight="1">
      <c r="A34" s="17"/>
      <c r="B34" s="17"/>
      <c r="C34" s="44" t="s">
        <v>70</v>
      </c>
      <c r="D34" s="45"/>
      <c r="E34" s="46"/>
      <c r="F34" s="17"/>
      <c r="G34" s="17"/>
      <c r="H34" s="17"/>
      <c r="I34" s="17"/>
      <c r="J34" s="17"/>
      <c r="K34" s="17"/>
      <c r="L34" s="17"/>
      <c r="M34" s="17"/>
      <c r="N34" s="17"/>
      <c r="O34" s="17"/>
      <c r="P34" s="17"/>
      <c r="Q34" s="17"/>
      <c r="R34" s="17"/>
      <c r="S34" s="17"/>
      <c r="T34" s="17"/>
      <c r="U34" s="17"/>
      <c r="V34" s="17"/>
      <c r="W34" s="17"/>
      <c r="X34" s="17"/>
      <c r="Y34" s="17"/>
      <c r="Z34" s="17"/>
    </row>
    <row r="35" ht="13.5" customHeight="1">
      <c r="A35" s="17"/>
      <c r="B35" s="17"/>
      <c r="C35" s="44" t="s">
        <v>71</v>
      </c>
      <c r="D35" s="45"/>
      <c r="E35" s="46"/>
      <c r="F35" s="17"/>
      <c r="G35" s="17"/>
      <c r="H35" s="17"/>
      <c r="I35" s="17"/>
      <c r="J35" s="17"/>
      <c r="K35" s="17"/>
      <c r="L35" s="17"/>
      <c r="M35" s="17"/>
      <c r="N35" s="17"/>
      <c r="O35" s="17"/>
      <c r="P35" s="17"/>
      <c r="Q35" s="17"/>
      <c r="R35" s="17"/>
      <c r="S35" s="17"/>
      <c r="T35" s="17"/>
      <c r="U35" s="17"/>
      <c r="V35" s="17"/>
      <c r="W35" s="17"/>
      <c r="X35" s="17"/>
      <c r="Y35" s="17"/>
      <c r="Z35" s="17"/>
    </row>
    <row r="36" ht="13.5" customHeight="1">
      <c r="A36" s="17"/>
      <c r="B36" s="17"/>
      <c r="C36" s="44"/>
      <c r="D36" s="45"/>
      <c r="E36" s="46"/>
      <c r="F36" s="17"/>
      <c r="G36" s="17"/>
      <c r="H36" s="17"/>
      <c r="I36" s="17"/>
      <c r="J36" s="17"/>
      <c r="K36" s="17"/>
      <c r="L36" s="17"/>
      <c r="M36" s="17"/>
      <c r="N36" s="17"/>
      <c r="O36" s="17"/>
      <c r="P36" s="17"/>
      <c r="Q36" s="17"/>
      <c r="R36" s="17"/>
      <c r="S36" s="17"/>
      <c r="T36" s="17"/>
      <c r="U36" s="17"/>
      <c r="V36" s="17"/>
      <c r="W36" s="17"/>
      <c r="X36" s="17"/>
      <c r="Y36" s="17"/>
      <c r="Z36" s="17"/>
    </row>
    <row r="37" ht="13.5" customHeight="1">
      <c r="A37" s="17"/>
      <c r="B37" s="17"/>
      <c r="C37" s="44"/>
      <c r="D37" s="45"/>
      <c r="E37" s="46"/>
      <c r="F37" s="17"/>
      <c r="G37" s="17"/>
      <c r="H37" s="17"/>
      <c r="I37" s="17"/>
      <c r="J37" s="17"/>
      <c r="K37" s="17"/>
      <c r="L37" s="17"/>
      <c r="M37" s="17"/>
      <c r="N37" s="17"/>
      <c r="O37" s="17"/>
      <c r="P37" s="17"/>
      <c r="Q37" s="17"/>
      <c r="R37" s="17"/>
      <c r="S37" s="17"/>
      <c r="T37" s="17"/>
      <c r="U37" s="17"/>
      <c r="V37" s="17"/>
      <c r="W37" s="17"/>
      <c r="X37" s="17"/>
      <c r="Y37" s="17"/>
      <c r="Z37" s="17"/>
    </row>
    <row r="38" ht="13.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47" t="s">
        <v>72</v>
      </c>
      <c r="D39" s="17"/>
      <c r="E39" s="17"/>
      <c r="F39" s="17"/>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48" t="s">
        <v>73</v>
      </c>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48" t="s">
        <v>74</v>
      </c>
      <c r="D41" s="49"/>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48" t="s">
        <v>75</v>
      </c>
      <c r="D42" s="49"/>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t="s">
        <v>76</v>
      </c>
      <c r="D43" s="49"/>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48" t="s">
        <v>77</v>
      </c>
      <c r="D44" s="49"/>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48" t="s">
        <v>78</v>
      </c>
      <c r="D45" s="49"/>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50" t="s">
        <v>79</v>
      </c>
      <c r="D46" s="49"/>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47" t="s">
        <v>80</v>
      </c>
      <c r="D47" s="17"/>
      <c r="E47" s="17"/>
      <c r="F47" s="17"/>
      <c r="G47" s="17"/>
      <c r="H47" s="17"/>
      <c r="I47" s="17"/>
      <c r="J47" s="17"/>
      <c r="K47" s="17"/>
      <c r="L47" s="17"/>
      <c r="M47" s="17"/>
      <c r="N47" s="17"/>
      <c r="O47" s="17"/>
      <c r="P47" s="17"/>
      <c r="Q47" s="17"/>
      <c r="R47" s="17"/>
      <c r="S47" s="17"/>
      <c r="T47" s="17"/>
      <c r="U47" s="17"/>
      <c r="V47" s="17"/>
      <c r="W47" s="17"/>
      <c r="X47" s="17"/>
      <c r="Y47" s="17"/>
      <c r="Z47" s="17"/>
    </row>
    <row r="48" ht="32.25" customHeight="1">
      <c r="A48" s="17"/>
      <c r="B48" s="17"/>
      <c r="C48" s="51" t="s">
        <v>81</v>
      </c>
      <c r="D48" s="52"/>
      <c r="E48" s="53"/>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54" t="s">
        <v>82</v>
      </c>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3.25" customHeight="1">
      <c r="A52" s="17"/>
      <c r="B52" s="17"/>
      <c r="C52" s="55" t="s">
        <v>83</v>
      </c>
      <c r="D52" s="52"/>
      <c r="E52" s="53"/>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27" t="s">
        <v>84</v>
      </c>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33.0" customHeight="1">
      <c r="A55" s="17"/>
      <c r="B55" s="17"/>
      <c r="C55" s="55" t="s">
        <v>85</v>
      </c>
      <c r="D55" s="52"/>
      <c r="E55" s="53"/>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49"/>
      <c r="D56" s="17"/>
      <c r="E56" s="17"/>
      <c r="F56" s="17"/>
      <c r="G56" s="17"/>
      <c r="H56" s="17"/>
      <c r="I56" s="17"/>
      <c r="J56" s="17"/>
      <c r="K56" s="17"/>
      <c r="L56" s="17"/>
      <c r="M56" s="17"/>
      <c r="N56" s="17"/>
      <c r="O56" s="17"/>
      <c r="P56" s="17"/>
      <c r="Q56" s="17"/>
      <c r="R56" s="17"/>
      <c r="S56" s="17"/>
      <c r="T56" s="17"/>
      <c r="U56" s="17"/>
      <c r="V56" s="17"/>
      <c r="W56" s="17"/>
      <c r="X56" s="17"/>
      <c r="Y56" s="17"/>
      <c r="Z56" s="17"/>
    </row>
    <row r="57" ht="33.0" customHeight="1">
      <c r="A57" s="17"/>
      <c r="B57" s="17"/>
      <c r="C57" s="55" t="s">
        <v>86</v>
      </c>
      <c r="D57" s="52"/>
      <c r="E57" s="53"/>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49"/>
      <c r="D58" s="17"/>
      <c r="E58" s="17"/>
      <c r="F58" s="17"/>
      <c r="G58" s="17"/>
      <c r="H58" s="17"/>
      <c r="I58" s="17"/>
      <c r="J58" s="17"/>
      <c r="K58" s="17"/>
      <c r="L58" s="17"/>
      <c r="M58" s="17"/>
      <c r="N58" s="17"/>
      <c r="O58" s="17"/>
      <c r="P58" s="17"/>
      <c r="Q58" s="17"/>
      <c r="R58" s="17"/>
      <c r="S58" s="17"/>
      <c r="T58" s="17"/>
      <c r="U58" s="17"/>
      <c r="V58" s="17"/>
      <c r="W58" s="17"/>
      <c r="X58" s="17"/>
      <c r="Y58" s="17"/>
      <c r="Z58" s="17"/>
    </row>
    <row r="59" ht="33.0" customHeight="1">
      <c r="A59" s="17"/>
      <c r="B59" s="17"/>
      <c r="C59" s="55" t="s">
        <v>87</v>
      </c>
      <c r="D59" s="52"/>
      <c r="E59" s="53"/>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49"/>
      <c r="D60" s="17"/>
      <c r="E60" s="17"/>
      <c r="F60" s="17"/>
      <c r="G60" s="17"/>
      <c r="H60" s="17"/>
      <c r="I60" s="17"/>
      <c r="J60" s="17"/>
      <c r="K60" s="17"/>
      <c r="L60" s="17"/>
      <c r="M60" s="17"/>
      <c r="N60" s="17"/>
      <c r="O60" s="17"/>
      <c r="P60" s="17"/>
      <c r="Q60" s="17"/>
      <c r="R60" s="17"/>
      <c r="S60" s="17"/>
      <c r="T60" s="17"/>
      <c r="U60" s="17"/>
      <c r="V60" s="17"/>
      <c r="W60" s="17"/>
      <c r="X60" s="17"/>
      <c r="Y60" s="17"/>
      <c r="Z60" s="17"/>
    </row>
    <row r="61" ht="33.0" customHeight="1">
      <c r="A61" s="17"/>
      <c r="B61" s="17"/>
      <c r="C61" s="55" t="s">
        <v>88</v>
      </c>
      <c r="D61" s="52"/>
      <c r="E61" s="53"/>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49"/>
      <c r="D62" s="17"/>
      <c r="E62" s="17"/>
      <c r="F62" s="17"/>
      <c r="G62" s="17"/>
      <c r="H62" s="17"/>
      <c r="I62" s="17"/>
      <c r="J62" s="17"/>
      <c r="K62" s="17"/>
      <c r="L62" s="17"/>
      <c r="M62" s="17"/>
      <c r="N62" s="17"/>
      <c r="O62" s="17"/>
      <c r="P62" s="17"/>
      <c r="Q62" s="17"/>
      <c r="R62" s="17"/>
      <c r="S62" s="17"/>
      <c r="T62" s="17"/>
      <c r="U62" s="17"/>
      <c r="V62" s="17"/>
      <c r="W62" s="17"/>
      <c r="X62" s="17"/>
      <c r="Y62" s="17"/>
      <c r="Z62" s="17"/>
    </row>
    <row r="63" ht="66.0" customHeight="1">
      <c r="A63" s="17"/>
      <c r="B63" s="17"/>
      <c r="C63" s="55" t="s">
        <v>89</v>
      </c>
      <c r="D63" s="52"/>
      <c r="E63" s="53"/>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6">
    <mergeCell ref="D6:E6"/>
    <mergeCell ref="D7:E7"/>
    <mergeCell ref="D8:E8"/>
    <mergeCell ref="D9:E9"/>
    <mergeCell ref="D10:E10"/>
    <mergeCell ref="D11:E11"/>
    <mergeCell ref="D12:E12"/>
    <mergeCell ref="D13:E13"/>
    <mergeCell ref="D15:E15"/>
    <mergeCell ref="D16:E16"/>
    <mergeCell ref="D17:E17"/>
    <mergeCell ref="C30:E30"/>
    <mergeCell ref="C31:E31"/>
    <mergeCell ref="C32:E32"/>
    <mergeCell ref="C55:E55"/>
    <mergeCell ref="C57:E57"/>
    <mergeCell ref="C59:E59"/>
    <mergeCell ref="C61:E61"/>
    <mergeCell ref="C63:E63"/>
    <mergeCell ref="C33:E33"/>
    <mergeCell ref="C34:E34"/>
    <mergeCell ref="C35:E35"/>
    <mergeCell ref="C36:E36"/>
    <mergeCell ref="C37:E37"/>
    <mergeCell ref="C48:E48"/>
    <mergeCell ref="C52:E52"/>
  </mergeCells>
  <conditionalFormatting sqref="D19">
    <cfRule type="cellIs" dxfId="2" priority="1" operator="equal">
      <formula>$H$20</formula>
    </cfRule>
  </conditionalFormatting>
  <conditionalFormatting sqref="D19 D21:D22">
    <cfRule type="cellIs" dxfId="2" priority="2" operator="equal">
      <formula>$H$19</formula>
    </cfRule>
  </conditionalFormatting>
  <dataValidations>
    <dataValidation type="list" allowBlank="1" showErrorMessage="1" sqref="D19:D21">
      <formula1>Mapping!$A$2:$A$3</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4.43"/>
    <col customWidth="1" min="3" max="3" width="11.0"/>
    <col customWidth="1" min="4" max="4" width="67.71"/>
    <col customWidth="1" min="5" max="5" width="12.57"/>
    <col customWidth="1" min="6" max="6" width="46.57"/>
    <col customWidth="1" min="7" max="7" width="9.14"/>
    <col customWidth="1" min="8" max="8" width="52.86"/>
    <col customWidth="1" min="9" max="11" width="9.14"/>
    <col customWidth="1" min="12" max="12" width="11.86"/>
    <col customWidth="1" min="13" max="13" width="5.86"/>
    <col customWidth="1" min="14" max="14" width="51.71"/>
    <col customWidth="1" min="15" max="15" width="12.29"/>
    <col customWidth="1" min="16" max="16" width="12.86"/>
    <col customWidth="1" min="1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7"/>
      <c r="E7" s="18"/>
      <c r="F7" s="18"/>
      <c r="G7" s="17"/>
      <c r="H7" s="17"/>
      <c r="I7" s="17"/>
      <c r="J7" s="17"/>
      <c r="K7" s="17"/>
      <c r="L7" s="17"/>
      <c r="M7" s="17"/>
      <c r="N7" s="17"/>
      <c r="O7" s="17"/>
      <c r="P7" s="17"/>
      <c r="Q7" s="17"/>
      <c r="R7" s="17"/>
      <c r="S7" s="17"/>
      <c r="T7" s="17"/>
      <c r="U7" s="17"/>
      <c r="V7" s="17"/>
      <c r="W7" s="17"/>
      <c r="X7" s="17"/>
      <c r="Y7" s="17"/>
      <c r="Z7" s="17"/>
    </row>
    <row r="8" ht="15.0" customHeight="1">
      <c r="A8" s="17"/>
      <c r="B8" s="17"/>
      <c r="C8" s="56" t="s">
        <v>90</v>
      </c>
      <c r="D8" s="52"/>
      <c r="E8" s="52"/>
      <c r="F8" s="53"/>
      <c r="G8" s="17"/>
      <c r="H8" s="17"/>
      <c r="I8" s="17"/>
      <c r="J8" s="17"/>
      <c r="K8" s="17"/>
      <c r="L8" s="17"/>
      <c r="M8" s="17"/>
      <c r="N8" s="17"/>
      <c r="O8" s="17"/>
      <c r="P8" s="17"/>
      <c r="Q8" s="17"/>
      <c r="R8" s="17"/>
      <c r="S8" s="17"/>
      <c r="T8" s="17"/>
      <c r="U8" s="17"/>
      <c r="V8" s="17"/>
      <c r="W8" s="17"/>
      <c r="X8" s="17"/>
      <c r="Y8" s="17"/>
      <c r="Z8" s="17"/>
    </row>
    <row r="9" ht="15.0" customHeight="1">
      <c r="A9" s="17"/>
      <c r="B9" s="17"/>
      <c r="C9" s="17"/>
      <c r="D9" s="17"/>
      <c r="E9" s="57"/>
      <c r="G9" s="17"/>
      <c r="H9" s="17"/>
      <c r="I9" s="17"/>
      <c r="J9" s="17"/>
      <c r="K9" s="17"/>
      <c r="L9" s="17"/>
      <c r="M9" s="17"/>
      <c r="N9" s="17"/>
      <c r="O9" s="17"/>
      <c r="P9" s="17"/>
      <c r="Q9" s="17"/>
      <c r="R9" s="17"/>
      <c r="S9" s="17"/>
      <c r="T9" s="17"/>
      <c r="U9" s="17"/>
      <c r="V9" s="17"/>
      <c r="W9" s="17"/>
      <c r="X9" s="17"/>
      <c r="Y9" s="17"/>
      <c r="Z9" s="17"/>
    </row>
    <row r="10" ht="15.0" customHeight="1">
      <c r="A10" s="17"/>
      <c r="B10" s="17"/>
      <c r="C10" s="58" t="s">
        <v>91</v>
      </c>
      <c r="D10" s="17"/>
      <c r="E10" s="17"/>
      <c r="F10" s="17"/>
      <c r="G10" s="17"/>
      <c r="H10" s="17"/>
      <c r="I10" s="17"/>
      <c r="J10" s="17"/>
      <c r="K10" s="17"/>
      <c r="L10" s="17"/>
      <c r="M10" s="17"/>
      <c r="N10" s="17"/>
      <c r="O10" s="17"/>
      <c r="P10" s="17"/>
      <c r="Q10" s="17"/>
      <c r="R10" s="17"/>
      <c r="S10" s="17"/>
      <c r="T10" s="17"/>
      <c r="U10" s="17"/>
      <c r="V10" s="17"/>
      <c r="W10" s="17"/>
      <c r="X10" s="17"/>
      <c r="Y10" s="17"/>
      <c r="Z10" s="17"/>
    </row>
    <row r="11" ht="15.0" customHeight="1">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row>
    <row r="12" ht="15.0" customHeight="1">
      <c r="A12" s="17"/>
      <c r="B12" s="17"/>
      <c r="C12" s="59" t="s">
        <v>92</v>
      </c>
      <c r="D12" s="60" t="s">
        <v>93</v>
      </c>
      <c r="E12" s="61"/>
      <c r="F12" s="21"/>
      <c r="G12" s="17"/>
      <c r="H12" s="17"/>
      <c r="I12" s="17"/>
      <c r="J12" s="17"/>
      <c r="K12" s="17"/>
      <c r="L12" s="17"/>
      <c r="M12" s="17"/>
      <c r="N12" s="17"/>
      <c r="O12" s="17"/>
      <c r="P12" s="17"/>
      <c r="Q12" s="17"/>
      <c r="R12" s="17"/>
      <c r="S12" s="17"/>
      <c r="T12" s="17"/>
      <c r="U12" s="17"/>
      <c r="V12" s="17"/>
      <c r="W12" s="17"/>
      <c r="X12" s="17"/>
      <c r="Y12" s="17"/>
      <c r="Z12" s="17"/>
    </row>
    <row r="13" ht="15.0" customHeight="1">
      <c r="A13" s="17"/>
      <c r="B13" s="17"/>
      <c r="C13" s="62" t="s">
        <v>94</v>
      </c>
      <c r="D13" s="60" t="s">
        <v>95</v>
      </c>
      <c r="E13" s="61"/>
      <c r="F13" s="21"/>
      <c r="G13" s="17"/>
      <c r="H13" s="17"/>
      <c r="I13" s="17"/>
      <c r="J13" s="17"/>
      <c r="K13" s="17"/>
      <c r="L13" s="17"/>
      <c r="M13" s="17"/>
      <c r="N13" s="17"/>
      <c r="O13" s="17"/>
      <c r="P13" s="17"/>
      <c r="Q13" s="17"/>
      <c r="R13" s="17"/>
      <c r="S13" s="17"/>
      <c r="T13" s="17"/>
      <c r="U13" s="17"/>
      <c r="V13" s="17"/>
      <c r="W13" s="17"/>
      <c r="X13" s="17"/>
      <c r="Y13" s="17"/>
      <c r="Z13" s="17"/>
    </row>
    <row r="14" ht="15.0" customHeight="1">
      <c r="A14" s="17"/>
      <c r="B14" s="17"/>
      <c r="C14" s="62" t="s">
        <v>96</v>
      </c>
      <c r="D14" s="60" t="s">
        <v>97</v>
      </c>
      <c r="E14" s="61"/>
      <c r="F14" s="21"/>
      <c r="G14" s="17"/>
      <c r="H14" s="17"/>
      <c r="I14" s="17"/>
      <c r="J14" s="17"/>
      <c r="K14" s="17"/>
      <c r="L14" s="17"/>
      <c r="M14" s="17"/>
      <c r="N14" s="17"/>
      <c r="O14" s="17"/>
      <c r="P14" s="17"/>
      <c r="Q14" s="17"/>
      <c r="R14" s="17"/>
      <c r="S14" s="17"/>
      <c r="T14" s="17"/>
      <c r="U14" s="17"/>
      <c r="V14" s="17"/>
      <c r="W14" s="17"/>
      <c r="X14" s="17"/>
      <c r="Y14" s="17"/>
      <c r="Z14" s="17"/>
    </row>
    <row r="15" ht="15.0" customHeight="1">
      <c r="A15" s="17"/>
      <c r="B15" s="17"/>
      <c r="C15" s="62" t="s">
        <v>98</v>
      </c>
      <c r="D15" s="60" t="s">
        <v>99</v>
      </c>
      <c r="E15" s="61"/>
      <c r="F15" s="21"/>
      <c r="G15" s="17"/>
      <c r="H15" s="17"/>
      <c r="I15" s="17"/>
      <c r="J15" s="17"/>
      <c r="K15" s="17"/>
      <c r="L15" s="17"/>
      <c r="M15" s="17"/>
      <c r="N15" s="17"/>
      <c r="O15" s="17"/>
      <c r="P15" s="17"/>
      <c r="Q15" s="17"/>
      <c r="R15" s="17"/>
      <c r="S15" s="17"/>
      <c r="T15" s="17"/>
      <c r="U15" s="17"/>
      <c r="V15" s="17"/>
      <c r="W15" s="17"/>
      <c r="X15" s="17"/>
      <c r="Y15" s="17"/>
      <c r="Z15" s="17"/>
    </row>
    <row r="16" ht="15.0" customHeight="1">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row>
    <row r="17" ht="15.0" customHeight="1">
      <c r="A17" s="17"/>
      <c r="B17" s="17"/>
      <c r="C17" s="63" t="s">
        <v>100</v>
      </c>
      <c r="D17" s="17"/>
      <c r="E17" s="17"/>
      <c r="F17" s="17"/>
      <c r="G17" s="17"/>
      <c r="H17" s="17"/>
      <c r="I17" s="17"/>
      <c r="J17" s="17"/>
      <c r="K17" s="17"/>
      <c r="L17" s="17"/>
      <c r="M17" s="17"/>
      <c r="N17" s="17"/>
      <c r="O17" s="17"/>
      <c r="P17" s="17"/>
      <c r="Q17" s="17"/>
      <c r="R17" s="17"/>
      <c r="S17" s="17"/>
      <c r="T17" s="17"/>
      <c r="U17" s="17"/>
      <c r="V17" s="17"/>
      <c r="W17" s="17"/>
      <c r="X17" s="17"/>
      <c r="Y17" s="17"/>
      <c r="Z17" s="17"/>
    </row>
    <row r="18" ht="15.0" customHeight="1">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ht="15.0" customHeight="1">
      <c r="A19" s="17"/>
      <c r="B19" s="17"/>
      <c r="C19" s="64" t="s">
        <v>101</v>
      </c>
      <c r="D19" s="21"/>
      <c r="E19" s="65" t="s">
        <v>102</v>
      </c>
      <c r="F19" s="66" t="s">
        <v>103</v>
      </c>
      <c r="G19" s="17"/>
      <c r="H19" s="17"/>
      <c r="I19" s="67"/>
      <c r="J19" s="67"/>
      <c r="K19" s="67"/>
      <c r="L19" s="67"/>
      <c r="M19" s="67"/>
      <c r="N19" s="67"/>
      <c r="O19" s="67"/>
      <c r="P19" s="67"/>
      <c r="Q19" s="67"/>
      <c r="R19" s="67"/>
      <c r="S19" s="67"/>
      <c r="T19" s="17"/>
      <c r="U19" s="17"/>
      <c r="V19" s="17"/>
      <c r="W19" s="17"/>
      <c r="X19" s="17"/>
      <c r="Y19" s="17"/>
      <c r="Z19" s="17"/>
    </row>
    <row r="20" ht="24.75" customHeight="1">
      <c r="A20" s="17"/>
      <c r="B20" s="17"/>
      <c r="C20" s="60" t="s">
        <v>104</v>
      </c>
      <c r="D20" s="61"/>
      <c r="E20" s="60" t="s">
        <v>6</v>
      </c>
      <c r="F20" s="68" t="s">
        <v>105</v>
      </c>
      <c r="G20" s="17"/>
      <c r="H20" s="17"/>
      <c r="I20" s="17"/>
      <c r="J20" s="17"/>
      <c r="K20" s="17"/>
      <c r="L20" s="17"/>
      <c r="M20" s="17"/>
      <c r="N20" s="17"/>
      <c r="O20" s="17"/>
      <c r="P20" s="17"/>
      <c r="Q20" s="17"/>
      <c r="R20" s="17"/>
      <c r="S20" s="17"/>
      <c r="T20" s="17"/>
      <c r="U20" s="17"/>
      <c r="V20" s="17"/>
      <c r="W20" s="17"/>
      <c r="X20" s="17"/>
      <c r="Y20" s="17"/>
      <c r="Z20" s="17"/>
    </row>
    <row r="21" ht="24.75" customHeight="1">
      <c r="A21" s="17"/>
      <c r="B21" s="17"/>
      <c r="C21" s="60" t="s">
        <v>106</v>
      </c>
      <c r="D21" s="61"/>
      <c r="E21" s="60" t="s">
        <v>6</v>
      </c>
      <c r="F21" s="68" t="s">
        <v>107</v>
      </c>
      <c r="G21" s="17"/>
      <c r="H21" s="17"/>
      <c r="I21" s="17"/>
      <c r="J21" s="17"/>
      <c r="K21" s="17"/>
      <c r="L21" s="17"/>
      <c r="M21" s="17"/>
      <c r="N21" s="17"/>
      <c r="O21" s="17"/>
      <c r="P21" s="17"/>
      <c r="Q21" s="17"/>
      <c r="R21" s="17"/>
      <c r="S21" s="17"/>
      <c r="T21" s="17"/>
      <c r="U21" s="17"/>
      <c r="V21" s="17"/>
      <c r="W21" s="17"/>
      <c r="X21" s="17"/>
      <c r="Y21" s="17"/>
      <c r="Z21" s="17"/>
    </row>
    <row r="22" ht="24.75" customHeight="1">
      <c r="A22" s="17"/>
      <c r="B22" s="17"/>
      <c r="C22" s="60" t="s">
        <v>108</v>
      </c>
      <c r="D22" s="61"/>
      <c r="E22" s="60" t="s">
        <v>6</v>
      </c>
      <c r="F22" s="68" t="s">
        <v>109</v>
      </c>
      <c r="G22" s="17"/>
      <c r="H22" s="17"/>
      <c r="I22" s="17"/>
      <c r="J22" s="17"/>
      <c r="K22" s="17"/>
      <c r="L22" s="17"/>
      <c r="M22" s="17"/>
      <c r="N22" s="17"/>
      <c r="O22" s="17"/>
      <c r="P22" s="17"/>
      <c r="Q22" s="17"/>
      <c r="R22" s="17"/>
      <c r="S22" s="17"/>
      <c r="T22" s="17"/>
      <c r="U22" s="17"/>
      <c r="V22" s="17"/>
      <c r="W22" s="17"/>
      <c r="X22" s="17"/>
      <c r="Y22" s="17"/>
      <c r="Z22" s="17"/>
    </row>
    <row r="23" ht="24.75" customHeight="1">
      <c r="A23" s="17"/>
      <c r="B23" s="17"/>
      <c r="C23" s="60" t="s">
        <v>110</v>
      </c>
      <c r="D23" s="61"/>
      <c r="E23" s="60" t="s">
        <v>6</v>
      </c>
      <c r="F23" s="68" t="s">
        <v>111</v>
      </c>
      <c r="G23" s="17"/>
      <c r="H23" s="17"/>
      <c r="I23" s="17"/>
      <c r="J23" s="17"/>
      <c r="K23" s="17"/>
      <c r="L23" s="17"/>
      <c r="M23" s="17"/>
      <c r="N23" s="17"/>
      <c r="O23" s="17"/>
      <c r="P23" s="17"/>
      <c r="Q23" s="17"/>
      <c r="R23" s="17"/>
      <c r="S23" s="17"/>
      <c r="T23" s="17"/>
      <c r="U23" s="17"/>
      <c r="V23" s="17"/>
      <c r="W23" s="17"/>
      <c r="X23" s="17"/>
      <c r="Y23" s="17"/>
      <c r="Z23" s="17"/>
    </row>
    <row r="24" ht="128.25" customHeight="1">
      <c r="A24" s="17"/>
      <c r="B24" s="17"/>
      <c r="C24" s="60" t="s">
        <v>112</v>
      </c>
      <c r="D24" s="61"/>
      <c r="E24" s="60" t="s">
        <v>6</v>
      </c>
      <c r="F24" s="68" t="s">
        <v>113</v>
      </c>
      <c r="G24" s="17"/>
      <c r="H24" s="17"/>
      <c r="I24" s="17"/>
      <c r="J24" s="17"/>
      <c r="K24" s="17"/>
      <c r="L24" s="17"/>
      <c r="M24" s="17"/>
      <c r="N24" s="17"/>
      <c r="O24" s="17"/>
      <c r="P24" s="17"/>
      <c r="Q24" s="17"/>
      <c r="R24" s="17"/>
      <c r="S24" s="17"/>
      <c r="T24" s="17"/>
      <c r="U24" s="17"/>
      <c r="V24" s="17"/>
      <c r="W24" s="17"/>
      <c r="X24" s="17"/>
      <c r="Y24" s="17"/>
      <c r="Z24" s="17"/>
    </row>
    <row r="25" ht="15.0" customHeight="1">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row>
    <row r="26" ht="45.0" customHeight="1">
      <c r="A26" s="17"/>
      <c r="B26" s="17"/>
      <c r="C26" s="66" t="s">
        <v>114</v>
      </c>
      <c r="D26" s="60" t="str">
        <f>IF(COUNTIF($E$20:$E$24,"")=5,"",IF(COUNTIF($E$20:$E$24,"Yes")=5,"Contract exists between the parties","Contract does not exists between the parties"))</f>
        <v>Contract exists between the parties</v>
      </c>
      <c r="E26" s="61"/>
      <c r="F26" s="21"/>
      <c r="G26" s="17"/>
      <c r="H26" s="17"/>
      <c r="I26" s="17"/>
      <c r="J26" s="17"/>
      <c r="K26" s="17"/>
      <c r="L26" s="17"/>
      <c r="M26" s="17"/>
      <c r="N26" s="17"/>
      <c r="O26" s="17"/>
      <c r="P26" s="17"/>
      <c r="Q26" s="17"/>
      <c r="R26" s="17"/>
      <c r="S26" s="17"/>
      <c r="T26" s="17"/>
      <c r="U26" s="17"/>
      <c r="V26" s="17"/>
      <c r="W26" s="17"/>
      <c r="X26" s="17"/>
      <c r="Y26" s="17"/>
      <c r="Z26" s="17"/>
    </row>
    <row r="27" ht="14.2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ht="14.25" customHeight="1">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ht="14.25" customHeight="1">
      <c r="A29" s="17"/>
      <c r="B29" s="17"/>
      <c r="C29" s="69" t="s">
        <v>115</v>
      </c>
      <c r="D29" s="17"/>
      <c r="E29" s="17"/>
      <c r="F29" s="17"/>
      <c r="G29" s="17"/>
      <c r="H29" s="17"/>
      <c r="I29" s="17"/>
      <c r="J29" s="17"/>
      <c r="K29" s="17"/>
      <c r="L29" s="17"/>
      <c r="M29" s="17"/>
      <c r="N29" s="17"/>
      <c r="O29" s="17"/>
      <c r="P29" s="17"/>
      <c r="Q29" s="17"/>
      <c r="R29" s="17"/>
      <c r="S29" s="17"/>
      <c r="T29" s="17"/>
      <c r="U29" s="17"/>
      <c r="V29" s="17"/>
      <c r="W29" s="17"/>
      <c r="X29" s="17"/>
      <c r="Y29" s="17"/>
      <c r="Z29" s="17"/>
    </row>
    <row r="30" ht="14.25" customHeight="1">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70" t="s">
        <v>116</v>
      </c>
      <c r="D31" s="17"/>
      <c r="E31" s="17"/>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70" t="s">
        <v>117</v>
      </c>
      <c r="D32" s="17"/>
      <c r="E32" s="17"/>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70" t="s">
        <v>118</v>
      </c>
      <c r="D33" s="17"/>
      <c r="E33" s="17"/>
      <c r="F33" s="17"/>
      <c r="G33" s="17"/>
      <c r="H33" s="17"/>
      <c r="I33" s="17"/>
      <c r="J33" s="17"/>
      <c r="K33" s="17"/>
      <c r="L33" s="17"/>
      <c r="M33" s="17"/>
      <c r="N33" s="17"/>
      <c r="O33" s="17"/>
      <c r="P33" s="17"/>
      <c r="Q33" s="17"/>
      <c r="R33" s="17"/>
      <c r="S33" s="17"/>
      <c r="T33" s="17"/>
      <c r="U33" s="17"/>
      <c r="V33" s="17"/>
      <c r="W33" s="17"/>
      <c r="X33" s="17"/>
      <c r="Y33" s="17"/>
      <c r="Z33" s="17"/>
    </row>
    <row r="34" ht="14.25" customHeight="1">
      <c r="A34" s="17"/>
      <c r="B34" s="17"/>
      <c r="C34" s="70" t="s">
        <v>119</v>
      </c>
      <c r="D34" s="17"/>
      <c r="E34" s="17"/>
      <c r="F34" s="17"/>
      <c r="G34" s="17"/>
      <c r="H34" s="17"/>
      <c r="I34" s="17"/>
      <c r="J34" s="17"/>
      <c r="K34" s="17"/>
      <c r="L34" s="17"/>
      <c r="M34" s="17"/>
      <c r="N34" s="17"/>
      <c r="O34" s="17"/>
      <c r="P34" s="17"/>
      <c r="Q34" s="17"/>
      <c r="R34" s="17"/>
      <c r="S34" s="17"/>
      <c r="T34" s="17"/>
      <c r="U34" s="17"/>
      <c r="V34" s="17"/>
      <c r="W34" s="17"/>
      <c r="X34" s="17"/>
      <c r="Y34" s="17"/>
      <c r="Z34" s="17"/>
    </row>
    <row r="35" ht="14.25" customHeight="1">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57" t="s">
        <v>120</v>
      </c>
      <c r="D36" s="17"/>
      <c r="E36" s="17"/>
      <c r="F36" s="17"/>
      <c r="G36" s="17"/>
      <c r="H36" s="17"/>
      <c r="I36" s="17"/>
      <c r="J36" s="17"/>
      <c r="K36" s="17"/>
      <c r="L36" s="17"/>
      <c r="M36" s="17"/>
      <c r="N36" s="17"/>
      <c r="O36" s="17"/>
      <c r="P36" s="17"/>
      <c r="Q36" s="17"/>
      <c r="R36" s="17"/>
      <c r="S36" s="17"/>
      <c r="T36" s="17"/>
      <c r="U36" s="17"/>
      <c r="V36" s="17"/>
      <c r="W36" s="17"/>
      <c r="X36" s="17"/>
      <c r="Y36" s="17"/>
      <c r="Z36" s="17"/>
    </row>
    <row r="37" ht="14.25" customHeight="1">
      <c r="A37" s="17"/>
      <c r="B37" s="17"/>
      <c r="C37" s="70" t="s">
        <v>121</v>
      </c>
      <c r="D37" s="17"/>
      <c r="E37" s="17"/>
      <c r="F37" s="17"/>
      <c r="G37" s="17"/>
      <c r="H37" s="17"/>
      <c r="I37" s="17"/>
      <c r="J37" s="17"/>
      <c r="K37" s="17"/>
      <c r="L37" s="17"/>
      <c r="M37" s="17"/>
      <c r="N37" s="17"/>
      <c r="O37" s="17"/>
      <c r="P37" s="17"/>
      <c r="Q37" s="17"/>
      <c r="R37" s="17"/>
      <c r="S37" s="17"/>
      <c r="T37" s="17"/>
      <c r="U37" s="17"/>
      <c r="V37" s="17"/>
      <c r="W37" s="17"/>
      <c r="X37" s="17"/>
      <c r="Y37" s="17"/>
      <c r="Z37" s="17"/>
    </row>
    <row r="38" ht="14.2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31.5" customHeight="1">
      <c r="A39" s="17"/>
      <c r="B39" s="17"/>
      <c r="C39" s="71" t="s">
        <v>122</v>
      </c>
      <c r="D39" s="61"/>
      <c r="E39" s="21"/>
      <c r="F39" s="68" t="s">
        <v>6</v>
      </c>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72" t="s">
        <v>123</v>
      </c>
      <c r="D41" s="73"/>
      <c r="E41" s="73"/>
      <c r="F41" s="74"/>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24.75" customHeight="1">
      <c r="A43" s="17"/>
      <c r="B43" s="17"/>
      <c r="C43" s="71" t="s">
        <v>124</v>
      </c>
      <c r="D43" s="61"/>
      <c r="E43" s="21"/>
      <c r="F43" s="68" t="s">
        <v>13</v>
      </c>
      <c r="G43" s="17"/>
      <c r="H43" s="17"/>
      <c r="I43" s="17"/>
      <c r="J43" s="17"/>
      <c r="K43" s="17"/>
      <c r="L43" s="17"/>
      <c r="M43" s="17"/>
      <c r="N43" s="17"/>
      <c r="O43" s="17"/>
      <c r="P43" s="17"/>
      <c r="Q43" s="17"/>
      <c r="R43" s="17"/>
      <c r="S43" s="17"/>
      <c r="T43" s="17"/>
      <c r="U43" s="17"/>
      <c r="V43" s="17"/>
      <c r="W43" s="17"/>
      <c r="X43" s="17"/>
      <c r="Y43" s="17"/>
      <c r="Z43" s="17"/>
    </row>
    <row r="44" ht="24.75" customHeight="1">
      <c r="A44" s="17"/>
      <c r="B44" s="17"/>
      <c r="C44" s="71" t="s">
        <v>125</v>
      </c>
      <c r="D44" s="61"/>
      <c r="E44" s="21"/>
      <c r="F44" s="68" t="s">
        <v>13</v>
      </c>
      <c r="G44" s="17"/>
      <c r="H44" s="17"/>
      <c r="I44" s="17"/>
      <c r="J44" s="17"/>
      <c r="K44" s="17"/>
      <c r="L44" s="17"/>
      <c r="M44" s="17"/>
      <c r="N44" s="17"/>
      <c r="O44" s="17"/>
      <c r="P44" s="17"/>
      <c r="Q44" s="17"/>
      <c r="R44" s="17"/>
      <c r="S44" s="17"/>
      <c r="T44" s="17"/>
      <c r="U44" s="17"/>
      <c r="V44" s="17"/>
      <c r="W44" s="17"/>
      <c r="X44" s="17"/>
      <c r="Y44" s="17"/>
      <c r="Z44" s="17"/>
    </row>
    <row r="45" ht="24.75" customHeight="1">
      <c r="A45" s="17"/>
      <c r="B45" s="17"/>
      <c r="C45" s="71" t="s">
        <v>126</v>
      </c>
      <c r="D45" s="61"/>
      <c r="E45" s="21"/>
      <c r="F45" s="68" t="s">
        <v>13</v>
      </c>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72" t="s">
        <v>127</v>
      </c>
      <c r="D47" s="73"/>
      <c r="E47" s="73"/>
      <c r="F47" s="74"/>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75"/>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72" t="s">
        <v>128</v>
      </c>
      <c r="D49" s="73"/>
      <c r="E49" s="73"/>
      <c r="F49" s="74"/>
      <c r="G49" s="17"/>
      <c r="H49" s="17"/>
      <c r="I49" s="17"/>
      <c r="J49" s="17"/>
      <c r="K49" s="17"/>
      <c r="L49" s="17"/>
      <c r="M49" s="17"/>
      <c r="N49" s="17"/>
      <c r="O49" s="17"/>
      <c r="P49" s="17"/>
      <c r="Q49" s="17"/>
      <c r="R49" s="17"/>
      <c r="S49" s="17"/>
      <c r="T49" s="17"/>
      <c r="U49" s="17"/>
      <c r="V49" s="17"/>
      <c r="W49" s="17"/>
      <c r="X49" s="17"/>
      <c r="Y49" s="17"/>
      <c r="Z49" s="17"/>
    </row>
    <row r="50" ht="72.0" customHeight="1">
      <c r="A50" s="17"/>
      <c r="B50" s="17"/>
      <c r="C50" s="76" t="s">
        <v>129</v>
      </c>
      <c r="D50" s="73"/>
      <c r="E50" s="73"/>
      <c r="F50" s="74"/>
      <c r="G50" s="17"/>
      <c r="H50" s="17"/>
      <c r="I50" s="17"/>
      <c r="J50" s="17"/>
      <c r="K50" s="17"/>
      <c r="L50" s="17"/>
      <c r="M50" s="17"/>
      <c r="N50" s="17"/>
      <c r="O50" s="17"/>
      <c r="P50" s="17"/>
      <c r="Q50" s="17"/>
      <c r="R50" s="17"/>
      <c r="S50" s="17"/>
      <c r="T50" s="17"/>
      <c r="U50" s="17"/>
      <c r="V50" s="17"/>
      <c r="W50" s="17"/>
      <c r="X50" s="17"/>
      <c r="Y50" s="17"/>
      <c r="Z50" s="17"/>
    </row>
    <row r="51" ht="20.25" customHeight="1">
      <c r="A51" s="17"/>
      <c r="B51" s="17"/>
      <c r="C51" s="72" t="s">
        <v>130</v>
      </c>
      <c r="D51" s="73"/>
      <c r="E51" s="73"/>
      <c r="F51" s="74"/>
      <c r="G51" s="17"/>
      <c r="H51" s="17"/>
      <c r="I51" s="17"/>
      <c r="J51" s="17"/>
      <c r="K51" s="17"/>
      <c r="L51" s="17"/>
      <c r="M51" s="17"/>
      <c r="N51" s="17"/>
      <c r="O51" s="17"/>
      <c r="P51" s="17"/>
      <c r="Q51" s="17"/>
      <c r="R51" s="17"/>
      <c r="S51" s="17"/>
      <c r="T51" s="17"/>
      <c r="U51" s="17"/>
      <c r="V51" s="17"/>
      <c r="W51" s="17"/>
      <c r="X51" s="17"/>
      <c r="Y51" s="17"/>
      <c r="Z51" s="17"/>
    </row>
    <row r="52" ht="64.5" customHeight="1">
      <c r="A52" s="17"/>
      <c r="B52" s="17"/>
      <c r="C52" s="76" t="s">
        <v>131</v>
      </c>
      <c r="D52" s="73"/>
      <c r="E52" s="73"/>
      <c r="F52" s="74"/>
      <c r="G52" s="17"/>
      <c r="H52" s="17"/>
      <c r="I52" s="17"/>
      <c r="J52" s="17"/>
      <c r="K52" s="17"/>
      <c r="L52" s="17"/>
      <c r="M52" s="17"/>
      <c r="N52" s="17"/>
      <c r="O52" s="17"/>
      <c r="P52" s="17"/>
      <c r="Q52" s="17"/>
      <c r="R52" s="17"/>
      <c r="S52" s="17"/>
      <c r="T52" s="17"/>
      <c r="U52" s="17"/>
      <c r="V52" s="17"/>
      <c r="W52" s="17"/>
      <c r="X52" s="17"/>
      <c r="Y52" s="17"/>
      <c r="Z52" s="17"/>
    </row>
    <row r="53" ht="34.5" customHeight="1">
      <c r="A53" s="17"/>
      <c r="B53" s="17"/>
      <c r="C53" s="77" t="s">
        <v>132</v>
      </c>
      <c r="D53" s="52"/>
      <c r="E53" s="53"/>
      <c r="F53" s="17"/>
      <c r="G53" s="17"/>
      <c r="H53" s="17"/>
      <c r="I53" s="17"/>
      <c r="J53" s="17"/>
      <c r="K53" s="17"/>
      <c r="L53" s="17"/>
      <c r="M53" s="17"/>
      <c r="N53" s="17"/>
      <c r="O53" s="17"/>
      <c r="P53" s="17"/>
      <c r="Q53" s="17"/>
      <c r="R53" s="17"/>
      <c r="S53" s="17"/>
      <c r="T53" s="17"/>
      <c r="U53" s="17"/>
      <c r="V53" s="17"/>
      <c r="W53" s="17"/>
      <c r="X53" s="17"/>
      <c r="Y53" s="17"/>
      <c r="Z53" s="17"/>
    </row>
    <row r="54" ht="27.75" hidden="1" customHeight="1">
      <c r="A54" s="17"/>
      <c r="B54" s="17"/>
      <c r="C54" s="71" t="s">
        <v>133</v>
      </c>
      <c r="D54" s="21"/>
      <c r="E54" s="68"/>
      <c r="F54" s="17"/>
      <c r="G54" s="17"/>
      <c r="H54" s="17"/>
      <c r="I54" s="17"/>
      <c r="J54" s="17"/>
      <c r="K54" s="17"/>
      <c r="L54" s="17"/>
      <c r="M54" s="17"/>
      <c r="N54" s="17"/>
      <c r="O54" s="17"/>
      <c r="P54" s="17"/>
      <c r="Q54" s="17"/>
      <c r="R54" s="17"/>
      <c r="S54" s="17"/>
      <c r="T54" s="17"/>
      <c r="U54" s="17"/>
      <c r="V54" s="17"/>
      <c r="W54" s="17"/>
      <c r="X54" s="17"/>
      <c r="Y54" s="17"/>
      <c r="Z54" s="17"/>
    </row>
    <row r="55" ht="13.5" hidden="1" customHeight="1">
      <c r="A55" s="17"/>
      <c r="B55" s="17"/>
      <c r="C55" s="78" t="s">
        <v>128</v>
      </c>
      <c r="D55" s="61"/>
      <c r="E55" s="21"/>
      <c r="F55" s="17"/>
      <c r="G55" s="17"/>
      <c r="H55" s="17"/>
      <c r="I55" s="17"/>
      <c r="J55" s="17"/>
      <c r="K55" s="17"/>
      <c r="L55" s="17"/>
      <c r="M55" s="17"/>
      <c r="N55" s="17"/>
      <c r="O55" s="17"/>
      <c r="P55" s="17"/>
      <c r="Q55" s="17"/>
      <c r="R55" s="17"/>
      <c r="S55" s="17"/>
      <c r="T55" s="17"/>
      <c r="U55" s="17"/>
      <c r="V55" s="17"/>
      <c r="W55" s="17"/>
      <c r="X55" s="17"/>
      <c r="Y55" s="17"/>
      <c r="Z55" s="17"/>
    </row>
    <row r="56" ht="54.0" hidden="1" customHeight="1">
      <c r="A56" s="17"/>
      <c r="B56" s="17"/>
      <c r="C56" s="60"/>
      <c r="D56" s="61"/>
      <c r="E56" s="21"/>
      <c r="F56" s="17"/>
      <c r="G56" s="17"/>
      <c r="H56" s="17"/>
      <c r="I56" s="17"/>
      <c r="J56" s="17"/>
      <c r="K56" s="17"/>
      <c r="L56" s="17"/>
      <c r="M56" s="17"/>
      <c r="N56" s="17"/>
      <c r="O56" s="17"/>
      <c r="P56" s="17"/>
      <c r="Q56" s="17"/>
      <c r="R56" s="17"/>
      <c r="S56" s="17"/>
      <c r="T56" s="17"/>
      <c r="U56" s="17"/>
      <c r="V56" s="17"/>
      <c r="W56" s="17"/>
      <c r="X56" s="17"/>
      <c r="Y56" s="17"/>
      <c r="Z56" s="17"/>
    </row>
    <row r="57" ht="19.5" hidden="1"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9.5" hidden="1" customHeight="1">
      <c r="A58" s="17"/>
      <c r="B58" s="17"/>
      <c r="C58" s="71" t="s">
        <v>134</v>
      </c>
      <c r="D58" s="21"/>
      <c r="E58" s="68"/>
      <c r="F58" s="17"/>
      <c r="G58" s="17"/>
      <c r="H58" s="17"/>
      <c r="I58" s="17"/>
      <c r="J58" s="17"/>
      <c r="K58" s="17"/>
      <c r="L58" s="17"/>
      <c r="M58" s="17"/>
      <c r="N58" s="17"/>
      <c r="O58" s="17"/>
      <c r="P58" s="17"/>
      <c r="Q58" s="17"/>
      <c r="R58" s="17"/>
      <c r="S58" s="17"/>
      <c r="T58" s="17"/>
      <c r="U58" s="17"/>
      <c r="V58" s="17"/>
      <c r="W58" s="17"/>
      <c r="X58" s="17"/>
      <c r="Y58" s="17"/>
      <c r="Z58" s="17"/>
    </row>
    <row r="59" ht="19.5" hidden="1"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9.5" hidden="1"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9.5" hidden="1" customHeight="1">
      <c r="A61" s="17"/>
      <c r="B61" s="17"/>
      <c r="C61" s="71" t="s">
        <v>135</v>
      </c>
      <c r="D61" s="21"/>
      <c r="E61" s="68"/>
      <c r="F61" s="17"/>
      <c r="G61" s="17"/>
      <c r="H61" s="17"/>
      <c r="I61" s="17"/>
      <c r="J61" s="17"/>
      <c r="K61" s="17"/>
      <c r="L61" s="17"/>
      <c r="M61" s="17"/>
      <c r="N61" s="17"/>
      <c r="O61" s="17"/>
      <c r="P61" s="17"/>
      <c r="Q61" s="17"/>
      <c r="R61" s="17"/>
      <c r="S61" s="17"/>
      <c r="T61" s="17"/>
      <c r="U61" s="17"/>
      <c r="V61" s="17"/>
      <c r="W61" s="17"/>
      <c r="X61" s="17"/>
      <c r="Y61" s="17"/>
      <c r="Z61" s="17"/>
    </row>
    <row r="62" ht="19.5" hidden="1"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9.5" hidden="1"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9.5" hidden="1" customHeight="1">
      <c r="A64" s="17"/>
      <c r="B64" s="17"/>
      <c r="C64" s="71" t="s">
        <v>136</v>
      </c>
      <c r="D64" s="21"/>
      <c r="E64" s="68"/>
      <c r="F64" s="17"/>
      <c r="G64" s="17"/>
      <c r="H64" s="17"/>
      <c r="I64" s="17"/>
      <c r="J64" s="17"/>
      <c r="K64" s="17"/>
      <c r="L64" s="17"/>
      <c r="M64" s="17"/>
      <c r="N64" s="17"/>
      <c r="O64" s="17"/>
      <c r="P64" s="17"/>
      <c r="Q64" s="17"/>
      <c r="R64" s="17"/>
      <c r="S64" s="17"/>
      <c r="T64" s="17"/>
      <c r="U64" s="17"/>
      <c r="V64" s="17"/>
      <c r="W64" s="17"/>
      <c r="X64" s="17"/>
      <c r="Y64" s="17"/>
      <c r="Z64" s="17"/>
    </row>
    <row r="65" ht="19.5" hidden="1" customHeight="1">
      <c r="A65" s="17"/>
      <c r="B65" s="17"/>
      <c r="C65" s="17"/>
      <c r="D65" s="17"/>
      <c r="E65" s="75"/>
      <c r="F65" s="17"/>
      <c r="G65" s="17"/>
      <c r="H65" s="17"/>
      <c r="I65" s="17"/>
      <c r="J65" s="17"/>
      <c r="K65" s="17"/>
      <c r="L65" s="17"/>
      <c r="M65" s="17"/>
      <c r="N65" s="17"/>
      <c r="O65" s="17"/>
      <c r="P65" s="17"/>
      <c r="Q65" s="17"/>
      <c r="R65" s="17"/>
      <c r="S65" s="17"/>
      <c r="T65" s="17"/>
      <c r="U65" s="17"/>
      <c r="V65" s="17"/>
      <c r="W65" s="17"/>
      <c r="X65" s="17"/>
      <c r="Y65" s="17"/>
      <c r="Z65" s="17"/>
    </row>
    <row r="66" ht="14.25" hidden="1"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hidden="1"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9.0" hidden="1"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33.75" hidden="1" customHeight="1">
      <c r="A69" s="17"/>
      <c r="B69" s="17"/>
      <c r="C69" s="71" t="s">
        <v>137</v>
      </c>
      <c r="D69" s="21"/>
      <c r="E69" s="68"/>
      <c r="F69" s="17"/>
      <c r="G69" s="17"/>
      <c r="H69" s="17"/>
      <c r="I69" s="17"/>
      <c r="J69" s="17"/>
      <c r="K69" s="17"/>
      <c r="L69" s="17"/>
      <c r="M69" s="17"/>
      <c r="N69" s="17"/>
      <c r="O69" s="17"/>
      <c r="P69" s="17"/>
      <c r="Q69" s="17"/>
      <c r="R69" s="17"/>
      <c r="S69" s="17"/>
      <c r="T69" s="17"/>
      <c r="U69" s="17"/>
      <c r="V69" s="17"/>
      <c r="W69" s="17"/>
      <c r="X69" s="17"/>
      <c r="Y69" s="17"/>
      <c r="Z69" s="17"/>
    </row>
    <row r="70" ht="16.5" hidden="1"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9.5" hidden="1" customHeight="1">
      <c r="A71" s="17"/>
      <c r="B71" s="17"/>
      <c r="C71" s="78" t="s">
        <v>128</v>
      </c>
      <c r="D71" s="61"/>
      <c r="E71" s="21"/>
      <c r="F71" s="17"/>
      <c r="G71" s="17"/>
      <c r="H71" s="17"/>
      <c r="I71" s="17"/>
      <c r="J71" s="17"/>
      <c r="K71" s="17"/>
      <c r="L71" s="17"/>
      <c r="M71" s="17"/>
      <c r="N71" s="17"/>
      <c r="O71" s="17"/>
      <c r="P71" s="17"/>
      <c r="Q71" s="17"/>
      <c r="R71" s="17"/>
      <c r="S71" s="17"/>
      <c r="T71" s="17"/>
      <c r="U71" s="17"/>
      <c r="V71" s="17"/>
      <c r="W71" s="17"/>
      <c r="X71" s="17"/>
      <c r="Y71" s="17"/>
      <c r="Z71" s="17"/>
    </row>
    <row r="72" ht="62.25" hidden="1" customHeight="1">
      <c r="A72" s="17"/>
      <c r="B72" s="17"/>
      <c r="C72" s="60"/>
      <c r="D72" s="61"/>
      <c r="E72" s="21"/>
      <c r="F72" s="17"/>
      <c r="G72" s="17"/>
      <c r="H72" s="17"/>
      <c r="I72" s="17"/>
      <c r="J72" s="17"/>
      <c r="K72" s="17"/>
      <c r="L72" s="17"/>
      <c r="M72" s="17"/>
      <c r="N72" s="17"/>
      <c r="O72" s="17"/>
      <c r="P72" s="17"/>
      <c r="Q72" s="17"/>
      <c r="R72" s="17"/>
      <c r="S72" s="17"/>
      <c r="T72" s="17"/>
      <c r="U72" s="17"/>
      <c r="V72" s="17"/>
      <c r="W72" s="17"/>
      <c r="X72" s="17"/>
      <c r="Y72" s="17"/>
      <c r="Z72" s="17"/>
    </row>
    <row r="73" ht="14.25" hidden="1"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78" t="s">
        <v>138</v>
      </c>
      <c r="D74" s="61"/>
      <c r="E74" s="21"/>
      <c r="F74" s="17"/>
      <c r="G74" s="17"/>
      <c r="H74" s="17"/>
      <c r="I74" s="17"/>
      <c r="J74" s="17"/>
      <c r="K74" s="17"/>
      <c r="L74" s="17"/>
      <c r="M74" s="17"/>
      <c r="N74" s="17"/>
      <c r="O74" s="17"/>
      <c r="P74" s="17"/>
      <c r="Q74" s="17"/>
      <c r="R74" s="17"/>
      <c r="S74" s="17"/>
      <c r="T74" s="17"/>
      <c r="U74" s="17"/>
      <c r="V74" s="17"/>
      <c r="W74" s="17"/>
      <c r="X74" s="17"/>
      <c r="Y74" s="17"/>
      <c r="Z74" s="17"/>
    </row>
    <row r="75" ht="126.0" customHeight="1">
      <c r="A75" s="17"/>
      <c r="B75" s="17"/>
      <c r="C75" s="60" t="s">
        <v>139</v>
      </c>
      <c r="D75" s="61"/>
      <c r="E75" s="21"/>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34">
    <mergeCell ref="C8:F8"/>
    <mergeCell ref="D12:F12"/>
    <mergeCell ref="D13:F13"/>
    <mergeCell ref="D14:F14"/>
    <mergeCell ref="D15:F15"/>
    <mergeCell ref="C19:D19"/>
    <mergeCell ref="C20:D20"/>
    <mergeCell ref="C21:D21"/>
    <mergeCell ref="C22:D22"/>
    <mergeCell ref="C23:D23"/>
    <mergeCell ref="C24:D24"/>
    <mergeCell ref="D26:F26"/>
    <mergeCell ref="C39:E39"/>
    <mergeCell ref="C41:F41"/>
    <mergeCell ref="C43:E43"/>
    <mergeCell ref="C44:E44"/>
    <mergeCell ref="C45:E45"/>
    <mergeCell ref="C47:F47"/>
    <mergeCell ref="C49:F49"/>
    <mergeCell ref="C50:F50"/>
    <mergeCell ref="C51:F51"/>
    <mergeCell ref="C64:D64"/>
    <mergeCell ref="C69:D69"/>
    <mergeCell ref="C71:E71"/>
    <mergeCell ref="C72:E72"/>
    <mergeCell ref="C74:E74"/>
    <mergeCell ref="C75:E75"/>
    <mergeCell ref="C52:F52"/>
    <mergeCell ref="C53:E53"/>
    <mergeCell ref="C54:D54"/>
    <mergeCell ref="C55:E55"/>
    <mergeCell ref="C56:E56"/>
    <mergeCell ref="C58:D58"/>
    <mergeCell ref="C61:D61"/>
  </mergeCells>
  <conditionalFormatting sqref="C50:F50 C52:F52 C75:E75 D26:F26 E20:F24 E54 F39 F43:F45">
    <cfRule type="cellIs" dxfId="2" priority="1" operator="equal">
      <formula>$B$5</formula>
    </cfRule>
  </conditionalFormatting>
  <dataValidations>
    <dataValidation type="list" allowBlank="1" showErrorMessage="1" sqref="F43:F45 E58 E61 E69:E70">
      <formula1>Mapping!$A$2:$A$4</formula1>
    </dataValidation>
    <dataValidation type="list" allowBlank="1" showErrorMessage="1" sqref="E54">
      <formula1>Mapping!$A$2</formula1>
    </dataValidation>
    <dataValidation type="list" allowBlank="1" showErrorMessage="1" sqref="E20:E24 F39">
      <formula1>Mapping!$A$2:$A$3</formula1>
    </dataValidation>
    <dataValidation type="list" allowBlank="1" showErrorMessage="1" sqref="O13">
      <formula1>"High,Medium,Low"</formula1>
    </dataValidation>
    <dataValidation type="list" allowBlank="1" showErrorMessage="1" sqref="E59 E62:E65">
      <formula1>Yes_No</formula1>
    </dataValidation>
  </dataValidations>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3" width="9.14"/>
    <col customWidth="1" min="4" max="4" width="91.43"/>
    <col customWidth="1" min="5" max="6" width="9.14"/>
    <col customWidth="1" min="7" max="7" width="20.14"/>
    <col customWidth="1" min="8" max="8" width="53.86"/>
    <col customWidth="1" min="9"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79" t="s">
        <v>140</v>
      </c>
      <c r="E7" s="61"/>
      <c r="F7" s="61"/>
      <c r="G7" s="61"/>
      <c r="H7" s="21"/>
      <c r="I7" s="17"/>
      <c r="J7" s="17"/>
      <c r="K7" s="17"/>
      <c r="L7" s="17"/>
      <c r="M7" s="17"/>
      <c r="N7" s="17"/>
      <c r="O7" s="17"/>
      <c r="P7" s="17"/>
      <c r="Q7" s="17"/>
      <c r="R7" s="17"/>
      <c r="S7" s="17"/>
      <c r="T7" s="17"/>
      <c r="U7" s="17"/>
      <c r="V7" s="17"/>
      <c r="W7" s="17"/>
      <c r="X7" s="17"/>
      <c r="Y7" s="17"/>
      <c r="Z7" s="17"/>
    </row>
    <row r="8" ht="33.0" customHeight="1">
      <c r="A8" s="17"/>
      <c r="B8" s="17"/>
      <c r="C8" s="17"/>
      <c r="D8" s="60" t="s">
        <v>141</v>
      </c>
      <c r="E8" s="61"/>
      <c r="F8" s="61"/>
      <c r="G8" s="61"/>
      <c r="H8" s="21"/>
      <c r="I8" s="17"/>
      <c r="J8" s="17"/>
      <c r="K8" s="17"/>
      <c r="L8" s="17"/>
      <c r="M8" s="17"/>
      <c r="N8" s="17"/>
      <c r="O8" s="17"/>
      <c r="P8" s="17"/>
      <c r="Q8" s="17"/>
      <c r="R8" s="17"/>
      <c r="S8" s="17"/>
      <c r="T8" s="17"/>
      <c r="U8" s="17"/>
      <c r="V8" s="17"/>
      <c r="W8" s="17"/>
      <c r="X8" s="17"/>
      <c r="Y8" s="17"/>
      <c r="Z8" s="17"/>
    </row>
    <row r="9" ht="36.0" customHeight="1">
      <c r="A9" s="17"/>
      <c r="B9" s="17"/>
      <c r="C9" s="17"/>
      <c r="D9" s="80" t="s">
        <v>142</v>
      </c>
      <c r="E9" s="81"/>
      <c r="F9" s="81"/>
      <c r="G9" s="81"/>
      <c r="H9" s="82"/>
      <c r="I9" s="17"/>
      <c r="J9" s="17"/>
      <c r="K9" s="17"/>
      <c r="L9" s="17"/>
      <c r="M9" s="17"/>
      <c r="N9" s="17"/>
      <c r="O9" s="17"/>
      <c r="P9" s="17"/>
      <c r="Q9" s="17"/>
      <c r="R9" s="17"/>
      <c r="S9" s="17"/>
      <c r="T9" s="17"/>
      <c r="U9" s="17"/>
      <c r="V9" s="17"/>
      <c r="W9" s="17"/>
      <c r="X9" s="17"/>
      <c r="Y9" s="17"/>
      <c r="Z9" s="17"/>
    </row>
    <row r="10" ht="15.0" customHeight="1">
      <c r="A10" s="17"/>
      <c r="B10" s="17"/>
      <c r="C10" s="17"/>
      <c r="D10" s="83" t="s">
        <v>143</v>
      </c>
      <c r="E10" s="17"/>
      <c r="F10" s="17"/>
      <c r="G10" s="17"/>
      <c r="H10" s="17"/>
      <c r="I10" s="17"/>
      <c r="J10" s="17"/>
      <c r="K10" s="17"/>
      <c r="L10" s="17"/>
      <c r="M10" s="17"/>
      <c r="N10" s="17"/>
      <c r="O10" s="17"/>
      <c r="P10" s="17"/>
      <c r="Q10" s="17"/>
      <c r="R10" s="17"/>
      <c r="S10" s="17"/>
      <c r="T10" s="17"/>
      <c r="U10" s="17"/>
      <c r="V10" s="17"/>
      <c r="W10" s="17"/>
      <c r="X10" s="17"/>
      <c r="Y10" s="17"/>
      <c r="Z10" s="17"/>
    </row>
    <row r="11" ht="15.0" customHeight="1">
      <c r="A11" s="17"/>
      <c r="B11" s="17"/>
      <c r="C11" s="17"/>
      <c r="D11" s="17" t="s">
        <v>144</v>
      </c>
      <c r="E11" s="17"/>
      <c r="F11" s="17"/>
      <c r="G11" s="17"/>
      <c r="H11" s="17"/>
      <c r="I11" s="17"/>
      <c r="J11" s="17"/>
      <c r="K11" s="17"/>
      <c r="L11" s="17"/>
      <c r="M11" s="17"/>
      <c r="N11" s="17"/>
      <c r="O11" s="17"/>
      <c r="P11" s="17"/>
      <c r="Q11" s="17"/>
      <c r="R11" s="17"/>
      <c r="S11" s="17"/>
      <c r="T11" s="17"/>
      <c r="U11" s="17"/>
      <c r="V11" s="17"/>
      <c r="W11" s="17"/>
      <c r="X11" s="17"/>
      <c r="Y11" s="17"/>
      <c r="Z11" s="17"/>
    </row>
    <row r="12" ht="24.75" customHeight="1">
      <c r="A12" s="17"/>
      <c r="B12" s="17"/>
      <c r="C12" s="17"/>
      <c r="D12" s="84" t="s">
        <v>145</v>
      </c>
      <c r="E12" s="85"/>
      <c r="F12" s="85"/>
      <c r="G12" s="85"/>
      <c r="H12" s="86"/>
      <c r="I12" s="87"/>
      <c r="J12" s="17"/>
      <c r="K12" s="17"/>
      <c r="L12" s="17"/>
      <c r="M12" s="17"/>
      <c r="N12" s="17"/>
      <c r="O12" s="17"/>
      <c r="P12" s="17"/>
      <c r="Q12" s="17"/>
      <c r="R12" s="17"/>
      <c r="S12" s="17"/>
      <c r="T12" s="17"/>
      <c r="U12" s="17"/>
      <c r="V12" s="17"/>
      <c r="W12" s="17"/>
      <c r="X12" s="17"/>
      <c r="Y12" s="17"/>
      <c r="Z12" s="17"/>
    </row>
    <row r="13" ht="15.0" customHeight="1">
      <c r="A13" s="17"/>
      <c r="B13" s="17"/>
      <c r="C13" s="17"/>
      <c r="D13" s="79" t="s">
        <v>146</v>
      </c>
      <c r="E13" s="61"/>
      <c r="F13" s="61"/>
      <c r="G13" s="61"/>
      <c r="H13" s="21"/>
      <c r="I13" s="17"/>
      <c r="J13" s="17"/>
      <c r="K13" s="17"/>
      <c r="L13" s="17"/>
      <c r="M13" s="17"/>
      <c r="N13" s="17"/>
      <c r="O13" s="17"/>
      <c r="P13" s="17"/>
      <c r="Q13" s="17"/>
      <c r="R13" s="17"/>
      <c r="S13" s="17"/>
      <c r="T13" s="17"/>
      <c r="U13" s="17"/>
      <c r="V13" s="17"/>
      <c r="W13" s="17"/>
      <c r="X13" s="17"/>
      <c r="Y13" s="17"/>
      <c r="Z13" s="17"/>
    </row>
    <row r="14" ht="49.5" customHeight="1">
      <c r="A14" s="88"/>
      <c r="B14" s="88"/>
      <c r="C14" s="88"/>
      <c r="D14" s="89" t="s">
        <v>147</v>
      </c>
      <c r="E14" s="61"/>
      <c r="F14" s="61"/>
      <c r="G14" s="61"/>
      <c r="H14" s="21"/>
      <c r="I14" s="88"/>
      <c r="J14" s="88"/>
      <c r="K14" s="88"/>
      <c r="L14" s="88"/>
      <c r="M14" s="88"/>
      <c r="N14" s="88"/>
      <c r="O14" s="88"/>
      <c r="P14" s="88"/>
      <c r="Q14" s="88"/>
      <c r="R14" s="88"/>
      <c r="S14" s="88"/>
      <c r="T14" s="88"/>
      <c r="U14" s="88"/>
      <c r="V14" s="88"/>
      <c r="W14" s="88"/>
      <c r="X14" s="88"/>
      <c r="Y14" s="88"/>
      <c r="Z14" s="88"/>
    </row>
    <row r="15" ht="15.0" customHeight="1">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row>
    <row r="16" ht="36.75" customHeight="1">
      <c r="A16" s="17"/>
      <c r="B16" s="17"/>
      <c r="C16" s="17"/>
      <c r="D16" s="90" t="s">
        <v>148</v>
      </c>
      <c r="E16" s="61"/>
      <c r="F16" s="61"/>
      <c r="G16" s="61"/>
      <c r="H16" s="21"/>
      <c r="I16" s="17"/>
      <c r="J16" s="17"/>
      <c r="K16" s="17"/>
      <c r="L16" s="17"/>
      <c r="M16" s="17"/>
      <c r="N16" s="17"/>
      <c r="O16" s="17"/>
      <c r="P16" s="17"/>
      <c r="Q16" s="17"/>
      <c r="R16" s="17"/>
      <c r="S16" s="17"/>
      <c r="T16" s="17"/>
      <c r="U16" s="17"/>
      <c r="V16" s="17"/>
      <c r="W16" s="17"/>
      <c r="X16" s="17"/>
      <c r="Y16" s="17"/>
      <c r="Z16" s="17"/>
    </row>
    <row r="17" ht="24.75" customHeight="1">
      <c r="A17" s="17"/>
      <c r="B17" s="17"/>
      <c r="C17" s="17"/>
      <c r="D17" s="60" t="s">
        <v>149</v>
      </c>
      <c r="E17" s="61"/>
      <c r="F17" s="61"/>
      <c r="G17" s="61"/>
      <c r="H17" s="21"/>
      <c r="I17" s="17"/>
      <c r="J17" s="17"/>
      <c r="K17" s="17"/>
      <c r="L17" s="17"/>
      <c r="M17" s="17"/>
      <c r="N17" s="17"/>
      <c r="O17" s="17"/>
      <c r="P17" s="17"/>
      <c r="Q17" s="17"/>
      <c r="R17" s="17"/>
      <c r="S17" s="17"/>
      <c r="T17" s="17"/>
      <c r="U17" s="17"/>
      <c r="V17" s="17"/>
      <c r="W17" s="17"/>
      <c r="X17" s="17"/>
      <c r="Y17" s="17"/>
      <c r="Z17" s="17"/>
    </row>
    <row r="18" ht="24.75" customHeight="1">
      <c r="A18" s="17"/>
      <c r="B18" s="17"/>
      <c r="C18" s="17"/>
      <c r="D18" s="60" t="s">
        <v>150</v>
      </c>
      <c r="E18" s="61"/>
      <c r="F18" s="61"/>
      <c r="G18" s="61"/>
      <c r="H18" s="21"/>
      <c r="I18" s="17"/>
      <c r="J18" s="17"/>
      <c r="K18" s="17"/>
      <c r="L18" s="17"/>
      <c r="M18" s="17"/>
      <c r="N18" s="17"/>
      <c r="O18" s="17"/>
      <c r="P18" s="17"/>
      <c r="Q18" s="17"/>
      <c r="R18" s="17"/>
      <c r="S18" s="17"/>
      <c r="T18" s="17"/>
      <c r="U18" s="17"/>
      <c r="V18" s="17"/>
      <c r="W18" s="17"/>
      <c r="X18" s="17"/>
      <c r="Y18" s="17"/>
      <c r="Z18" s="17"/>
    </row>
    <row r="19" ht="24.75" customHeight="1">
      <c r="A19" s="17"/>
      <c r="B19" s="17"/>
      <c r="C19" s="17"/>
      <c r="D19" s="60" t="s">
        <v>151</v>
      </c>
      <c r="E19" s="61"/>
      <c r="F19" s="61"/>
      <c r="G19" s="61"/>
      <c r="H19" s="21"/>
      <c r="I19" s="17"/>
      <c r="J19" s="17"/>
      <c r="K19" s="17"/>
      <c r="L19" s="17"/>
      <c r="M19" s="17"/>
      <c r="N19" s="17"/>
      <c r="O19" s="17"/>
      <c r="P19" s="17"/>
      <c r="Q19" s="17"/>
      <c r="R19" s="17"/>
      <c r="S19" s="17"/>
      <c r="T19" s="17"/>
      <c r="U19" s="17"/>
      <c r="V19" s="17"/>
      <c r="W19" s="17"/>
      <c r="X19" s="17"/>
      <c r="Y19" s="17"/>
      <c r="Z19" s="17"/>
    </row>
    <row r="20" ht="15.0" customHeight="1">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row>
    <row r="21" ht="15.0" customHeight="1">
      <c r="A21" s="17"/>
      <c r="B21" s="17"/>
      <c r="C21" s="17"/>
      <c r="D21" s="43" t="s">
        <v>152</v>
      </c>
      <c r="E21" s="17"/>
      <c r="F21" s="17"/>
      <c r="G21" s="17"/>
      <c r="H21" s="17"/>
      <c r="I21" s="17"/>
      <c r="J21" s="17"/>
      <c r="K21" s="17"/>
      <c r="L21" s="17"/>
      <c r="M21" s="17"/>
      <c r="N21" s="17"/>
      <c r="O21" s="17"/>
      <c r="P21" s="17"/>
      <c r="Q21" s="17"/>
      <c r="R21" s="17"/>
      <c r="S21" s="17"/>
      <c r="T21" s="17"/>
      <c r="U21" s="17"/>
      <c r="V21" s="17"/>
      <c r="W21" s="17"/>
      <c r="X21" s="17"/>
      <c r="Y21" s="17"/>
      <c r="Z21" s="17"/>
    </row>
    <row r="22" ht="21.75" customHeight="1">
      <c r="A22" s="17"/>
      <c r="B22" s="17"/>
      <c r="C22" s="17"/>
      <c r="D22" s="91" t="s">
        <v>153</v>
      </c>
      <c r="E22" s="91" t="s">
        <v>146</v>
      </c>
      <c r="F22" s="91" t="s">
        <v>154</v>
      </c>
      <c r="G22" s="91" t="s">
        <v>155</v>
      </c>
      <c r="H22" s="91" t="s">
        <v>156</v>
      </c>
      <c r="I22" s="17"/>
      <c r="J22" s="17"/>
      <c r="K22" s="17"/>
      <c r="L22" s="17"/>
      <c r="M22" s="17"/>
      <c r="N22" s="17"/>
      <c r="O22" s="17"/>
      <c r="P22" s="17"/>
      <c r="Q22" s="17"/>
      <c r="R22" s="17"/>
      <c r="S22" s="17"/>
      <c r="T22" s="17"/>
      <c r="U22" s="17"/>
      <c r="V22" s="17"/>
      <c r="W22" s="17"/>
      <c r="X22" s="17"/>
      <c r="Y22" s="17"/>
      <c r="Z22" s="17"/>
    </row>
    <row r="23" ht="39.75" customHeight="1">
      <c r="A23" s="17"/>
      <c r="B23" s="17"/>
      <c r="C23" s="17"/>
      <c r="D23" s="71" t="s">
        <v>157</v>
      </c>
      <c r="E23" s="68" t="s">
        <v>6</v>
      </c>
      <c r="F23" s="68" t="s">
        <v>6</v>
      </c>
      <c r="G23" s="68" t="str">
        <f t="shared" ref="G23:G26" si="1">IF(OR(E23="",F23=""),"",IF(AND(E23="Yes",F23="Yes"),"Yes",IF(AND(E23="No",F23="No"),"No","Error")))</f>
        <v>Yes</v>
      </c>
      <c r="H23" s="68" t="s">
        <v>11</v>
      </c>
      <c r="I23" s="17"/>
      <c r="J23" s="17"/>
      <c r="K23" s="17"/>
      <c r="L23" s="17"/>
      <c r="M23" s="17"/>
      <c r="N23" s="17"/>
      <c r="O23" s="17"/>
      <c r="P23" s="17"/>
      <c r="Q23" s="17"/>
      <c r="R23" s="17"/>
      <c r="S23" s="17"/>
      <c r="T23" s="17"/>
      <c r="U23" s="17"/>
      <c r="V23" s="17"/>
      <c r="W23" s="17"/>
      <c r="X23" s="17"/>
      <c r="Y23" s="17"/>
      <c r="Z23" s="17"/>
    </row>
    <row r="24" ht="39.75" customHeight="1">
      <c r="A24" s="17"/>
      <c r="B24" s="17"/>
      <c r="C24" s="17"/>
      <c r="D24" s="71" t="s">
        <v>158</v>
      </c>
      <c r="E24" s="68" t="s">
        <v>13</v>
      </c>
      <c r="F24" s="68" t="s">
        <v>13</v>
      </c>
      <c r="G24" s="68" t="str">
        <f t="shared" si="1"/>
        <v>No</v>
      </c>
      <c r="H24" s="68" t="s">
        <v>159</v>
      </c>
      <c r="I24" s="17"/>
      <c r="J24" s="17"/>
      <c r="K24" s="17"/>
      <c r="L24" s="17"/>
      <c r="M24" s="17"/>
      <c r="N24" s="17"/>
      <c r="O24" s="17"/>
      <c r="P24" s="17"/>
      <c r="Q24" s="17"/>
      <c r="R24" s="17"/>
      <c r="S24" s="17"/>
      <c r="T24" s="17"/>
      <c r="U24" s="17"/>
      <c r="V24" s="17"/>
      <c r="W24" s="17"/>
      <c r="X24" s="17"/>
      <c r="Y24" s="17"/>
      <c r="Z24" s="17"/>
    </row>
    <row r="25" ht="39.75" customHeight="1">
      <c r="A25" s="17"/>
      <c r="B25" s="17"/>
      <c r="C25" s="17"/>
      <c r="D25" s="71" t="s">
        <v>160</v>
      </c>
      <c r="E25" s="68" t="s">
        <v>13</v>
      </c>
      <c r="F25" s="68" t="s">
        <v>13</v>
      </c>
      <c r="G25" s="68" t="str">
        <f t="shared" si="1"/>
        <v>No</v>
      </c>
      <c r="H25" s="68" t="s">
        <v>159</v>
      </c>
      <c r="I25" s="17"/>
      <c r="J25" s="17"/>
      <c r="K25" s="17"/>
      <c r="L25" s="17"/>
      <c r="M25" s="17"/>
      <c r="N25" s="17"/>
      <c r="O25" s="17"/>
      <c r="P25" s="17"/>
      <c r="Q25" s="17"/>
      <c r="R25" s="17"/>
      <c r="S25" s="17"/>
      <c r="T25" s="17"/>
      <c r="U25" s="17"/>
      <c r="V25" s="17"/>
      <c r="W25" s="17"/>
      <c r="X25" s="17"/>
      <c r="Y25" s="17"/>
      <c r="Z25" s="17"/>
    </row>
    <row r="26" ht="39.75" customHeight="1">
      <c r="A26" s="17"/>
      <c r="B26" s="17"/>
      <c r="C26" s="17"/>
      <c r="D26" s="71" t="s">
        <v>161</v>
      </c>
      <c r="E26" s="68" t="s">
        <v>13</v>
      </c>
      <c r="F26" s="68" t="s">
        <v>13</v>
      </c>
      <c r="G26" s="68" t="str">
        <f t="shared" si="1"/>
        <v>No</v>
      </c>
      <c r="H26" s="68" t="s">
        <v>159</v>
      </c>
      <c r="I26" s="17"/>
      <c r="J26" s="17"/>
      <c r="K26" s="17"/>
      <c r="L26" s="17"/>
      <c r="M26" s="17"/>
      <c r="N26" s="17"/>
      <c r="O26" s="17"/>
      <c r="P26" s="17"/>
      <c r="Q26" s="17"/>
      <c r="R26" s="17"/>
      <c r="S26" s="17"/>
      <c r="T26" s="17"/>
      <c r="U26" s="17"/>
      <c r="V26" s="17"/>
      <c r="W26" s="17"/>
      <c r="X26" s="17"/>
      <c r="Y26" s="17"/>
      <c r="Z26" s="17"/>
    </row>
    <row r="27" ht="14.2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ht="14.25" customHeight="1">
      <c r="A28" s="17"/>
      <c r="B28" s="17"/>
      <c r="C28" s="17"/>
      <c r="D28" s="65" t="s">
        <v>128</v>
      </c>
      <c r="E28" s="61"/>
      <c r="F28" s="61"/>
      <c r="G28" s="61"/>
      <c r="H28" s="21"/>
      <c r="I28" s="17"/>
      <c r="J28" s="17"/>
      <c r="K28" s="17"/>
      <c r="L28" s="17"/>
      <c r="M28" s="17"/>
      <c r="N28" s="17"/>
      <c r="O28" s="17"/>
      <c r="P28" s="17"/>
      <c r="Q28" s="17"/>
      <c r="R28" s="17"/>
      <c r="S28" s="17"/>
      <c r="T28" s="17"/>
      <c r="U28" s="17"/>
      <c r="V28" s="17"/>
      <c r="W28" s="17"/>
      <c r="X28" s="17"/>
      <c r="Y28" s="17"/>
      <c r="Z28" s="17"/>
    </row>
    <row r="29" ht="85.5" customHeight="1">
      <c r="A29" s="17"/>
      <c r="B29" s="17"/>
      <c r="C29" s="17"/>
      <c r="D29" s="92" t="s">
        <v>162</v>
      </c>
      <c r="E29" s="61"/>
      <c r="F29" s="61"/>
      <c r="G29" s="61"/>
      <c r="H29" s="21"/>
      <c r="I29" s="17"/>
      <c r="J29" s="17"/>
      <c r="K29" s="17"/>
      <c r="L29" s="17"/>
      <c r="M29" s="17"/>
      <c r="N29" s="17"/>
      <c r="O29" s="17"/>
      <c r="P29" s="17"/>
      <c r="Q29" s="17"/>
      <c r="R29" s="17"/>
      <c r="S29" s="17"/>
      <c r="T29" s="17"/>
      <c r="U29" s="17"/>
      <c r="V29" s="17"/>
      <c r="W29" s="17"/>
      <c r="X29" s="17"/>
      <c r="Y29" s="17"/>
      <c r="Z29" s="17"/>
    </row>
    <row r="30" ht="14.25" customHeight="1">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ht="14.25" customHeight="1">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row>
    <row r="35" ht="14.25" customHeight="1">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ht="14.25" customHeight="1">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row>
    <row r="38" ht="14.2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12">
    <mergeCell ref="D17:H17"/>
    <mergeCell ref="D18:H18"/>
    <mergeCell ref="D19:H19"/>
    <mergeCell ref="D28:H28"/>
    <mergeCell ref="D29:H29"/>
    <mergeCell ref="D7:H7"/>
    <mergeCell ref="D8:H8"/>
    <mergeCell ref="D9:H9"/>
    <mergeCell ref="D12:H12"/>
    <mergeCell ref="D13:H13"/>
    <mergeCell ref="D14:H14"/>
    <mergeCell ref="D16:H16"/>
  </mergeCells>
  <conditionalFormatting sqref="G23:G26">
    <cfRule type="containsText" dxfId="3" priority="1" operator="containsText" text="Error">
      <formula>NOT(ISERROR(SEARCH(("Error"),(G23))))</formula>
    </cfRule>
  </conditionalFormatting>
  <conditionalFormatting sqref="D23:F26 D29:H29 H23:H26">
    <cfRule type="cellIs" dxfId="2" priority="2" operator="equal">
      <formula>$C$5</formula>
    </cfRule>
  </conditionalFormatting>
  <dataValidations>
    <dataValidation type="list" allowBlank="1" showErrorMessage="1" sqref="E23:G26">
      <formula1>Mapping!$A$2:$A$4</formula1>
    </dataValidation>
    <dataValidation type="list" allowBlank="1" showErrorMessage="1" sqref="O13">
      <formula1>"High,Medium,Low"</formula1>
    </dataValidation>
    <dataValidation type="list" allowBlank="1" showErrorMessage="1" sqref="H23:H26">
      <formula1>Mapping!$J$2:$J$7</formula1>
    </dataValidation>
  </dataValidation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9.14"/>
    <col customWidth="1" min="2" max="2" width="13.86"/>
    <col customWidth="1" min="3" max="3" width="5.43"/>
    <col customWidth="1" min="4" max="4" width="57.0"/>
    <col customWidth="1" min="5" max="5" width="25.86"/>
    <col customWidth="1" min="6" max="6" width="59.14"/>
    <col customWidth="1" min="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14.2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14.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14.2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24.7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24.75" customHeight="1">
      <c r="A6" s="17"/>
      <c r="B6" s="17"/>
      <c r="C6" s="17"/>
      <c r="D6" s="79" t="s">
        <v>163</v>
      </c>
      <c r="E6" s="61"/>
      <c r="F6" s="21"/>
      <c r="G6" s="17"/>
      <c r="H6" s="17"/>
      <c r="I6" s="17"/>
      <c r="J6" s="17"/>
      <c r="K6" s="17"/>
      <c r="L6" s="17"/>
      <c r="M6" s="17"/>
      <c r="N6" s="17"/>
      <c r="O6" s="17"/>
      <c r="P6" s="17"/>
      <c r="Q6" s="17"/>
      <c r="R6" s="17"/>
      <c r="S6" s="17"/>
      <c r="T6" s="17"/>
      <c r="U6" s="17"/>
      <c r="V6" s="17"/>
      <c r="W6" s="17"/>
      <c r="X6" s="17"/>
      <c r="Y6" s="17"/>
      <c r="Z6" s="17"/>
    </row>
    <row r="7" ht="49.5" customHeight="1">
      <c r="A7" s="17"/>
      <c r="B7" s="17"/>
      <c r="C7" s="17"/>
      <c r="D7" s="60" t="s">
        <v>164</v>
      </c>
      <c r="E7" s="61"/>
      <c r="F7" s="21"/>
      <c r="G7" s="17"/>
      <c r="H7" s="17"/>
      <c r="I7" s="17"/>
      <c r="J7" s="17"/>
      <c r="K7" s="17"/>
      <c r="L7" s="17"/>
      <c r="M7" s="17"/>
      <c r="N7" s="17"/>
      <c r="O7" s="17"/>
      <c r="P7" s="17"/>
      <c r="Q7" s="17"/>
      <c r="R7" s="17"/>
      <c r="S7" s="17"/>
      <c r="T7" s="17"/>
      <c r="U7" s="17"/>
      <c r="V7" s="17"/>
      <c r="W7" s="17"/>
      <c r="X7" s="17"/>
      <c r="Y7" s="17"/>
      <c r="Z7" s="17"/>
    </row>
    <row r="8" ht="49.5" customHeight="1">
      <c r="A8" s="17"/>
      <c r="B8" s="17"/>
      <c r="C8" s="17"/>
      <c r="D8" s="60" t="s">
        <v>165</v>
      </c>
      <c r="E8" s="61"/>
      <c r="F8" s="21"/>
      <c r="G8" s="17"/>
      <c r="H8" s="17"/>
      <c r="I8" s="17"/>
      <c r="J8" s="17"/>
      <c r="K8" s="17"/>
      <c r="L8" s="17"/>
      <c r="M8" s="17"/>
      <c r="N8" s="17"/>
      <c r="O8" s="17"/>
      <c r="P8" s="17"/>
      <c r="Q8" s="17"/>
      <c r="R8" s="17"/>
      <c r="S8" s="17"/>
      <c r="T8" s="17"/>
      <c r="U8" s="17"/>
      <c r="V8" s="17"/>
      <c r="W8" s="17"/>
      <c r="X8" s="17"/>
      <c r="Y8" s="17"/>
      <c r="Z8" s="17"/>
    </row>
    <row r="9" ht="13.5" customHeight="1">
      <c r="A9" s="17"/>
      <c r="B9" s="17"/>
      <c r="C9" s="17"/>
      <c r="D9" s="60" t="s">
        <v>166</v>
      </c>
      <c r="E9" s="61"/>
      <c r="F9" s="21"/>
      <c r="G9" s="17"/>
      <c r="H9" s="17"/>
      <c r="I9" s="17"/>
      <c r="J9" s="17"/>
      <c r="K9" s="17"/>
      <c r="L9" s="17"/>
      <c r="M9" s="17"/>
      <c r="N9" s="17"/>
      <c r="O9" s="17"/>
      <c r="P9" s="17"/>
      <c r="Q9" s="17"/>
      <c r="R9" s="17"/>
      <c r="S9" s="17"/>
      <c r="T9" s="17"/>
      <c r="U9" s="17"/>
      <c r="V9" s="17"/>
      <c r="W9" s="17"/>
      <c r="X9" s="17"/>
      <c r="Y9" s="17"/>
      <c r="Z9" s="17"/>
    </row>
    <row r="10" ht="24.75" customHeight="1">
      <c r="A10" s="17"/>
      <c r="B10" s="17"/>
      <c r="C10" s="93" t="s">
        <v>167</v>
      </c>
      <c r="D10" s="94" t="s">
        <v>168</v>
      </c>
      <c r="E10" s="95"/>
      <c r="F10" s="96"/>
      <c r="G10" s="17"/>
      <c r="H10" s="17"/>
      <c r="I10" s="17"/>
      <c r="J10" s="17"/>
      <c r="K10" s="17"/>
      <c r="L10" s="17"/>
      <c r="M10" s="17"/>
      <c r="N10" s="17"/>
      <c r="O10" s="17"/>
      <c r="P10" s="17"/>
      <c r="Q10" s="17"/>
      <c r="R10" s="17"/>
      <c r="S10" s="17"/>
      <c r="T10" s="17"/>
      <c r="U10" s="17"/>
      <c r="V10" s="17"/>
      <c r="W10" s="17"/>
      <c r="X10" s="17"/>
      <c r="Y10" s="17"/>
      <c r="Z10" s="17"/>
    </row>
    <row r="11" ht="24.75" customHeight="1">
      <c r="A11" s="17"/>
      <c r="B11" s="17"/>
      <c r="C11" s="97"/>
      <c r="D11" s="98" t="s">
        <v>169</v>
      </c>
      <c r="E11" s="73"/>
      <c r="F11" s="99"/>
      <c r="G11" s="17"/>
      <c r="H11" s="17"/>
      <c r="I11" s="17"/>
      <c r="J11" s="17"/>
      <c r="K11" s="17"/>
      <c r="L11" s="17"/>
      <c r="M11" s="17"/>
      <c r="N11" s="17"/>
      <c r="O11" s="17"/>
      <c r="P11" s="17"/>
      <c r="Q11" s="17"/>
      <c r="R11" s="17"/>
      <c r="S11" s="17"/>
      <c r="T11" s="17"/>
      <c r="U11" s="17"/>
      <c r="V11" s="17"/>
      <c r="W11" s="17"/>
      <c r="X11" s="17"/>
      <c r="Y11" s="17"/>
      <c r="Z11" s="17"/>
    </row>
    <row r="12" ht="24.75" customHeight="1">
      <c r="A12" s="17"/>
      <c r="B12" s="17"/>
      <c r="C12" s="93" t="s">
        <v>170</v>
      </c>
      <c r="D12" s="94" t="s">
        <v>171</v>
      </c>
      <c r="E12" s="95"/>
      <c r="F12" s="96"/>
      <c r="G12" s="17"/>
      <c r="H12" s="17"/>
      <c r="I12" s="17"/>
      <c r="J12" s="17"/>
      <c r="K12" s="17"/>
      <c r="L12" s="17"/>
      <c r="M12" s="17"/>
      <c r="N12" s="17"/>
      <c r="O12" s="17"/>
      <c r="P12" s="17"/>
      <c r="Q12" s="17"/>
      <c r="R12" s="17"/>
      <c r="S12" s="17"/>
      <c r="T12" s="17"/>
      <c r="U12" s="17"/>
      <c r="V12" s="17"/>
      <c r="W12" s="17"/>
      <c r="X12" s="17"/>
      <c r="Y12" s="17"/>
      <c r="Z12" s="17"/>
    </row>
    <row r="13" ht="24.75" customHeight="1">
      <c r="A13" s="17"/>
      <c r="B13" s="17"/>
      <c r="C13" s="97"/>
      <c r="D13" s="98" t="s">
        <v>172</v>
      </c>
      <c r="E13" s="73"/>
      <c r="F13" s="99"/>
      <c r="G13" s="17"/>
      <c r="H13" s="17"/>
      <c r="I13" s="17"/>
      <c r="J13" s="17"/>
      <c r="K13" s="17"/>
      <c r="L13" s="17"/>
      <c r="M13" s="17"/>
      <c r="N13" s="17"/>
      <c r="O13" s="17"/>
      <c r="P13" s="17"/>
      <c r="Q13" s="17"/>
      <c r="R13" s="17"/>
      <c r="S13" s="17"/>
      <c r="T13" s="17"/>
      <c r="U13" s="17"/>
      <c r="V13" s="17"/>
      <c r="W13" s="17"/>
      <c r="X13" s="17"/>
      <c r="Y13" s="17"/>
      <c r="Z13" s="17"/>
    </row>
    <row r="14" ht="24.75" customHeight="1">
      <c r="A14" s="17"/>
      <c r="B14" s="17"/>
      <c r="C14" s="93" t="s">
        <v>173</v>
      </c>
      <c r="D14" s="94" t="s">
        <v>174</v>
      </c>
      <c r="E14" s="95"/>
      <c r="F14" s="96"/>
      <c r="G14" s="17"/>
      <c r="H14" s="17"/>
      <c r="I14" s="17"/>
      <c r="J14" s="17"/>
      <c r="K14" s="17"/>
      <c r="L14" s="17"/>
      <c r="M14" s="17"/>
      <c r="N14" s="17"/>
      <c r="O14" s="17"/>
      <c r="P14" s="17"/>
      <c r="Q14" s="17"/>
      <c r="R14" s="17"/>
      <c r="S14" s="17"/>
      <c r="T14" s="17"/>
      <c r="U14" s="17"/>
      <c r="V14" s="17"/>
      <c r="W14" s="17"/>
      <c r="X14" s="17"/>
      <c r="Y14" s="17"/>
      <c r="Z14" s="17"/>
    </row>
    <row r="15" ht="24.75" customHeight="1">
      <c r="A15" s="17"/>
      <c r="B15" s="17"/>
      <c r="C15" s="97"/>
      <c r="D15" s="98" t="s">
        <v>175</v>
      </c>
      <c r="E15" s="73"/>
      <c r="F15" s="99"/>
      <c r="G15" s="17"/>
      <c r="H15" s="17"/>
      <c r="I15" s="17"/>
      <c r="J15" s="17"/>
      <c r="K15" s="17"/>
      <c r="L15" s="17"/>
      <c r="M15" s="17"/>
      <c r="N15" s="17"/>
      <c r="O15" s="17"/>
      <c r="P15" s="17"/>
      <c r="Q15" s="17"/>
      <c r="R15" s="17"/>
      <c r="S15" s="17"/>
      <c r="T15" s="17"/>
      <c r="U15" s="17"/>
      <c r="V15" s="17"/>
      <c r="W15" s="17"/>
      <c r="X15" s="17"/>
      <c r="Y15" s="17"/>
      <c r="Z15" s="17"/>
    </row>
    <row r="16" ht="24.75" customHeight="1">
      <c r="A16" s="17"/>
      <c r="B16" s="17"/>
      <c r="C16" s="93" t="s">
        <v>176</v>
      </c>
      <c r="D16" s="94" t="s">
        <v>177</v>
      </c>
      <c r="E16" s="95"/>
      <c r="F16" s="96"/>
      <c r="G16" s="17"/>
      <c r="H16" s="17"/>
      <c r="I16" s="17"/>
      <c r="J16" s="17"/>
      <c r="K16" s="17"/>
      <c r="L16" s="17"/>
      <c r="M16" s="17"/>
      <c r="N16" s="17"/>
      <c r="O16" s="17"/>
      <c r="P16" s="17"/>
      <c r="Q16" s="17"/>
      <c r="R16" s="17"/>
      <c r="S16" s="17"/>
      <c r="T16" s="17"/>
      <c r="U16" s="17"/>
      <c r="V16" s="17"/>
      <c r="W16" s="17"/>
      <c r="X16" s="17"/>
      <c r="Y16" s="17"/>
      <c r="Z16" s="17"/>
    </row>
    <row r="17" ht="24.75" customHeight="1">
      <c r="A17" s="17"/>
      <c r="B17" s="17"/>
      <c r="C17" s="97"/>
      <c r="D17" s="98" t="s">
        <v>178</v>
      </c>
      <c r="E17" s="73"/>
      <c r="F17" s="99"/>
      <c r="G17" s="17"/>
      <c r="H17" s="17"/>
      <c r="I17" s="17"/>
      <c r="J17" s="17"/>
      <c r="K17" s="17"/>
      <c r="L17" s="17"/>
      <c r="M17" s="17"/>
      <c r="N17" s="17"/>
      <c r="O17" s="17"/>
      <c r="P17" s="17"/>
      <c r="Q17" s="17"/>
      <c r="R17" s="17"/>
      <c r="S17" s="17"/>
      <c r="T17" s="17"/>
      <c r="U17" s="17"/>
      <c r="V17" s="17"/>
      <c r="W17" s="17"/>
      <c r="X17" s="17"/>
      <c r="Y17" s="17"/>
      <c r="Z17" s="17"/>
    </row>
    <row r="18" ht="14.25" customHeight="1">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ht="19.5" customHeight="1">
      <c r="A19" s="17"/>
      <c r="B19" s="17"/>
      <c r="C19" s="17"/>
      <c r="D19" s="100" t="s">
        <v>179</v>
      </c>
      <c r="E19" s="61"/>
      <c r="F19" s="21"/>
      <c r="G19" s="17"/>
      <c r="H19" s="17"/>
      <c r="I19" s="17"/>
      <c r="J19" s="17"/>
      <c r="K19" s="17"/>
      <c r="L19" s="17"/>
      <c r="M19" s="17"/>
      <c r="N19" s="17"/>
      <c r="O19" s="17"/>
      <c r="P19" s="17"/>
      <c r="Q19" s="17"/>
      <c r="R19" s="17"/>
      <c r="S19" s="17"/>
      <c r="T19" s="17"/>
      <c r="U19" s="17"/>
      <c r="V19" s="17"/>
      <c r="W19" s="17"/>
      <c r="X19" s="17"/>
      <c r="Y19" s="17"/>
      <c r="Z19" s="17"/>
    </row>
    <row r="20" ht="31.5" customHeight="1">
      <c r="A20" s="17"/>
      <c r="B20" s="17"/>
      <c r="C20" s="17"/>
      <c r="D20" s="92" t="s">
        <v>180</v>
      </c>
      <c r="E20" s="21"/>
      <c r="F20" s="101" t="s">
        <v>6</v>
      </c>
      <c r="G20" s="17"/>
      <c r="H20" s="17"/>
      <c r="I20" s="17"/>
      <c r="J20" s="17"/>
      <c r="K20" s="17"/>
      <c r="L20" s="17"/>
      <c r="M20" s="17"/>
      <c r="N20" s="17"/>
      <c r="O20" s="17"/>
      <c r="P20" s="17"/>
      <c r="Q20" s="17"/>
      <c r="R20" s="17"/>
      <c r="S20" s="17"/>
      <c r="T20" s="17"/>
      <c r="U20" s="17"/>
      <c r="V20" s="17"/>
      <c r="W20" s="17"/>
      <c r="X20" s="17"/>
      <c r="Y20" s="17"/>
      <c r="Z20" s="17"/>
    </row>
    <row r="21" ht="35.25" customHeight="1">
      <c r="A21" s="17"/>
      <c r="B21" s="17"/>
      <c r="C21" s="17"/>
      <c r="D21" s="60" t="s">
        <v>181</v>
      </c>
      <c r="E21" s="21"/>
      <c r="F21" s="101" t="s">
        <v>6</v>
      </c>
      <c r="G21" s="17"/>
      <c r="H21" s="17"/>
      <c r="I21" s="17"/>
      <c r="J21" s="17"/>
      <c r="K21" s="17"/>
      <c r="L21" s="17"/>
      <c r="M21" s="17"/>
      <c r="N21" s="17"/>
      <c r="O21" s="17"/>
      <c r="P21" s="17"/>
      <c r="Q21" s="17"/>
      <c r="R21" s="17"/>
      <c r="S21" s="17"/>
      <c r="T21" s="17"/>
      <c r="U21" s="17"/>
      <c r="V21" s="17"/>
      <c r="W21" s="17"/>
      <c r="X21" s="17"/>
      <c r="Y21" s="17"/>
      <c r="Z21" s="17"/>
    </row>
    <row r="22" ht="14.25" customHeight="1">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row>
    <row r="23" ht="24.0" customHeight="1">
      <c r="A23" s="17"/>
      <c r="B23" s="17"/>
      <c r="C23" s="17"/>
      <c r="D23" s="100" t="s">
        <v>182</v>
      </c>
      <c r="E23" s="61"/>
      <c r="F23" s="21"/>
      <c r="G23" s="17"/>
      <c r="H23" s="17"/>
      <c r="I23" s="17"/>
      <c r="J23" s="17"/>
      <c r="K23" s="17"/>
      <c r="L23" s="17"/>
      <c r="M23" s="17"/>
      <c r="N23" s="17"/>
      <c r="O23" s="17"/>
      <c r="P23" s="17"/>
      <c r="Q23" s="17"/>
      <c r="R23" s="17"/>
      <c r="S23" s="17"/>
      <c r="T23" s="17"/>
      <c r="U23" s="17"/>
      <c r="V23" s="17"/>
      <c r="W23" s="17"/>
      <c r="X23" s="17"/>
      <c r="Y23" s="17"/>
      <c r="Z23" s="17"/>
    </row>
    <row r="24" ht="24.75" customHeight="1">
      <c r="A24" s="17"/>
      <c r="B24" s="17"/>
      <c r="C24" s="17"/>
      <c r="D24" s="60" t="s">
        <v>183</v>
      </c>
      <c r="E24" s="68" t="str">
        <f t="shared" ref="E24:E32" si="1">IF(D24&lt;&gt;"","Refer Para no from Contract clauses","")</f>
        <v>Refer Para no from Contract clauses</v>
      </c>
      <c r="F24" s="102" t="s">
        <v>184</v>
      </c>
      <c r="G24" s="17"/>
      <c r="H24" s="17"/>
      <c r="I24" s="17"/>
      <c r="J24" s="17"/>
      <c r="K24" s="17"/>
      <c r="L24" s="17"/>
      <c r="M24" s="17"/>
      <c r="N24" s="17"/>
      <c r="O24" s="17"/>
      <c r="P24" s="17"/>
      <c r="Q24" s="17"/>
      <c r="R24" s="17"/>
      <c r="S24" s="17"/>
      <c r="T24" s="17"/>
      <c r="U24" s="17"/>
      <c r="V24" s="17"/>
      <c r="W24" s="17"/>
      <c r="X24" s="17"/>
      <c r="Y24" s="17"/>
      <c r="Z24" s="17"/>
    </row>
    <row r="25" ht="24.75" customHeight="1">
      <c r="A25" s="17"/>
      <c r="B25" s="17"/>
      <c r="C25" s="17"/>
      <c r="D25" s="60"/>
      <c r="E25" s="68" t="str">
        <f t="shared" si="1"/>
        <v/>
      </c>
      <c r="F25" s="102"/>
      <c r="G25" s="17"/>
      <c r="H25" s="17"/>
      <c r="I25" s="17"/>
      <c r="J25" s="17"/>
      <c r="K25" s="17"/>
      <c r="L25" s="17"/>
      <c r="M25" s="17"/>
      <c r="N25" s="17"/>
      <c r="O25" s="17"/>
      <c r="P25" s="17"/>
      <c r="Q25" s="17"/>
      <c r="R25" s="17"/>
      <c r="S25" s="17"/>
      <c r="T25" s="17"/>
      <c r="U25" s="17"/>
      <c r="V25" s="17"/>
      <c r="W25" s="17"/>
      <c r="X25" s="17"/>
      <c r="Y25" s="17"/>
      <c r="Z25" s="17"/>
    </row>
    <row r="26" ht="24.75" customHeight="1">
      <c r="A26" s="17"/>
      <c r="B26" s="17"/>
      <c r="C26" s="17"/>
      <c r="D26" s="60"/>
      <c r="E26" s="68" t="str">
        <f t="shared" si="1"/>
        <v/>
      </c>
      <c r="F26" s="102"/>
      <c r="G26" s="17"/>
      <c r="H26" s="17"/>
      <c r="I26" s="17"/>
      <c r="J26" s="17"/>
      <c r="K26" s="17"/>
      <c r="L26" s="17"/>
      <c r="M26" s="17"/>
      <c r="N26" s="17"/>
      <c r="O26" s="17"/>
      <c r="P26" s="17"/>
      <c r="Q26" s="17"/>
      <c r="R26" s="17"/>
      <c r="S26" s="17"/>
      <c r="T26" s="17"/>
      <c r="U26" s="17"/>
      <c r="V26" s="17"/>
      <c r="W26" s="17"/>
      <c r="X26" s="17"/>
      <c r="Y26" s="17"/>
      <c r="Z26" s="17"/>
    </row>
    <row r="27" ht="24.75" customHeight="1">
      <c r="A27" s="17"/>
      <c r="B27" s="17"/>
      <c r="C27" s="17"/>
      <c r="D27" s="60"/>
      <c r="E27" s="68" t="str">
        <f t="shared" si="1"/>
        <v/>
      </c>
      <c r="F27" s="102"/>
      <c r="G27" s="17"/>
      <c r="H27" s="17"/>
      <c r="I27" s="17"/>
      <c r="J27" s="17"/>
      <c r="K27" s="17"/>
      <c r="L27" s="17"/>
      <c r="M27" s="17"/>
      <c r="N27" s="17"/>
      <c r="O27" s="17"/>
      <c r="P27" s="17"/>
      <c r="Q27" s="17"/>
      <c r="R27" s="17"/>
      <c r="S27" s="17"/>
      <c r="T27" s="17"/>
      <c r="U27" s="17"/>
      <c r="V27" s="17"/>
      <c r="W27" s="17"/>
      <c r="X27" s="17"/>
      <c r="Y27" s="17"/>
      <c r="Z27" s="17"/>
    </row>
    <row r="28" ht="24.75" customHeight="1">
      <c r="A28" s="17"/>
      <c r="B28" s="17"/>
      <c r="C28" s="17"/>
      <c r="D28" s="60"/>
      <c r="E28" s="68" t="str">
        <f t="shared" si="1"/>
        <v/>
      </c>
      <c r="F28" s="102"/>
      <c r="G28" s="17"/>
      <c r="H28" s="17"/>
      <c r="I28" s="17"/>
      <c r="J28" s="17"/>
      <c r="K28" s="17"/>
      <c r="L28" s="17"/>
      <c r="M28" s="17"/>
      <c r="N28" s="17"/>
      <c r="O28" s="17"/>
      <c r="P28" s="17"/>
      <c r="Q28" s="17"/>
      <c r="R28" s="17"/>
      <c r="S28" s="17"/>
      <c r="T28" s="17"/>
      <c r="U28" s="17"/>
      <c r="V28" s="17"/>
      <c r="W28" s="17"/>
      <c r="X28" s="17"/>
      <c r="Y28" s="17"/>
      <c r="Z28" s="17"/>
    </row>
    <row r="29" ht="24.75" customHeight="1">
      <c r="A29" s="17"/>
      <c r="B29" s="17"/>
      <c r="C29" s="17"/>
      <c r="D29" s="60"/>
      <c r="E29" s="68" t="str">
        <f t="shared" si="1"/>
        <v/>
      </c>
      <c r="F29" s="102"/>
      <c r="G29" s="17"/>
      <c r="H29" s="17"/>
      <c r="I29" s="17"/>
      <c r="J29" s="17"/>
      <c r="K29" s="17"/>
      <c r="L29" s="17"/>
      <c r="M29" s="17"/>
      <c r="N29" s="17"/>
      <c r="O29" s="17"/>
      <c r="P29" s="17"/>
      <c r="Q29" s="17"/>
      <c r="R29" s="17"/>
      <c r="S29" s="17"/>
      <c r="T29" s="17"/>
      <c r="U29" s="17"/>
      <c r="V29" s="17"/>
      <c r="W29" s="17"/>
      <c r="X29" s="17"/>
      <c r="Y29" s="17"/>
      <c r="Z29" s="17"/>
    </row>
    <row r="30" ht="24.75" customHeight="1">
      <c r="A30" s="17"/>
      <c r="B30" s="17"/>
      <c r="C30" s="17"/>
      <c r="D30" s="60"/>
      <c r="E30" s="68" t="str">
        <f t="shared" si="1"/>
        <v/>
      </c>
      <c r="F30" s="102"/>
      <c r="G30" s="17"/>
      <c r="H30" s="17"/>
      <c r="I30" s="17"/>
      <c r="J30" s="17"/>
      <c r="K30" s="17"/>
      <c r="L30" s="17"/>
      <c r="M30" s="17"/>
      <c r="N30" s="17"/>
      <c r="O30" s="17"/>
      <c r="P30" s="17"/>
      <c r="Q30" s="17"/>
      <c r="R30" s="17"/>
      <c r="S30" s="17"/>
      <c r="T30" s="17"/>
      <c r="U30" s="17"/>
      <c r="V30" s="17"/>
      <c r="W30" s="17"/>
      <c r="X30" s="17"/>
      <c r="Y30" s="17"/>
      <c r="Z30" s="17"/>
    </row>
    <row r="31" ht="24.75" customHeight="1">
      <c r="A31" s="17"/>
      <c r="B31" s="17"/>
      <c r="C31" s="17"/>
      <c r="D31" s="60"/>
      <c r="E31" s="68" t="str">
        <f t="shared" si="1"/>
        <v/>
      </c>
      <c r="F31" s="102"/>
      <c r="G31" s="17"/>
      <c r="H31" s="17"/>
      <c r="I31" s="17"/>
      <c r="J31" s="17"/>
      <c r="K31" s="17"/>
      <c r="L31" s="17"/>
      <c r="M31" s="17"/>
      <c r="N31" s="17"/>
      <c r="O31" s="17"/>
      <c r="P31" s="17"/>
      <c r="Q31" s="17"/>
      <c r="R31" s="17"/>
      <c r="S31" s="17"/>
      <c r="T31" s="17"/>
      <c r="U31" s="17"/>
      <c r="V31" s="17"/>
      <c r="W31" s="17"/>
      <c r="X31" s="17"/>
      <c r="Y31" s="17"/>
      <c r="Z31" s="17"/>
    </row>
    <row r="32" ht="24.75" customHeight="1">
      <c r="A32" s="17"/>
      <c r="B32" s="17"/>
      <c r="C32" s="17"/>
      <c r="D32" s="60"/>
      <c r="E32" s="68" t="str">
        <f t="shared" si="1"/>
        <v/>
      </c>
      <c r="F32" s="102"/>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ht="24.75" customHeight="1">
      <c r="A34" s="17"/>
      <c r="B34" s="17"/>
      <c r="C34" s="17"/>
      <c r="D34" s="92" t="s">
        <v>185</v>
      </c>
      <c r="E34" s="21"/>
      <c r="F34" s="102" t="s">
        <v>6</v>
      </c>
      <c r="G34" s="17"/>
      <c r="H34" s="17"/>
      <c r="I34" s="17"/>
      <c r="J34" s="17"/>
      <c r="K34" s="17"/>
      <c r="L34" s="17"/>
      <c r="M34" s="17"/>
      <c r="N34" s="17"/>
      <c r="O34" s="17"/>
      <c r="P34" s="17"/>
      <c r="Q34" s="17"/>
      <c r="R34" s="17"/>
      <c r="S34" s="17"/>
      <c r="T34" s="17"/>
      <c r="U34" s="17"/>
      <c r="V34" s="17"/>
      <c r="W34" s="17"/>
      <c r="X34" s="17"/>
      <c r="Y34" s="17"/>
      <c r="Z34" s="17"/>
    </row>
    <row r="35" ht="24.75" customHeight="1">
      <c r="A35" s="17"/>
      <c r="B35" s="17"/>
      <c r="C35" s="17"/>
      <c r="D35" s="92" t="s">
        <v>186</v>
      </c>
      <c r="E35" s="21"/>
      <c r="F35" s="102" t="s">
        <v>13</v>
      </c>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ht="31.5" customHeight="1">
      <c r="A37" s="17"/>
      <c r="B37" s="17"/>
      <c r="C37" s="17"/>
      <c r="D37" s="103" t="s">
        <v>187</v>
      </c>
      <c r="E37" s="61"/>
      <c r="F37" s="21"/>
      <c r="G37" s="17"/>
      <c r="H37" s="17"/>
      <c r="I37" s="17"/>
      <c r="J37" s="17"/>
      <c r="K37" s="17"/>
      <c r="L37" s="17"/>
      <c r="M37" s="17"/>
      <c r="N37" s="17"/>
      <c r="O37" s="17"/>
      <c r="P37" s="17"/>
      <c r="Q37" s="17"/>
      <c r="R37" s="17"/>
      <c r="S37" s="17"/>
      <c r="T37" s="17"/>
      <c r="U37" s="17"/>
      <c r="V37" s="17"/>
      <c r="W37" s="17"/>
      <c r="X37" s="17"/>
      <c r="Y37" s="17"/>
      <c r="Z37" s="17"/>
    </row>
    <row r="38" ht="83.25" customHeight="1">
      <c r="A38" s="17"/>
      <c r="B38" s="17"/>
      <c r="C38" s="17"/>
      <c r="D38" s="104" t="s">
        <v>188</v>
      </c>
      <c r="E38" s="61"/>
      <c r="F38" s="21"/>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17"/>
      <c r="D39" s="105"/>
      <c r="E39" s="17"/>
      <c r="F39" s="17"/>
      <c r="G39" s="17"/>
      <c r="H39" s="17"/>
      <c r="I39" s="17"/>
      <c r="J39" s="17"/>
      <c r="K39" s="17"/>
      <c r="L39" s="17"/>
      <c r="M39" s="17"/>
      <c r="N39" s="17"/>
      <c r="O39" s="17"/>
      <c r="P39" s="17"/>
      <c r="Q39" s="17"/>
      <c r="R39" s="17"/>
      <c r="S39" s="17"/>
      <c r="T39" s="17"/>
      <c r="U39" s="17"/>
      <c r="V39" s="17"/>
      <c r="W39" s="17"/>
      <c r="X39" s="17"/>
      <c r="Y39" s="17"/>
      <c r="Z39" s="17"/>
    </row>
    <row r="40" ht="24.0" customHeight="1">
      <c r="A40" s="17"/>
      <c r="B40" s="17"/>
      <c r="C40" s="17"/>
      <c r="D40" s="103" t="s">
        <v>189</v>
      </c>
      <c r="E40" s="61"/>
      <c r="F40" s="21"/>
      <c r="G40" s="17"/>
      <c r="H40" s="17"/>
      <c r="I40" s="17"/>
      <c r="J40" s="17"/>
      <c r="K40" s="17"/>
      <c r="L40" s="17"/>
      <c r="M40" s="17"/>
      <c r="N40" s="17"/>
      <c r="O40" s="17"/>
      <c r="P40" s="17"/>
      <c r="Q40" s="17"/>
      <c r="R40" s="17"/>
      <c r="S40" s="17"/>
      <c r="T40" s="17"/>
      <c r="U40" s="17"/>
      <c r="V40" s="17"/>
      <c r="W40" s="17"/>
      <c r="X40" s="17"/>
      <c r="Y40" s="17"/>
      <c r="Z40" s="17"/>
    </row>
    <row r="41" ht="22.5" customHeight="1">
      <c r="A41" s="17"/>
      <c r="B41" s="17"/>
      <c r="C41" s="17"/>
      <c r="D41" s="64" t="s">
        <v>190</v>
      </c>
      <c r="E41" s="106" t="s">
        <v>191</v>
      </c>
      <c r="F41" s="107" t="s">
        <v>192</v>
      </c>
      <c r="G41" s="17"/>
      <c r="H41" s="17"/>
      <c r="I41" s="17"/>
      <c r="J41" s="17"/>
      <c r="K41" s="17"/>
      <c r="L41" s="17"/>
      <c r="M41" s="17"/>
      <c r="N41" s="17"/>
      <c r="O41" s="17"/>
      <c r="P41" s="17"/>
      <c r="Q41" s="17"/>
      <c r="R41" s="17"/>
      <c r="S41" s="17"/>
      <c r="T41" s="17"/>
      <c r="U41" s="17"/>
      <c r="V41" s="17"/>
      <c r="W41" s="17"/>
      <c r="X41" s="17"/>
      <c r="Y41" s="17"/>
      <c r="Z41" s="17"/>
    </row>
    <row r="42" ht="24.75" customHeight="1">
      <c r="A42" s="17"/>
      <c r="B42" s="17"/>
      <c r="C42" s="17"/>
      <c r="D42" s="60" t="str">
        <f t="shared" ref="D42:D50" si="2">D24</f>
        <v>Service Credit</v>
      </c>
      <c r="E42" s="68" t="s">
        <v>21</v>
      </c>
      <c r="F42" s="102" t="s">
        <v>193</v>
      </c>
      <c r="G42" s="17"/>
      <c r="H42" s="17"/>
      <c r="I42" s="17"/>
      <c r="J42" s="17"/>
      <c r="K42" s="17"/>
      <c r="L42" s="17"/>
      <c r="M42" s="17"/>
      <c r="N42" s="17"/>
      <c r="O42" s="17"/>
      <c r="P42" s="17"/>
      <c r="Q42" s="17"/>
      <c r="R42" s="17"/>
      <c r="S42" s="17"/>
      <c r="T42" s="17"/>
      <c r="U42" s="17"/>
      <c r="V42" s="17"/>
      <c r="W42" s="17"/>
      <c r="X42" s="17"/>
      <c r="Y42" s="17"/>
      <c r="Z42" s="17"/>
    </row>
    <row r="43" ht="24.75" customHeight="1">
      <c r="A43" s="17"/>
      <c r="B43" s="17"/>
      <c r="C43" s="17"/>
      <c r="D43" s="60" t="str">
        <f t="shared" si="2"/>
        <v/>
      </c>
      <c r="E43" s="68"/>
      <c r="F43" s="102"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
      </c>
      <c r="G43" s="17"/>
      <c r="H43" s="17"/>
      <c r="I43" s="17"/>
      <c r="J43" s="17"/>
      <c r="K43" s="17"/>
      <c r="L43" s="17"/>
      <c r="M43" s="17"/>
      <c r="N43" s="17"/>
      <c r="O43" s="17"/>
      <c r="P43" s="17"/>
      <c r="Q43" s="17"/>
      <c r="R43" s="17"/>
      <c r="S43" s="17"/>
      <c r="T43" s="17"/>
      <c r="U43" s="17"/>
      <c r="V43" s="17"/>
      <c r="W43" s="17"/>
      <c r="X43" s="17"/>
      <c r="Y43" s="17"/>
      <c r="Z43" s="17"/>
    </row>
    <row r="44" ht="24.75" customHeight="1">
      <c r="A44" s="17"/>
      <c r="B44" s="17"/>
      <c r="C44" s="17"/>
      <c r="D44" s="60" t="str">
        <f t="shared" si="2"/>
        <v/>
      </c>
      <c r="E44" s="68"/>
      <c r="F44" s="102" t="str">
        <f t="shared" si="3"/>
        <v/>
      </c>
      <c r="G44" s="17"/>
      <c r="H44" s="17"/>
      <c r="I44" s="17"/>
      <c r="J44" s="17"/>
      <c r="K44" s="17"/>
      <c r="L44" s="17"/>
      <c r="M44" s="17"/>
      <c r="N44" s="17"/>
      <c r="O44" s="17"/>
      <c r="P44" s="17"/>
      <c r="Q44" s="17"/>
      <c r="R44" s="17"/>
      <c r="S44" s="17"/>
      <c r="T44" s="17"/>
      <c r="U44" s="17"/>
      <c r="V44" s="17"/>
      <c r="W44" s="17"/>
      <c r="X44" s="17"/>
      <c r="Y44" s="17"/>
      <c r="Z44" s="17"/>
    </row>
    <row r="45" ht="24.0" customHeight="1">
      <c r="A45" s="17"/>
      <c r="B45" s="17"/>
      <c r="C45" s="17"/>
      <c r="D45" s="60" t="str">
        <f t="shared" si="2"/>
        <v/>
      </c>
      <c r="E45" s="68"/>
      <c r="F45" s="102" t="str">
        <f t="shared" si="3"/>
        <v/>
      </c>
      <c r="G45" s="17"/>
      <c r="H45" s="17"/>
      <c r="I45" s="17"/>
      <c r="J45" s="17"/>
      <c r="K45" s="17"/>
      <c r="L45" s="17"/>
      <c r="M45" s="17"/>
      <c r="N45" s="17"/>
      <c r="O45" s="17"/>
      <c r="P45" s="17"/>
      <c r="Q45" s="17"/>
      <c r="R45" s="17"/>
      <c r="S45" s="17"/>
      <c r="T45" s="17"/>
      <c r="U45" s="17"/>
      <c r="V45" s="17"/>
      <c r="W45" s="17"/>
      <c r="X45" s="17"/>
      <c r="Y45" s="17"/>
      <c r="Z45" s="17"/>
    </row>
    <row r="46" ht="24.0" customHeight="1">
      <c r="A46" s="17"/>
      <c r="B46" s="17"/>
      <c r="C46" s="17"/>
      <c r="D46" s="60" t="str">
        <f t="shared" si="2"/>
        <v/>
      </c>
      <c r="E46" s="68"/>
      <c r="F46" s="102" t="str">
        <f t="shared" si="3"/>
        <v/>
      </c>
      <c r="G46" s="17"/>
      <c r="H46" s="17"/>
      <c r="I46" s="17"/>
      <c r="J46" s="17"/>
      <c r="K46" s="17"/>
      <c r="L46" s="17"/>
      <c r="M46" s="17"/>
      <c r="N46" s="17"/>
      <c r="O46" s="17"/>
      <c r="P46" s="17"/>
      <c r="Q46" s="17"/>
      <c r="R46" s="17"/>
      <c r="S46" s="17"/>
      <c r="T46" s="17"/>
      <c r="U46" s="17"/>
      <c r="V46" s="17"/>
      <c r="W46" s="17"/>
      <c r="X46" s="17"/>
      <c r="Y46" s="17"/>
      <c r="Z46" s="17"/>
    </row>
    <row r="47" ht="24.0" customHeight="1">
      <c r="A47" s="17"/>
      <c r="B47" s="17"/>
      <c r="C47" s="17"/>
      <c r="D47" s="60" t="str">
        <f t="shared" si="2"/>
        <v/>
      </c>
      <c r="E47" s="68"/>
      <c r="F47" s="102" t="str">
        <f t="shared" si="3"/>
        <v/>
      </c>
      <c r="G47" s="17"/>
      <c r="H47" s="17"/>
      <c r="I47" s="17"/>
      <c r="J47" s="17"/>
      <c r="K47" s="17"/>
      <c r="L47" s="17"/>
      <c r="M47" s="17"/>
      <c r="N47" s="17"/>
      <c r="O47" s="17"/>
      <c r="P47" s="17"/>
      <c r="Q47" s="17"/>
      <c r="R47" s="17"/>
      <c r="S47" s="17"/>
      <c r="T47" s="17"/>
      <c r="U47" s="17"/>
      <c r="V47" s="17"/>
      <c r="W47" s="17"/>
      <c r="X47" s="17"/>
      <c r="Y47" s="17"/>
      <c r="Z47" s="17"/>
    </row>
    <row r="48" ht="24.0" customHeight="1">
      <c r="A48" s="17"/>
      <c r="B48" s="17"/>
      <c r="C48" s="17"/>
      <c r="D48" s="60" t="str">
        <f t="shared" si="2"/>
        <v/>
      </c>
      <c r="E48" s="68"/>
      <c r="F48" s="102" t="str">
        <f t="shared" si="3"/>
        <v/>
      </c>
      <c r="G48" s="17"/>
      <c r="H48" s="17"/>
      <c r="I48" s="17"/>
      <c r="J48" s="17"/>
      <c r="K48" s="17"/>
      <c r="L48" s="17"/>
      <c r="M48" s="17"/>
      <c r="N48" s="17"/>
      <c r="O48" s="17"/>
      <c r="P48" s="17"/>
      <c r="Q48" s="17"/>
      <c r="R48" s="17"/>
      <c r="S48" s="17"/>
      <c r="T48" s="17"/>
      <c r="U48" s="17"/>
      <c r="V48" s="17"/>
      <c r="W48" s="17"/>
      <c r="X48" s="17"/>
      <c r="Y48" s="17"/>
      <c r="Z48" s="17"/>
    </row>
    <row r="49" ht="24.0" customHeight="1">
      <c r="A49" s="17"/>
      <c r="B49" s="17"/>
      <c r="C49" s="17"/>
      <c r="D49" s="60" t="str">
        <f t="shared" si="2"/>
        <v/>
      </c>
      <c r="E49" s="68"/>
      <c r="F49" s="102" t="str">
        <f t="shared" si="3"/>
        <v/>
      </c>
      <c r="G49" s="17"/>
      <c r="H49" s="17"/>
      <c r="I49" s="17"/>
      <c r="J49" s="17"/>
      <c r="K49" s="17"/>
      <c r="L49" s="17"/>
      <c r="M49" s="17"/>
      <c r="N49" s="17"/>
      <c r="O49" s="17"/>
      <c r="P49" s="17"/>
      <c r="Q49" s="17"/>
      <c r="R49" s="17"/>
      <c r="S49" s="17"/>
      <c r="T49" s="17"/>
      <c r="U49" s="17"/>
      <c r="V49" s="17"/>
      <c r="W49" s="17"/>
      <c r="X49" s="17"/>
      <c r="Y49" s="17"/>
      <c r="Z49" s="17"/>
    </row>
    <row r="50" ht="24.0" customHeight="1">
      <c r="A50" s="17"/>
      <c r="B50" s="17"/>
      <c r="C50" s="17"/>
      <c r="D50" s="60" t="str">
        <f t="shared" si="2"/>
        <v/>
      </c>
      <c r="E50" s="68"/>
      <c r="F50" s="102" t="str">
        <f t="shared" si="3"/>
        <v/>
      </c>
      <c r="G50" s="17"/>
      <c r="H50" s="17"/>
      <c r="I50" s="17"/>
      <c r="J50" s="17"/>
      <c r="K50" s="17"/>
      <c r="L50" s="17"/>
      <c r="M50" s="17"/>
      <c r="N50" s="17"/>
      <c r="O50" s="17"/>
      <c r="P50" s="17"/>
      <c r="Q50" s="17"/>
      <c r="R50" s="17"/>
      <c r="S50" s="17"/>
      <c r="T50" s="17"/>
      <c r="U50" s="17"/>
      <c r="V50" s="17"/>
      <c r="W50" s="17"/>
      <c r="X50" s="17"/>
      <c r="Y50" s="17"/>
      <c r="Z50" s="17"/>
    </row>
    <row r="51" ht="24.7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24.75" customHeight="1">
      <c r="A52" s="17"/>
      <c r="B52" s="17"/>
      <c r="C52" s="17"/>
      <c r="D52" s="103" t="s">
        <v>194</v>
      </c>
      <c r="E52" s="61"/>
      <c r="F52" s="21"/>
      <c r="G52" s="17"/>
      <c r="H52" s="17"/>
      <c r="I52" s="17"/>
      <c r="J52" s="17"/>
      <c r="K52" s="17"/>
      <c r="L52" s="17"/>
      <c r="M52" s="17"/>
      <c r="N52" s="17"/>
      <c r="O52" s="17"/>
      <c r="P52" s="17"/>
      <c r="Q52" s="17"/>
      <c r="R52" s="17"/>
      <c r="S52" s="17"/>
      <c r="T52" s="17"/>
      <c r="U52" s="17"/>
      <c r="V52" s="17"/>
      <c r="W52" s="17"/>
      <c r="X52" s="17"/>
      <c r="Y52" s="17"/>
      <c r="Z52" s="17"/>
    </row>
    <row r="53" ht="45.0" customHeight="1">
      <c r="A53" s="17"/>
      <c r="B53" s="17"/>
      <c r="C53" s="17"/>
      <c r="D53" s="104" t="s">
        <v>195</v>
      </c>
      <c r="E53" s="61"/>
      <c r="F53" s="21"/>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00" t="s">
        <v>196</v>
      </c>
      <c r="E54" s="61"/>
      <c r="F54" s="21"/>
      <c r="G54" s="17"/>
      <c r="H54" s="17"/>
      <c r="I54" s="17"/>
      <c r="J54" s="17"/>
      <c r="K54" s="17"/>
      <c r="L54" s="17"/>
      <c r="M54" s="17"/>
      <c r="N54" s="17"/>
      <c r="O54" s="17"/>
      <c r="P54" s="17"/>
      <c r="Q54" s="17"/>
      <c r="R54" s="17"/>
      <c r="S54" s="17"/>
      <c r="T54" s="17"/>
      <c r="U54" s="17"/>
      <c r="V54" s="17"/>
      <c r="W54" s="17"/>
      <c r="X54" s="17"/>
      <c r="Y54" s="17"/>
      <c r="Z54" s="17"/>
    </row>
    <row r="55" ht="30.0" customHeight="1">
      <c r="A55" s="17"/>
      <c r="B55" s="17"/>
      <c r="C55" s="17"/>
      <c r="D55" s="92" t="s">
        <v>197</v>
      </c>
      <c r="E55" s="21"/>
      <c r="F55" s="102" t="s">
        <v>13</v>
      </c>
      <c r="G55" s="17"/>
      <c r="H55" s="17"/>
      <c r="I55" s="17"/>
      <c r="J55" s="17"/>
      <c r="K55" s="17"/>
      <c r="L55" s="17"/>
      <c r="M55" s="17"/>
      <c r="N55" s="17"/>
      <c r="O55" s="17"/>
      <c r="P55" s="17"/>
      <c r="Q55" s="17"/>
      <c r="R55" s="17"/>
      <c r="S55" s="17"/>
      <c r="T55" s="17"/>
      <c r="U55" s="17"/>
      <c r="V55" s="17"/>
      <c r="W55" s="17"/>
      <c r="X55" s="17"/>
      <c r="Y55" s="17"/>
      <c r="Z55" s="17"/>
    </row>
    <row r="56" ht="30.0" customHeight="1">
      <c r="A56" s="17"/>
      <c r="B56" s="17"/>
      <c r="C56" s="17"/>
      <c r="D56" s="92" t="s">
        <v>198</v>
      </c>
      <c r="E56" s="21"/>
      <c r="F56" s="102" t="s">
        <v>13</v>
      </c>
      <c r="G56" s="17"/>
      <c r="H56" s="17"/>
      <c r="I56" s="17"/>
      <c r="J56" s="17"/>
      <c r="K56" s="17"/>
      <c r="L56" s="17"/>
      <c r="M56" s="17"/>
      <c r="N56" s="17"/>
      <c r="O56" s="17"/>
      <c r="P56" s="17"/>
      <c r="Q56" s="17"/>
      <c r="R56" s="17"/>
      <c r="S56" s="17"/>
      <c r="T56" s="17"/>
      <c r="U56" s="17"/>
      <c r="V56" s="17"/>
      <c r="W56" s="17"/>
      <c r="X56" s="17"/>
      <c r="Y56" s="17"/>
      <c r="Z56" s="17"/>
    </row>
    <row r="57" ht="30.0" customHeight="1">
      <c r="A57" s="17"/>
      <c r="B57" s="17"/>
      <c r="C57" s="17"/>
      <c r="D57" s="92" t="s">
        <v>199</v>
      </c>
      <c r="E57" s="21"/>
      <c r="F57" s="102" t="s">
        <v>13</v>
      </c>
      <c r="G57" s="17"/>
      <c r="H57" s="17"/>
      <c r="I57" s="17"/>
      <c r="J57" s="17"/>
      <c r="K57" s="17"/>
      <c r="L57" s="17"/>
      <c r="M57" s="17"/>
      <c r="N57" s="17"/>
      <c r="O57" s="17"/>
      <c r="P57" s="17"/>
      <c r="Q57" s="17"/>
      <c r="R57" s="17"/>
      <c r="S57" s="17"/>
      <c r="T57" s="17"/>
      <c r="U57" s="17"/>
      <c r="V57" s="17"/>
      <c r="W57" s="17"/>
      <c r="X57" s="17"/>
      <c r="Y57" s="17"/>
      <c r="Z57" s="17"/>
    </row>
    <row r="58" ht="30.0" customHeight="1">
      <c r="A58" s="17"/>
      <c r="B58" s="17"/>
      <c r="C58" s="17"/>
      <c r="D58" s="92" t="s">
        <v>200</v>
      </c>
      <c r="E58" s="21"/>
      <c r="F58" s="102" t="s">
        <v>13</v>
      </c>
      <c r="G58" s="17"/>
      <c r="H58" s="17"/>
      <c r="I58" s="17"/>
      <c r="J58" s="17"/>
      <c r="K58" s="17"/>
      <c r="L58" s="17"/>
      <c r="M58" s="17"/>
      <c r="N58" s="17"/>
      <c r="O58" s="17"/>
      <c r="P58" s="17"/>
      <c r="Q58" s="17"/>
      <c r="R58" s="17"/>
      <c r="S58" s="17"/>
      <c r="T58" s="17"/>
      <c r="U58" s="17"/>
      <c r="V58" s="17"/>
      <c r="W58" s="17"/>
      <c r="X58" s="17"/>
      <c r="Y58" s="17"/>
      <c r="Z58" s="17"/>
    </row>
    <row r="59" ht="30.0" customHeight="1">
      <c r="A59" s="17"/>
      <c r="B59" s="17"/>
      <c r="C59" s="17"/>
      <c r="D59" s="92" t="s">
        <v>201</v>
      </c>
      <c r="E59" s="21"/>
      <c r="F59" s="102" t="s">
        <v>13</v>
      </c>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30.75" hidden="1" customHeight="1">
      <c r="A61" s="17"/>
      <c r="B61" s="17"/>
      <c r="C61" s="17"/>
      <c r="D61" s="108" t="s">
        <v>202</v>
      </c>
      <c r="E61" s="61"/>
      <c r="F61" s="21"/>
      <c r="G61" s="17"/>
      <c r="H61" s="17"/>
      <c r="I61" s="17"/>
      <c r="J61" s="17"/>
      <c r="K61" s="17"/>
      <c r="L61" s="17"/>
      <c r="M61" s="17"/>
      <c r="N61" s="17"/>
      <c r="O61" s="17"/>
      <c r="P61" s="17"/>
      <c r="Q61" s="17"/>
      <c r="R61" s="17"/>
      <c r="S61" s="17"/>
      <c r="T61" s="17"/>
      <c r="U61" s="17"/>
      <c r="V61" s="17"/>
      <c r="W61" s="17"/>
      <c r="X61" s="17"/>
      <c r="Y61" s="17"/>
      <c r="Z61" s="17"/>
    </row>
    <row r="62" ht="67.5" hidden="1" customHeight="1">
      <c r="A62" s="17"/>
      <c r="B62" s="17"/>
      <c r="C62" s="17"/>
      <c r="D62" s="109"/>
      <c r="E62" s="61"/>
      <c r="F62" s="21"/>
      <c r="G62" s="17"/>
      <c r="H62" s="17"/>
      <c r="I62" s="17"/>
      <c r="J62" s="17"/>
      <c r="K62" s="17"/>
      <c r="L62" s="17"/>
      <c r="M62" s="17"/>
      <c r="N62" s="17"/>
      <c r="O62" s="17"/>
      <c r="P62" s="17"/>
      <c r="Q62" s="17"/>
      <c r="R62" s="17"/>
      <c r="S62" s="17"/>
      <c r="T62" s="17"/>
      <c r="U62" s="17"/>
      <c r="V62" s="17"/>
      <c r="W62" s="17"/>
      <c r="X62" s="17"/>
      <c r="Y62" s="17"/>
      <c r="Z62" s="17"/>
    </row>
    <row r="63" ht="24.75" customHeight="1">
      <c r="A63" s="17"/>
      <c r="B63" s="17"/>
      <c r="C63" s="17"/>
      <c r="D63" s="110" t="s">
        <v>203</v>
      </c>
      <c r="E63" s="21"/>
      <c r="F63" s="102" t="s">
        <v>6</v>
      </c>
      <c r="G63" s="17"/>
      <c r="H63" s="17"/>
      <c r="I63" s="17"/>
      <c r="J63" s="17"/>
      <c r="K63" s="17"/>
      <c r="L63" s="17"/>
      <c r="M63" s="17"/>
      <c r="N63" s="17"/>
      <c r="O63" s="17"/>
      <c r="P63" s="17"/>
      <c r="Q63" s="17"/>
      <c r="R63" s="17"/>
      <c r="S63" s="17"/>
      <c r="T63" s="17"/>
      <c r="U63" s="17"/>
      <c r="V63" s="17"/>
      <c r="W63" s="17"/>
      <c r="X63" s="17"/>
      <c r="Y63" s="17"/>
      <c r="Z63" s="17"/>
    </row>
    <row r="64" ht="15.0" customHeight="1">
      <c r="A64" s="17"/>
      <c r="B64" s="17"/>
      <c r="C64" s="17"/>
      <c r="D64" s="54" t="s">
        <v>204</v>
      </c>
      <c r="E64" s="17"/>
      <c r="F64" s="17"/>
      <c r="G64" s="17"/>
      <c r="H64" s="17"/>
      <c r="I64" s="17"/>
      <c r="J64" s="17"/>
      <c r="K64" s="17"/>
      <c r="L64" s="17"/>
      <c r="M64" s="17"/>
      <c r="N64" s="17"/>
      <c r="O64" s="17"/>
      <c r="P64" s="17"/>
      <c r="Q64" s="17"/>
      <c r="R64" s="17"/>
      <c r="S64" s="17"/>
      <c r="T64" s="17"/>
      <c r="U64" s="17"/>
      <c r="V64" s="17"/>
      <c r="W64" s="17"/>
      <c r="X64" s="17"/>
      <c r="Y64" s="17"/>
      <c r="Z64" s="17"/>
    </row>
    <row r="65" ht="75.75" customHeight="1">
      <c r="A65" s="17"/>
      <c r="B65" s="17"/>
      <c r="C65" s="17"/>
      <c r="D65" s="104" t="s">
        <v>205</v>
      </c>
      <c r="E65" s="61"/>
      <c r="F65" s="21"/>
      <c r="G65" s="17"/>
      <c r="H65" s="17"/>
      <c r="I65" s="17"/>
      <c r="J65" s="17"/>
      <c r="K65" s="17"/>
      <c r="L65" s="17"/>
      <c r="M65" s="17"/>
      <c r="N65" s="17"/>
      <c r="O65" s="17"/>
      <c r="P65" s="17"/>
      <c r="Q65" s="17"/>
      <c r="R65" s="17"/>
      <c r="S65" s="17"/>
      <c r="T65" s="17"/>
      <c r="U65" s="17"/>
      <c r="V65" s="17"/>
      <c r="W65" s="17"/>
      <c r="X65" s="17"/>
      <c r="Y65" s="17"/>
      <c r="Z65" s="17"/>
    </row>
    <row r="66" ht="15.0"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11" t="s">
        <v>206</v>
      </c>
      <c r="E67" s="52"/>
      <c r="F67" s="53"/>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24.75" customHeight="1">
      <c r="A69" s="17"/>
      <c r="B69" s="17"/>
      <c r="C69" s="17"/>
      <c r="D69" s="110" t="s">
        <v>207</v>
      </c>
      <c r="E69" s="21"/>
      <c r="F69" s="102" t="s">
        <v>13</v>
      </c>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hidden="1" customHeight="1">
      <c r="A71" s="17"/>
      <c r="B71" s="17"/>
      <c r="C71" s="17"/>
      <c r="D71" s="112" t="s">
        <v>208</v>
      </c>
      <c r="E71" s="61"/>
      <c r="F71" s="21"/>
      <c r="G71" s="17"/>
      <c r="H71" s="17"/>
      <c r="I71" s="17"/>
      <c r="J71" s="17"/>
      <c r="K71" s="17"/>
      <c r="L71" s="17"/>
      <c r="M71" s="17"/>
      <c r="N71" s="17"/>
      <c r="O71" s="17"/>
      <c r="P71" s="17"/>
      <c r="Q71" s="17"/>
      <c r="R71" s="17"/>
      <c r="S71" s="17"/>
      <c r="T71" s="17"/>
      <c r="U71" s="17"/>
      <c r="V71" s="17"/>
      <c r="W71" s="17"/>
      <c r="X71" s="17"/>
      <c r="Y71" s="17"/>
      <c r="Z71" s="17"/>
    </row>
    <row r="72" ht="42.0" hidden="1" customHeight="1">
      <c r="A72" s="17"/>
      <c r="B72" s="17"/>
      <c r="C72" s="17"/>
      <c r="D72" s="104"/>
      <c r="E72" s="61"/>
      <c r="F72" s="21"/>
      <c r="G72" s="17"/>
      <c r="H72" s="17"/>
      <c r="I72" s="17"/>
      <c r="J72" s="17"/>
      <c r="K72" s="17"/>
      <c r="L72" s="17"/>
      <c r="M72" s="17"/>
      <c r="N72" s="17"/>
      <c r="O72" s="17"/>
      <c r="P72" s="17"/>
      <c r="Q72" s="17"/>
      <c r="R72" s="17"/>
      <c r="S72" s="17"/>
      <c r="T72" s="17"/>
      <c r="U72" s="17"/>
      <c r="V72" s="17"/>
      <c r="W72" s="17"/>
      <c r="X72" s="17"/>
      <c r="Y72" s="17"/>
      <c r="Z72" s="17"/>
    </row>
    <row r="73" ht="14.25" hidden="1"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33.0" hidden="1" customHeight="1">
      <c r="A74" s="17"/>
      <c r="B74" s="17"/>
      <c r="C74" s="17"/>
      <c r="D74" s="103" t="s">
        <v>209</v>
      </c>
      <c r="E74" s="61"/>
      <c r="F74" s="21"/>
      <c r="G74" s="17"/>
      <c r="H74" s="17"/>
      <c r="I74" s="17"/>
      <c r="J74" s="17"/>
      <c r="K74" s="17"/>
      <c r="L74" s="17"/>
      <c r="M74" s="17"/>
      <c r="N74" s="17"/>
      <c r="O74" s="17"/>
      <c r="P74" s="17"/>
      <c r="Q74" s="17"/>
      <c r="R74" s="17"/>
      <c r="S74" s="17"/>
      <c r="T74" s="17"/>
      <c r="U74" s="17"/>
      <c r="V74" s="17"/>
      <c r="W74" s="17"/>
      <c r="X74" s="17"/>
      <c r="Y74" s="17"/>
      <c r="Z74" s="17"/>
    </row>
    <row r="75" ht="38.25" hidden="1" customHeight="1">
      <c r="A75" s="17"/>
      <c r="B75" s="17"/>
      <c r="C75" s="17"/>
      <c r="D75" s="104"/>
      <c r="E75" s="61"/>
      <c r="F75" s="21"/>
      <c r="G75" s="17"/>
      <c r="H75" s="17"/>
      <c r="I75" s="17"/>
      <c r="J75" s="17"/>
      <c r="K75" s="17"/>
      <c r="L75" s="17"/>
      <c r="M75" s="17"/>
      <c r="N75" s="17"/>
      <c r="O75" s="17"/>
      <c r="P75" s="17"/>
      <c r="Q75" s="17"/>
      <c r="R75" s="17"/>
      <c r="S75" s="17"/>
      <c r="T75" s="17"/>
      <c r="U75" s="17"/>
      <c r="V75" s="17"/>
      <c r="W75" s="17"/>
      <c r="X75" s="17"/>
      <c r="Y75" s="17"/>
      <c r="Z75" s="17"/>
    </row>
    <row r="76" ht="14.25" hidden="1"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33.0" hidden="1" customHeight="1">
      <c r="A77" s="17"/>
      <c r="B77" s="17"/>
      <c r="C77" s="17"/>
      <c r="D77" s="103" t="s">
        <v>210</v>
      </c>
      <c r="E77" s="61"/>
      <c r="F77" s="21"/>
      <c r="G77" s="17"/>
      <c r="H77" s="17"/>
      <c r="I77" s="17"/>
      <c r="J77" s="17"/>
      <c r="K77" s="17"/>
      <c r="L77" s="17"/>
      <c r="M77" s="17"/>
      <c r="N77" s="17"/>
      <c r="O77" s="17"/>
      <c r="P77" s="17"/>
      <c r="Q77" s="17"/>
      <c r="R77" s="17"/>
      <c r="S77" s="17"/>
      <c r="T77" s="17"/>
      <c r="U77" s="17"/>
      <c r="V77" s="17"/>
      <c r="W77" s="17"/>
      <c r="X77" s="17"/>
      <c r="Y77" s="17"/>
      <c r="Z77" s="17"/>
    </row>
    <row r="78" ht="38.25" hidden="1" customHeight="1">
      <c r="A78" s="17"/>
      <c r="B78" s="17"/>
      <c r="C78" s="17"/>
      <c r="D78" s="92" t="s">
        <v>211</v>
      </c>
      <c r="E78" s="21"/>
      <c r="F78" s="102"/>
      <c r="G78" s="17"/>
      <c r="H78" s="17"/>
      <c r="I78" s="17"/>
      <c r="J78" s="17"/>
      <c r="K78" s="17"/>
      <c r="L78" s="17"/>
      <c r="M78" s="17"/>
      <c r="N78" s="17"/>
      <c r="O78" s="17"/>
      <c r="P78" s="17"/>
      <c r="Q78" s="17"/>
      <c r="R78" s="17"/>
      <c r="S78" s="17"/>
      <c r="T78" s="17"/>
      <c r="U78" s="17"/>
      <c r="V78" s="17"/>
      <c r="W78" s="17"/>
      <c r="X78" s="17"/>
      <c r="Y78" s="17"/>
      <c r="Z78" s="17"/>
    </row>
    <row r="79" ht="14.25" hidden="1"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28.5" hidden="1" customHeight="1">
      <c r="A80" s="17"/>
      <c r="B80" s="17"/>
      <c r="C80" s="17"/>
      <c r="D80" s="103" t="s">
        <v>210</v>
      </c>
      <c r="E80" s="61"/>
      <c r="F80" s="21"/>
      <c r="G80" s="17"/>
      <c r="H80" s="17"/>
      <c r="I80" s="17"/>
      <c r="J80" s="17"/>
      <c r="K80" s="17"/>
      <c r="L80" s="17"/>
      <c r="M80" s="17"/>
      <c r="N80" s="17"/>
      <c r="O80" s="17"/>
      <c r="P80" s="17"/>
      <c r="Q80" s="17"/>
      <c r="R80" s="17"/>
      <c r="S80" s="17"/>
      <c r="T80" s="17"/>
      <c r="U80" s="17"/>
      <c r="V80" s="17"/>
      <c r="W80" s="17"/>
      <c r="X80" s="17"/>
      <c r="Y80" s="17"/>
      <c r="Z80" s="17"/>
    </row>
    <row r="81" ht="30.0" hidden="1" customHeight="1">
      <c r="A81" s="17"/>
      <c r="B81" s="17"/>
      <c r="C81" s="17"/>
      <c r="D81" s="104"/>
      <c r="E81" s="61"/>
      <c r="F81" s="21"/>
      <c r="G81" s="17"/>
      <c r="H81" s="17"/>
      <c r="I81" s="17"/>
      <c r="J81" s="17"/>
      <c r="K81" s="17"/>
      <c r="L81" s="17"/>
      <c r="M81" s="17"/>
      <c r="N81" s="17"/>
      <c r="O81" s="17"/>
      <c r="P81" s="17"/>
      <c r="Q81" s="17"/>
      <c r="R81" s="17"/>
      <c r="S81" s="17"/>
      <c r="T81" s="17"/>
      <c r="U81" s="17"/>
      <c r="V81" s="17"/>
      <c r="W81" s="17"/>
      <c r="X81" s="17"/>
      <c r="Y81" s="17"/>
      <c r="Z81" s="17"/>
    </row>
    <row r="82" ht="24.75" hidden="1"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12" t="s">
        <v>212</v>
      </c>
      <c r="E84" s="61"/>
      <c r="F84" s="21"/>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00" t="s">
        <v>213</v>
      </c>
      <c r="E85" s="61"/>
      <c r="F85" s="21"/>
      <c r="G85" s="17"/>
      <c r="H85" s="17"/>
      <c r="I85" s="17"/>
      <c r="J85" s="17"/>
      <c r="K85" s="17"/>
      <c r="L85" s="17"/>
      <c r="M85" s="17"/>
      <c r="N85" s="17"/>
      <c r="O85" s="17"/>
      <c r="P85" s="17"/>
      <c r="Q85" s="17"/>
      <c r="R85" s="17"/>
      <c r="S85" s="17"/>
      <c r="T85" s="17"/>
      <c r="U85" s="17"/>
      <c r="V85" s="17"/>
      <c r="W85" s="17"/>
      <c r="X85" s="17"/>
      <c r="Y85" s="17"/>
      <c r="Z85" s="17"/>
    </row>
    <row r="86" ht="39.75" customHeight="1">
      <c r="A86" s="17"/>
      <c r="B86" s="17"/>
      <c r="C86" s="17"/>
      <c r="D86" s="104" t="s">
        <v>214</v>
      </c>
      <c r="E86" s="61"/>
      <c r="F86" s="21"/>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32.25" customHeight="1">
      <c r="A88" s="17"/>
      <c r="B88" s="17"/>
      <c r="C88" s="17"/>
      <c r="D88" s="110" t="s">
        <v>215</v>
      </c>
      <c r="E88" s="21"/>
      <c r="F88" s="102" t="s">
        <v>13</v>
      </c>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hidden="1" customHeight="1">
      <c r="A90" s="17"/>
      <c r="B90" s="17"/>
      <c r="C90" s="17"/>
      <c r="D90" s="113" t="s">
        <v>144</v>
      </c>
      <c r="E90" s="81"/>
      <c r="F90" s="114"/>
      <c r="G90" s="17"/>
      <c r="H90" s="17"/>
      <c r="I90" s="17"/>
      <c r="J90" s="17"/>
      <c r="K90" s="17"/>
      <c r="L90" s="17"/>
      <c r="M90" s="17"/>
      <c r="N90" s="17"/>
      <c r="O90" s="17"/>
      <c r="P90" s="17"/>
      <c r="Q90" s="17"/>
      <c r="R90" s="17"/>
      <c r="S90" s="17"/>
      <c r="T90" s="17"/>
      <c r="U90" s="17"/>
      <c r="V90" s="17"/>
      <c r="W90" s="17"/>
      <c r="X90" s="17"/>
      <c r="Y90" s="17"/>
      <c r="Z90" s="17"/>
    </row>
    <row r="91" ht="42.0" hidden="1" customHeight="1">
      <c r="A91" s="17"/>
      <c r="B91" s="17"/>
      <c r="C91" s="17"/>
      <c r="D91" s="115" t="s">
        <v>216</v>
      </c>
      <c r="E91" s="73"/>
      <c r="F91" s="74"/>
      <c r="G91" s="17"/>
      <c r="H91" s="17"/>
      <c r="I91" s="17"/>
      <c r="J91" s="17"/>
      <c r="K91" s="17"/>
      <c r="L91" s="17"/>
      <c r="M91" s="17"/>
      <c r="N91" s="17"/>
      <c r="O91" s="17"/>
      <c r="P91" s="17"/>
      <c r="Q91" s="17"/>
      <c r="R91" s="17"/>
      <c r="S91" s="17"/>
      <c r="T91" s="17"/>
      <c r="U91" s="17"/>
      <c r="V91" s="17"/>
      <c r="W91" s="17"/>
      <c r="X91" s="17"/>
      <c r="Y91" s="17"/>
      <c r="Z91" s="17"/>
    </row>
    <row r="92" ht="15.0" hidden="1" customHeight="1">
      <c r="A92" s="17"/>
      <c r="B92" s="17"/>
      <c r="C92" s="17"/>
      <c r="D92" s="116" t="s">
        <v>217</v>
      </c>
      <c r="E92" s="73"/>
      <c r="F92" s="74"/>
      <c r="G92" s="17"/>
      <c r="H92" s="17"/>
      <c r="I92" s="17"/>
      <c r="J92" s="17"/>
      <c r="K92" s="17"/>
      <c r="L92" s="17"/>
      <c r="M92" s="17"/>
      <c r="N92" s="17"/>
      <c r="O92" s="17"/>
      <c r="P92" s="17"/>
      <c r="Q92" s="17"/>
      <c r="R92" s="17"/>
      <c r="S92" s="17"/>
      <c r="T92" s="17"/>
      <c r="U92" s="17"/>
      <c r="V92" s="17"/>
      <c r="W92" s="17"/>
      <c r="X92" s="17"/>
      <c r="Y92" s="17"/>
      <c r="Z92" s="17"/>
    </row>
    <row r="93" ht="15.0" hidden="1" customHeight="1">
      <c r="A93" s="17"/>
      <c r="B93" s="17"/>
      <c r="C93" s="17"/>
      <c r="D93" s="116"/>
      <c r="E93" s="73"/>
      <c r="F93" s="74"/>
      <c r="G93" s="17"/>
      <c r="H93" s="17"/>
      <c r="I93" s="17"/>
      <c r="J93" s="17"/>
      <c r="K93" s="17"/>
      <c r="L93" s="17"/>
      <c r="M93" s="17"/>
      <c r="N93" s="17"/>
      <c r="O93" s="17"/>
      <c r="P93" s="17"/>
      <c r="Q93" s="17"/>
      <c r="R93" s="17"/>
      <c r="S93" s="17"/>
      <c r="T93" s="17"/>
      <c r="U93" s="17"/>
      <c r="V93" s="17"/>
      <c r="W93" s="17"/>
      <c r="X93" s="17"/>
      <c r="Y93" s="17"/>
      <c r="Z93" s="17"/>
    </row>
    <row r="94" ht="15.0" hidden="1" customHeight="1">
      <c r="A94" s="17"/>
      <c r="B94" s="17"/>
      <c r="C94" s="17"/>
      <c r="D94" s="116"/>
      <c r="E94" s="73"/>
      <c r="F94" s="74"/>
      <c r="G94" s="17"/>
      <c r="H94" s="17"/>
      <c r="I94" s="17"/>
      <c r="J94" s="17"/>
      <c r="K94" s="17"/>
      <c r="L94" s="17"/>
      <c r="M94" s="17"/>
      <c r="N94" s="17"/>
      <c r="O94" s="17"/>
      <c r="P94" s="17"/>
      <c r="Q94" s="17"/>
      <c r="R94" s="17"/>
      <c r="S94" s="17"/>
      <c r="T94" s="17"/>
      <c r="U94" s="17"/>
      <c r="V94" s="17"/>
      <c r="W94" s="17"/>
      <c r="X94" s="17"/>
      <c r="Y94" s="17"/>
      <c r="Z94" s="17"/>
    </row>
    <row r="95" ht="15.0" hidden="1" customHeight="1">
      <c r="A95" s="17"/>
      <c r="B95" s="17"/>
      <c r="C95" s="17"/>
      <c r="D95" s="116"/>
      <c r="E95" s="73"/>
      <c r="F95" s="74"/>
      <c r="G95" s="17"/>
      <c r="H95" s="17"/>
      <c r="I95" s="17"/>
      <c r="J95" s="17"/>
      <c r="K95" s="17"/>
      <c r="L95" s="17"/>
      <c r="M95" s="17"/>
      <c r="N95" s="17"/>
      <c r="O95" s="17"/>
      <c r="P95" s="17"/>
      <c r="Q95" s="17"/>
      <c r="R95" s="17"/>
      <c r="S95" s="17"/>
      <c r="T95" s="17"/>
      <c r="U95" s="17"/>
      <c r="V95" s="17"/>
      <c r="W95" s="17"/>
      <c r="X95" s="17"/>
      <c r="Y95" s="17"/>
      <c r="Z95" s="17"/>
    </row>
    <row r="96" ht="14.25" hidden="1"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28.5" hidden="1" customHeight="1">
      <c r="A97" s="17"/>
      <c r="B97" s="17"/>
      <c r="C97" s="17"/>
      <c r="D97" s="65" t="s">
        <v>218</v>
      </c>
      <c r="E97" s="21"/>
      <c r="F97" s="101" t="s">
        <v>13</v>
      </c>
      <c r="G97" s="17"/>
      <c r="H97" s="17"/>
      <c r="I97" s="17"/>
      <c r="J97" s="17"/>
      <c r="K97" s="17"/>
      <c r="L97" s="17"/>
      <c r="M97" s="17"/>
      <c r="N97" s="17"/>
      <c r="O97" s="17"/>
      <c r="P97" s="17"/>
      <c r="Q97" s="17"/>
      <c r="R97" s="17"/>
      <c r="S97" s="17"/>
      <c r="T97" s="17"/>
      <c r="U97" s="17"/>
      <c r="V97" s="17"/>
      <c r="W97" s="17"/>
      <c r="X97" s="17"/>
      <c r="Y97" s="17"/>
      <c r="Z97" s="17"/>
    </row>
    <row r="98" ht="14.25" hidden="1"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24.75" hidden="1" customHeight="1">
      <c r="A99" s="17"/>
      <c r="B99" s="17"/>
      <c r="C99" s="17"/>
      <c r="D99" s="112" t="s">
        <v>219</v>
      </c>
      <c r="E99" s="61"/>
      <c r="F99" s="21"/>
      <c r="G99" s="17"/>
      <c r="H99" s="17"/>
      <c r="I99" s="17"/>
      <c r="J99" s="17"/>
      <c r="K99" s="17"/>
      <c r="L99" s="17"/>
      <c r="M99" s="17"/>
      <c r="N99" s="17"/>
      <c r="O99" s="17"/>
      <c r="P99" s="17"/>
      <c r="Q99" s="17"/>
      <c r="R99" s="17"/>
      <c r="S99" s="17"/>
      <c r="T99" s="17"/>
      <c r="U99" s="17"/>
      <c r="V99" s="17"/>
      <c r="W99" s="17"/>
      <c r="X99" s="17"/>
      <c r="Y99" s="17"/>
      <c r="Z99" s="17"/>
    </row>
    <row r="100" ht="24.75" hidden="1" customHeight="1">
      <c r="A100" s="17"/>
      <c r="B100" s="17"/>
      <c r="C100" s="17"/>
      <c r="D100" s="65" t="s">
        <v>220</v>
      </c>
      <c r="E100" s="21"/>
      <c r="F100" s="101" t="s">
        <v>13</v>
      </c>
      <c r="G100" s="17"/>
      <c r="H100" s="17"/>
      <c r="I100" s="17"/>
      <c r="J100" s="17"/>
      <c r="K100" s="17"/>
      <c r="L100" s="17"/>
      <c r="M100" s="17"/>
      <c r="N100" s="17"/>
      <c r="O100" s="17"/>
      <c r="P100" s="17"/>
      <c r="Q100" s="17"/>
      <c r="R100" s="17"/>
      <c r="S100" s="17"/>
      <c r="T100" s="17"/>
      <c r="U100" s="17"/>
      <c r="V100" s="17"/>
      <c r="W100" s="17"/>
      <c r="X100" s="17"/>
      <c r="Y100" s="17"/>
      <c r="Z100" s="17"/>
    </row>
    <row r="101" ht="24.75" hidden="1" customHeight="1">
      <c r="A101" s="17"/>
      <c r="B101" s="17"/>
      <c r="C101" s="17"/>
      <c r="D101" s="65" t="s">
        <v>221</v>
      </c>
      <c r="E101" s="21"/>
      <c r="F101" s="101"/>
      <c r="G101" s="17"/>
      <c r="H101" s="17"/>
      <c r="I101" s="17"/>
      <c r="J101" s="17"/>
      <c r="K101" s="17"/>
      <c r="L101" s="17"/>
      <c r="M101" s="17"/>
      <c r="N101" s="17"/>
      <c r="O101" s="17"/>
      <c r="P101" s="17"/>
      <c r="Q101" s="17"/>
      <c r="R101" s="17"/>
      <c r="S101" s="17"/>
      <c r="T101" s="17"/>
      <c r="U101" s="17"/>
      <c r="V101" s="17"/>
      <c r="W101" s="17"/>
      <c r="X101" s="17"/>
      <c r="Y101" s="17"/>
      <c r="Z101" s="17"/>
    </row>
    <row r="102" ht="14.25" hidden="1"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00" t="s">
        <v>222</v>
      </c>
      <c r="E103" s="61"/>
      <c r="F103" s="21"/>
      <c r="G103" s="17"/>
      <c r="H103" s="17"/>
      <c r="I103" s="17"/>
      <c r="J103" s="17"/>
      <c r="K103" s="17"/>
      <c r="L103" s="17"/>
      <c r="M103" s="17"/>
      <c r="N103" s="17"/>
      <c r="O103" s="17"/>
      <c r="P103" s="17"/>
      <c r="Q103" s="17"/>
      <c r="R103" s="17"/>
      <c r="S103" s="17"/>
      <c r="T103" s="17"/>
      <c r="U103" s="17"/>
      <c r="V103" s="17"/>
      <c r="W103" s="17"/>
      <c r="X103" s="17"/>
      <c r="Y103" s="17"/>
      <c r="Z103" s="17"/>
    </row>
    <row r="104" ht="65.25" customHeight="1">
      <c r="A104" s="17"/>
      <c r="B104" s="17"/>
      <c r="C104" s="17"/>
      <c r="D104" s="104" t="s">
        <v>20</v>
      </c>
      <c r="E104" s="61"/>
      <c r="F104" s="21"/>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00" t="s">
        <v>223</v>
      </c>
      <c r="E108" s="61"/>
      <c r="F108" s="21"/>
      <c r="G108" s="17"/>
      <c r="H108" s="17"/>
      <c r="I108" s="17"/>
      <c r="J108" s="17"/>
      <c r="K108" s="17"/>
      <c r="L108" s="17"/>
      <c r="M108" s="17"/>
      <c r="N108" s="17"/>
      <c r="O108" s="17"/>
      <c r="P108" s="17"/>
      <c r="Q108" s="17"/>
      <c r="R108" s="17"/>
      <c r="S108" s="17"/>
      <c r="T108" s="17"/>
      <c r="U108" s="17"/>
      <c r="V108" s="17"/>
      <c r="W108" s="17"/>
      <c r="X108" s="17"/>
      <c r="Y108" s="17"/>
      <c r="Z108" s="17"/>
    </row>
    <row r="109" ht="41.25" customHeight="1">
      <c r="A109" s="17"/>
      <c r="B109" s="17"/>
      <c r="C109" s="17"/>
      <c r="D109" s="65" t="s">
        <v>224</v>
      </c>
      <c r="E109" s="21"/>
      <c r="F109" s="102" t="s">
        <v>6</v>
      </c>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24.75" customHeight="1">
      <c r="A111" s="17"/>
      <c r="B111" s="17"/>
      <c r="C111" s="17"/>
      <c r="D111" s="112" t="s">
        <v>225</v>
      </c>
      <c r="E111" s="61"/>
      <c r="F111" s="21"/>
      <c r="G111" s="17"/>
      <c r="H111" s="17"/>
      <c r="I111" s="17"/>
      <c r="J111" s="17"/>
      <c r="K111" s="17"/>
      <c r="L111" s="17"/>
      <c r="M111" s="17"/>
      <c r="N111" s="17"/>
      <c r="O111" s="17"/>
      <c r="P111" s="17"/>
      <c r="Q111" s="17"/>
      <c r="R111" s="17"/>
      <c r="S111" s="17"/>
      <c r="T111" s="17"/>
      <c r="U111" s="17"/>
      <c r="V111" s="17"/>
      <c r="W111" s="17"/>
      <c r="X111" s="17"/>
      <c r="Y111" s="17"/>
      <c r="Z111" s="17"/>
    </row>
    <row r="112" ht="24.75" customHeight="1">
      <c r="A112" s="17"/>
      <c r="B112" s="17"/>
      <c r="C112" s="17"/>
      <c r="D112" s="60" t="s">
        <v>226</v>
      </c>
      <c r="E112" s="21"/>
      <c r="F112" s="102" t="s">
        <v>13</v>
      </c>
      <c r="G112" s="17"/>
      <c r="H112" s="17"/>
      <c r="I112" s="17"/>
      <c r="J112" s="17"/>
      <c r="K112" s="17"/>
      <c r="L112" s="17"/>
      <c r="M112" s="17"/>
      <c r="N112" s="17"/>
      <c r="O112" s="17"/>
      <c r="P112" s="17"/>
      <c r="Q112" s="17"/>
      <c r="R112" s="17"/>
      <c r="S112" s="17"/>
      <c r="T112" s="17"/>
      <c r="U112" s="17"/>
      <c r="V112" s="17"/>
      <c r="W112" s="17"/>
      <c r="X112" s="17"/>
      <c r="Y112" s="17"/>
      <c r="Z112" s="17"/>
    </row>
    <row r="113" ht="24.75" customHeight="1">
      <c r="A113" s="17"/>
      <c r="B113" s="17"/>
      <c r="C113" s="17"/>
      <c r="D113" s="60" t="s">
        <v>227</v>
      </c>
      <c r="E113" s="21"/>
      <c r="F113" s="102" t="s">
        <v>13</v>
      </c>
      <c r="G113" s="17"/>
      <c r="H113" s="17"/>
      <c r="I113" s="17"/>
      <c r="J113" s="17"/>
      <c r="K113" s="17"/>
      <c r="L113" s="17"/>
      <c r="M113" s="17"/>
      <c r="N113" s="17"/>
      <c r="O113" s="17"/>
      <c r="P113" s="17"/>
      <c r="Q113" s="17"/>
      <c r="R113" s="17"/>
      <c r="S113" s="17"/>
      <c r="T113" s="17"/>
      <c r="U113" s="17"/>
      <c r="V113" s="17"/>
      <c r="W113" s="17"/>
      <c r="X113" s="17"/>
      <c r="Y113" s="17"/>
      <c r="Z113" s="17"/>
    </row>
    <row r="114" ht="24.75" customHeight="1">
      <c r="A114" s="17"/>
      <c r="B114" s="17"/>
      <c r="C114" s="17"/>
      <c r="D114" s="60" t="s">
        <v>228</v>
      </c>
      <c r="E114" s="21"/>
      <c r="F114" s="102" t="s">
        <v>13</v>
      </c>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00" t="s">
        <v>229</v>
      </c>
      <c r="E116" s="61"/>
      <c r="F116" s="21"/>
      <c r="G116" s="17"/>
      <c r="H116" s="17"/>
      <c r="I116" s="17"/>
      <c r="J116" s="17"/>
      <c r="K116" s="17"/>
      <c r="L116" s="17"/>
      <c r="M116" s="17"/>
      <c r="N116" s="17"/>
      <c r="O116" s="17"/>
      <c r="P116" s="17"/>
      <c r="Q116" s="17"/>
      <c r="R116" s="17"/>
      <c r="S116" s="17"/>
      <c r="T116" s="17"/>
      <c r="U116" s="17"/>
      <c r="V116" s="17"/>
      <c r="W116" s="17"/>
      <c r="X116" s="17"/>
      <c r="Y116" s="17"/>
      <c r="Z116" s="17"/>
    </row>
    <row r="117" ht="54.0" customHeight="1">
      <c r="A117" s="17"/>
      <c r="B117" s="17"/>
      <c r="C117" s="17"/>
      <c r="D117" s="104" t="s">
        <v>230</v>
      </c>
      <c r="E117" s="61"/>
      <c r="F117" s="21"/>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26.25" customHeight="1">
      <c r="A119" s="17"/>
      <c r="B119" s="17"/>
      <c r="C119" s="17"/>
      <c r="D119" s="65" t="s">
        <v>231</v>
      </c>
      <c r="E119" s="21"/>
      <c r="F119" s="102" t="s">
        <v>20</v>
      </c>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72">
    <mergeCell ref="D61:F61"/>
    <mergeCell ref="D62:F62"/>
    <mergeCell ref="D63:E63"/>
    <mergeCell ref="D65:F65"/>
    <mergeCell ref="D67:F67"/>
    <mergeCell ref="D69:E69"/>
    <mergeCell ref="D71:F71"/>
    <mergeCell ref="D72:F72"/>
    <mergeCell ref="D74:F74"/>
    <mergeCell ref="D75:F75"/>
    <mergeCell ref="D77:F77"/>
    <mergeCell ref="D78:E78"/>
    <mergeCell ref="D80:F80"/>
    <mergeCell ref="D81:F81"/>
    <mergeCell ref="D84:F84"/>
    <mergeCell ref="D85:F85"/>
    <mergeCell ref="D86:F86"/>
    <mergeCell ref="D88:E88"/>
    <mergeCell ref="D90:F90"/>
    <mergeCell ref="D91:F91"/>
    <mergeCell ref="D92:F92"/>
    <mergeCell ref="D93:F93"/>
    <mergeCell ref="D94:F94"/>
    <mergeCell ref="D95:F95"/>
    <mergeCell ref="D97:E97"/>
    <mergeCell ref="D99:F99"/>
    <mergeCell ref="D100:E100"/>
    <mergeCell ref="D101:E101"/>
    <mergeCell ref="D11:F11"/>
    <mergeCell ref="D12:F12"/>
    <mergeCell ref="C12:C13"/>
    <mergeCell ref="C14:C15"/>
    <mergeCell ref="C16:C17"/>
    <mergeCell ref="D6:F6"/>
    <mergeCell ref="D7:F7"/>
    <mergeCell ref="D8:F8"/>
    <mergeCell ref="D9:F9"/>
    <mergeCell ref="C10:C11"/>
    <mergeCell ref="D10:F10"/>
    <mergeCell ref="D13:F13"/>
    <mergeCell ref="D14:F14"/>
    <mergeCell ref="D15:F15"/>
    <mergeCell ref="D16:F16"/>
    <mergeCell ref="D17:F17"/>
    <mergeCell ref="D19:F19"/>
    <mergeCell ref="D20:E20"/>
    <mergeCell ref="D23:F23"/>
    <mergeCell ref="D21:E21"/>
    <mergeCell ref="D34:E34"/>
    <mergeCell ref="D35:E35"/>
    <mergeCell ref="D37:F37"/>
    <mergeCell ref="D38:F38"/>
    <mergeCell ref="D40:F40"/>
    <mergeCell ref="D52:F52"/>
    <mergeCell ref="D53:F53"/>
    <mergeCell ref="D54:F54"/>
    <mergeCell ref="D55:E55"/>
    <mergeCell ref="D56:E56"/>
    <mergeCell ref="D57:E57"/>
    <mergeCell ref="D58:E58"/>
    <mergeCell ref="D59:E59"/>
    <mergeCell ref="D114:E114"/>
    <mergeCell ref="D116:F116"/>
    <mergeCell ref="D117:F117"/>
    <mergeCell ref="D119:E119"/>
    <mergeCell ref="D103:F103"/>
    <mergeCell ref="D104:F104"/>
    <mergeCell ref="D108:F108"/>
    <mergeCell ref="D109:E109"/>
    <mergeCell ref="D111:F111"/>
    <mergeCell ref="D112:E112"/>
    <mergeCell ref="D113:E113"/>
  </mergeCells>
  <conditionalFormatting sqref="D24:F32 D38:F38 D42:F50 D65:F65 D104:F104 D117:F117 F20:F21 F34:F35 F55:F59 F63 F69 F88 F109 F112:F114 F119">
    <cfRule type="cellIs" dxfId="2" priority="1" operator="equal">
      <formula>$B$3</formula>
    </cfRule>
  </conditionalFormatting>
  <dataValidations>
    <dataValidation type="list" allowBlank="1" showErrorMessage="1" sqref="E51">
      <formula1>Mapping!$F$2:$F$3</formula1>
    </dataValidation>
    <dataValidation type="list" allowBlank="1" showErrorMessage="1" sqref="F63 F69 F78 F97 F100:F101 F106 F112:F114">
      <formula1>Mapping!$A$2:$A$4</formula1>
    </dataValidation>
    <dataValidation type="list" allowBlank="1" showErrorMessage="1" sqref="F20:F21 F34:F35 F55:F59 F88 F109 F119">
      <formula1>Yes_No</formula1>
    </dataValidation>
    <dataValidation type="list" allowBlank="1" showErrorMessage="1" sqref="E42:E50">
      <formula1>Mapping!$F$2:$F$4</formula1>
    </dataValidation>
  </dataValidation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3" width="9.14"/>
    <col customWidth="1" min="4" max="4" width="66.86"/>
    <col customWidth="1" min="5" max="5" width="18.14"/>
    <col customWidth="1" min="6" max="6" width="16.71"/>
    <col customWidth="1" min="7" max="7" width="15.86"/>
    <col customWidth="1" min="8" max="8" width="22.71"/>
    <col customWidth="1" min="9"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17" t="s">
        <v>232</v>
      </c>
      <c r="E7" s="73"/>
      <c r="F7" s="74"/>
      <c r="G7" s="17"/>
      <c r="H7" s="17"/>
      <c r="I7" s="17"/>
      <c r="J7" s="17"/>
      <c r="K7" s="17"/>
      <c r="L7" s="17"/>
      <c r="M7" s="17"/>
      <c r="N7" s="17"/>
      <c r="O7" s="17"/>
      <c r="P7" s="17"/>
      <c r="Q7" s="17"/>
      <c r="R7" s="17"/>
      <c r="S7" s="17"/>
      <c r="T7" s="17"/>
      <c r="U7" s="17"/>
      <c r="V7" s="17"/>
      <c r="W7" s="17"/>
      <c r="X7" s="17"/>
      <c r="Y7" s="17"/>
      <c r="Z7" s="17"/>
    </row>
    <row r="8" ht="24.75" customHeight="1">
      <c r="A8" s="17"/>
      <c r="B8" s="17"/>
      <c r="C8" s="17"/>
      <c r="D8" s="118" t="s">
        <v>233</v>
      </c>
      <c r="E8" s="85"/>
      <c r="F8" s="25"/>
      <c r="G8" s="17"/>
      <c r="H8" s="17"/>
      <c r="I8" s="17"/>
      <c r="J8" s="17"/>
      <c r="K8" s="17"/>
      <c r="L8" s="17"/>
      <c r="M8" s="17"/>
      <c r="N8" s="17"/>
      <c r="O8" s="17"/>
      <c r="P8" s="17"/>
      <c r="Q8" s="17"/>
      <c r="R8" s="17"/>
      <c r="S8" s="17"/>
      <c r="T8" s="17"/>
      <c r="U8" s="17"/>
      <c r="V8" s="17"/>
      <c r="W8" s="17"/>
      <c r="X8" s="17"/>
      <c r="Y8" s="17"/>
      <c r="Z8" s="17"/>
    </row>
    <row r="9" ht="24.75" customHeight="1">
      <c r="A9" s="17"/>
      <c r="B9" s="17"/>
      <c r="C9" s="17"/>
      <c r="D9" s="104" t="s">
        <v>234</v>
      </c>
      <c r="E9" s="61"/>
      <c r="F9" s="21"/>
      <c r="G9" s="17"/>
      <c r="H9" s="17"/>
      <c r="I9" s="17"/>
      <c r="J9" s="17"/>
      <c r="K9" s="17"/>
      <c r="L9" s="17"/>
      <c r="M9" s="17"/>
      <c r="N9" s="17"/>
      <c r="O9" s="17"/>
      <c r="P9" s="17"/>
      <c r="Q9" s="17"/>
      <c r="R9" s="17"/>
      <c r="S9" s="17"/>
      <c r="T9" s="17"/>
      <c r="U9" s="17"/>
      <c r="V9" s="17"/>
      <c r="W9" s="17"/>
      <c r="X9" s="17"/>
      <c r="Y9" s="17"/>
      <c r="Z9" s="17"/>
    </row>
    <row r="10" ht="14.25" customHeight="1">
      <c r="A10" s="17"/>
      <c r="B10" s="17"/>
      <c r="C10" s="17"/>
      <c r="D10" s="70"/>
      <c r="E10" s="70"/>
      <c r="F10" s="70"/>
      <c r="G10" s="17"/>
      <c r="H10" s="17"/>
      <c r="I10" s="17"/>
      <c r="J10" s="17"/>
      <c r="K10" s="17"/>
      <c r="L10" s="17"/>
      <c r="M10" s="17"/>
      <c r="N10" s="17"/>
      <c r="O10" s="17"/>
      <c r="P10" s="17"/>
      <c r="Q10" s="17"/>
      <c r="R10" s="17"/>
      <c r="S10" s="17"/>
      <c r="T10" s="17"/>
      <c r="U10" s="17"/>
      <c r="V10" s="17"/>
      <c r="W10" s="17"/>
      <c r="X10" s="17"/>
      <c r="Y10" s="17"/>
      <c r="Z10" s="17"/>
    </row>
    <row r="11" ht="14.25" customHeight="1">
      <c r="A11" s="17"/>
      <c r="B11" s="17"/>
      <c r="C11" s="17"/>
      <c r="D11" s="70" t="s">
        <v>235</v>
      </c>
      <c r="E11" s="70"/>
      <c r="F11" s="70"/>
      <c r="G11" s="17"/>
      <c r="H11" s="17"/>
      <c r="I11" s="17"/>
      <c r="J11" s="17"/>
      <c r="K11" s="17"/>
      <c r="L11" s="17"/>
      <c r="M11" s="17"/>
      <c r="N11" s="17"/>
      <c r="O11" s="17"/>
      <c r="P11" s="17"/>
      <c r="Q11" s="17"/>
      <c r="R11" s="17"/>
      <c r="S11" s="17"/>
      <c r="T11" s="17"/>
      <c r="U11" s="17"/>
      <c r="V11" s="17"/>
      <c r="W11" s="17"/>
      <c r="X11" s="17"/>
      <c r="Y11" s="17"/>
      <c r="Z11" s="17"/>
    </row>
    <row r="12" ht="14.25" customHeight="1">
      <c r="A12" s="17"/>
      <c r="B12" s="17"/>
      <c r="C12" s="17"/>
      <c r="D12" s="70" t="s">
        <v>236</v>
      </c>
      <c r="E12" s="70"/>
      <c r="F12" s="70"/>
      <c r="G12" s="17"/>
      <c r="H12" s="17"/>
      <c r="I12" s="17"/>
      <c r="J12" s="17"/>
      <c r="K12" s="17"/>
      <c r="L12" s="17"/>
      <c r="M12" s="17"/>
      <c r="N12" s="17"/>
      <c r="O12" s="17"/>
      <c r="P12" s="17"/>
      <c r="Q12" s="17"/>
      <c r="R12" s="17"/>
      <c r="S12" s="17"/>
      <c r="T12" s="17"/>
      <c r="U12" s="17"/>
      <c r="V12" s="17"/>
      <c r="W12" s="17"/>
      <c r="X12" s="17"/>
      <c r="Y12" s="17"/>
      <c r="Z12" s="17"/>
    </row>
    <row r="13" ht="14.25" customHeight="1">
      <c r="A13" s="17"/>
      <c r="B13" s="17"/>
      <c r="C13" s="17"/>
      <c r="D13" s="70" t="s">
        <v>237</v>
      </c>
      <c r="E13" s="70"/>
      <c r="F13" s="70"/>
      <c r="G13" s="17"/>
      <c r="H13" s="17"/>
      <c r="I13" s="17"/>
      <c r="J13" s="17"/>
      <c r="K13" s="17"/>
      <c r="L13" s="17"/>
      <c r="M13" s="17"/>
      <c r="N13" s="17"/>
      <c r="O13" s="17"/>
      <c r="P13" s="17"/>
      <c r="Q13" s="17"/>
      <c r="R13" s="17"/>
      <c r="S13" s="17"/>
      <c r="T13" s="17"/>
      <c r="U13" s="17"/>
      <c r="V13" s="17"/>
      <c r="W13" s="17"/>
      <c r="X13" s="17"/>
      <c r="Y13" s="17"/>
      <c r="Z13" s="17"/>
    </row>
    <row r="14" ht="14.25" hidden="1" customHeight="1">
      <c r="A14" s="17"/>
      <c r="B14" s="17"/>
      <c r="C14" s="17"/>
      <c r="D14" s="70"/>
      <c r="E14" s="70"/>
      <c r="F14" s="70"/>
      <c r="G14" s="17"/>
      <c r="H14" s="17"/>
      <c r="I14" s="17"/>
      <c r="J14" s="17"/>
      <c r="K14" s="17"/>
      <c r="L14" s="17"/>
      <c r="M14" s="17"/>
      <c r="N14" s="17"/>
      <c r="O14" s="17"/>
      <c r="P14" s="17"/>
      <c r="Q14" s="17"/>
      <c r="R14" s="17"/>
      <c r="S14" s="17"/>
      <c r="T14" s="17"/>
      <c r="U14" s="17"/>
      <c r="V14" s="17"/>
      <c r="W14" s="17"/>
      <c r="X14" s="17"/>
      <c r="Y14" s="17"/>
      <c r="Z14" s="17"/>
    </row>
    <row r="15" ht="14.25" hidden="1" customHeight="1">
      <c r="A15" s="17"/>
      <c r="B15" s="17"/>
      <c r="C15" s="17"/>
      <c r="D15" s="70"/>
      <c r="E15" s="70"/>
      <c r="F15" s="70"/>
      <c r="G15" s="17"/>
      <c r="H15" s="17"/>
      <c r="I15" s="17"/>
      <c r="J15" s="17"/>
      <c r="K15" s="17"/>
      <c r="L15" s="17"/>
      <c r="M15" s="17"/>
      <c r="N15" s="17"/>
      <c r="O15" s="17"/>
      <c r="P15" s="17"/>
      <c r="Q15" s="17"/>
      <c r="R15" s="17"/>
      <c r="S15" s="17"/>
      <c r="T15" s="17"/>
      <c r="U15" s="17"/>
      <c r="V15" s="17"/>
      <c r="W15" s="17"/>
      <c r="X15" s="17"/>
      <c r="Y15" s="17"/>
      <c r="Z15" s="17"/>
    </row>
    <row r="16" ht="14.25" hidden="1" customHeight="1">
      <c r="A16" s="17"/>
      <c r="B16" s="17"/>
      <c r="C16" s="17"/>
      <c r="D16" s="70"/>
      <c r="E16" s="70"/>
      <c r="F16" s="70"/>
      <c r="G16" s="17"/>
      <c r="H16" s="17"/>
      <c r="I16" s="17"/>
      <c r="J16" s="17"/>
      <c r="K16" s="17"/>
      <c r="L16" s="17"/>
      <c r="M16" s="17"/>
      <c r="N16" s="17"/>
      <c r="O16" s="17"/>
      <c r="P16" s="17"/>
      <c r="Q16" s="17"/>
      <c r="R16" s="17"/>
      <c r="S16" s="17"/>
      <c r="T16" s="17"/>
      <c r="U16" s="17"/>
      <c r="V16" s="17"/>
      <c r="W16" s="17"/>
      <c r="X16" s="17"/>
      <c r="Y16" s="17"/>
      <c r="Z16" s="17"/>
    </row>
    <row r="17" ht="14.25" hidden="1" customHeight="1">
      <c r="A17" s="17"/>
      <c r="B17" s="17"/>
      <c r="C17" s="17"/>
      <c r="D17" s="70"/>
      <c r="E17" s="70"/>
      <c r="F17" s="70"/>
      <c r="G17" s="17"/>
      <c r="H17" s="17"/>
      <c r="I17" s="17"/>
      <c r="J17" s="17"/>
      <c r="K17" s="17"/>
      <c r="L17" s="17"/>
      <c r="M17" s="17"/>
      <c r="N17" s="17"/>
      <c r="O17" s="17"/>
      <c r="P17" s="17"/>
      <c r="Q17" s="17"/>
      <c r="R17" s="17"/>
      <c r="S17" s="17"/>
      <c r="T17" s="17"/>
      <c r="U17" s="17"/>
      <c r="V17" s="17"/>
      <c r="W17" s="17"/>
      <c r="X17" s="17"/>
      <c r="Y17" s="17"/>
      <c r="Z17" s="17"/>
    </row>
    <row r="18" ht="14.25" hidden="1" customHeight="1">
      <c r="A18" s="17"/>
      <c r="B18" s="17"/>
      <c r="C18" s="17"/>
      <c r="D18" s="70"/>
      <c r="E18" s="70"/>
      <c r="F18" s="70"/>
      <c r="G18" s="17"/>
      <c r="H18" s="17"/>
      <c r="I18" s="17"/>
      <c r="J18" s="17"/>
      <c r="K18" s="17"/>
      <c r="L18" s="17"/>
      <c r="M18" s="17"/>
      <c r="N18" s="17"/>
      <c r="O18" s="17"/>
      <c r="P18" s="17"/>
      <c r="Q18" s="17"/>
      <c r="R18" s="17"/>
      <c r="S18" s="17"/>
      <c r="T18" s="17"/>
      <c r="U18" s="17"/>
      <c r="V18" s="17"/>
      <c r="W18" s="17"/>
      <c r="X18" s="17"/>
      <c r="Y18" s="17"/>
      <c r="Z18" s="17"/>
    </row>
    <row r="19" ht="20.25" hidden="1" customHeight="1">
      <c r="A19" s="17"/>
      <c r="B19" s="17"/>
      <c r="C19" s="17"/>
      <c r="D19" s="70"/>
      <c r="E19" s="70"/>
      <c r="F19" s="70"/>
      <c r="G19" s="17"/>
      <c r="H19" s="17"/>
      <c r="I19" s="17"/>
      <c r="J19" s="17"/>
      <c r="K19" s="17"/>
      <c r="L19" s="17"/>
      <c r="M19" s="17"/>
      <c r="N19" s="17"/>
      <c r="O19" s="17"/>
      <c r="P19" s="17"/>
      <c r="Q19" s="17"/>
      <c r="R19" s="17"/>
      <c r="S19" s="17"/>
      <c r="T19" s="17"/>
      <c r="U19" s="17"/>
      <c r="V19" s="17"/>
      <c r="W19" s="17"/>
      <c r="X19" s="17"/>
      <c r="Y19" s="17"/>
      <c r="Z19" s="17"/>
    </row>
    <row r="20" ht="14.25" customHeight="1">
      <c r="A20" s="17"/>
      <c r="B20" s="17"/>
      <c r="C20" s="17"/>
      <c r="D20" s="119" t="s">
        <v>232</v>
      </c>
      <c r="E20" s="70"/>
      <c r="F20" s="70"/>
      <c r="G20" s="17"/>
      <c r="H20" s="17"/>
      <c r="I20" s="17"/>
      <c r="J20" s="17"/>
      <c r="K20" s="17"/>
      <c r="L20" s="17"/>
      <c r="M20" s="17"/>
      <c r="N20" s="17"/>
      <c r="O20" s="17"/>
      <c r="P20" s="17"/>
      <c r="Q20" s="17"/>
      <c r="R20" s="17"/>
      <c r="S20" s="17"/>
      <c r="T20" s="17"/>
      <c r="U20" s="17"/>
      <c r="V20" s="17"/>
      <c r="W20" s="17"/>
      <c r="X20" s="17"/>
      <c r="Y20" s="17"/>
      <c r="Z20" s="17"/>
    </row>
    <row r="21" ht="19.5" customHeight="1">
      <c r="A21" s="17"/>
      <c r="B21" s="17"/>
      <c r="C21" s="17"/>
      <c r="D21" s="120"/>
      <c r="E21" s="121">
        <f>IF('Step 2'!H23="","",IF('Step 2'!H23&lt;&gt;"",COUNTIF('Step 2'!$G$23:$G$26,"Yes"),1))</f>
        <v>1</v>
      </c>
      <c r="F21" s="21"/>
      <c r="G21" s="17"/>
      <c r="H21" s="17"/>
      <c r="I21" s="17"/>
      <c r="J21" s="17"/>
      <c r="K21" s="17"/>
      <c r="L21" s="17"/>
      <c r="M21" s="17"/>
      <c r="N21" s="17"/>
      <c r="O21" s="17"/>
      <c r="P21" s="17"/>
      <c r="Q21" s="17"/>
      <c r="R21" s="17"/>
      <c r="S21" s="17"/>
      <c r="T21" s="17"/>
      <c r="U21" s="17"/>
      <c r="V21" s="17"/>
      <c r="W21" s="17"/>
      <c r="X21" s="17"/>
      <c r="Y21" s="17"/>
      <c r="Z21" s="17"/>
    </row>
    <row r="22" ht="27.0" customHeight="1">
      <c r="A22" s="17"/>
      <c r="B22" s="17"/>
      <c r="C22" s="17"/>
      <c r="D22" s="122" t="s">
        <v>238</v>
      </c>
      <c r="E22" s="123" t="s">
        <v>13</v>
      </c>
      <c r="F22" s="96"/>
      <c r="G22" s="17"/>
      <c r="H22" s="17"/>
      <c r="I22" s="17"/>
      <c r="J22" s="17"/>
      <c r="K22" s="17"/>
      <c r="L22" s="17"/>
      <c r="M22" s="17"/>
      <c r="N22" s="17"/>
      <c r="O22" s="17"/>
      <c r="P22" s="17"/>
      <c r="Q22" s="17"/>
      <c r="R22" s="17"/>
      <c r="S22" s="17"/>
      <c r="T22" s="17"/>
      <c r="U22" s="17"/>
      <c r="V22" s="17"/>
      <c r="W22" s="17"/>
      <c r="X22" s="17"/>
      <c r="Y22" s="17"/>
      <c r="Z22" s="17"/>
    </row>
    <row r="23" ht="57.0" customHeight="1">
      <c r="A23" s="17"/>
      <c r="B23" s="17"/>
      <c r="C23" s="17"/>
      <c r="D23" s="104" t="s">
        <v>239</v>
      </c>
      <c r="E23" s="61"/>
      <c r="F23" s="21"/>
      <c r="G23" s="17"/>
      <c r="H23" s="17"/>
      <c r="I23" s="17"/>
      <c r="J23" s="17"/>
      <c r="K23" s="17"/>
      <c r="L23" s="17"/>
      <c r="M23" s="17"/>
      <c r="N23" s="17"/>
      <c r="O23" s="17"/>
      <c r="P23" s="17"/>
      <c r="Q23" s="17"/>
      <c r="R23" s="17"/>
      <c r="S23" s="17"/>
      <c r="T23" s="17"/>
      <c r="U23" s="17"/>
      <c r="V23" s="17"/>
      <c r="W23" s="17"/>
      <c r="X23" s="17"/>
      <c r="Y23" s="17"/>
      <c r="Z23" s="17"/>
    </row>
    <row r="24" ht="28.5" hidden="1" customHeight="1">
      <c r="A24" s="17"/>
      <c r="B24" s="17"/>
      <c r="C24" s="17"/>
      <c r="D24" s="124"/>
      <c r="E24" s="124"/>
      <c r="F24" s="124"/>
      <c r="G24" s="17"/>
      <c r="H24" s="17"/>
      <c r="I24" s="17"/>
      <c r="J24" s="17"/>
      <c r="K24" s="17"/>
      <c r="L24" s="17"/>
      <c r="M24" s="17"/>
      <c r="N24" s="17"/>
      <c r="O24" s="17"/>
      <c r="P24" s="17"/>
      <c r="Q24" s="17"/>
      <c r="R24" s="17"/>
      <c r="S24" s="17"/>
      <c r="T24" s="17"/>
      <c r="U24" s="17"/>
      <c r="V24" s="17"/>
      <c r="W24" s="17"/>
      <c r="X24" s="17"/>
      <c r="Y24" s="17"/>
      <c r="Z24" s="17"/>
    </row>
    <row r="25" ht="28.5" hidden="1" customHeight="1">
      <c r="A25" s="17"/>
      <c r="B25" s="17"/>
      <c r="C25" s="17"/>
      <c r="D25" s="125" t="s">
        <v>240</v>
      </c>
      <c r="E25" s="126"/>
      <c r="F25" s="126"/>
      <c r="G25" s="126"/>
      <c r="H25" s="127"/>
      <c r="I25" s="17"/>
      <c r="J25" s="17"/>
      <c r="K25" s="17"/>
      <c r="L25" s="17"/>
      <c r="M25" s="17"/>
      <c r="N25" s="17"/>
      <c r="O25" s="17"/>
      <c r="P25" s="17"/>
      <c r="Q25" s="17"/>
      <c r="R25" s="17"/>
      <c r="S25" s="17"/>
      <c r="T25" s="17"/>
      <c r="U25" s="17"/>
      <c r="V25" s="17"/>
      <c r="W25" s="17"/>
      <c r="X25" s="17"/>
      <c r="Y25" s="17"/>
      <c r="Z25" s="17"/>
    </row>
    <row r="26" ht="28.5" hidden="1" customHeight="1">
      <c r="A26" s="17"/>
      <c r="B26" s="17"/>
      <c r="C26" s="17"/>
      <c r="D26" s="128" t="s">
        <v>241</v>
      </c>
      <c r="E26" s="128" t="s">
        <v>242</v>
      </c>
      <c r="F26" s="128" t="s">
        <v>243</v>
      </c>
      <c r="G26" s="128" t="s">
        <v>244</v>
      </c>
      <c r="H26" s="128" t="s">
        <v>245</v>
      </c>
      <c r="I26" s="17"/>
      <c r="J26" s="17"/>
      <c r="K26" s="17"/>
      <c r="L26" s="17"/>
      <c r="M26" s="17"/>
      <c r="N26" s="17"/>
      <c r="O26" s="17"/>
      <c r="P26" s="17"/>
      <c r="Q26" s="17"/>
      <c r="R26" s="17"/>
      <c r="S26" s="17"/>
      <c r="T26" s="17"/>
      <c r="U26" s="17"/>
      <c r="V26" s="17"/>
      <c r="W26" s="17"/>
      <c r="X26" s="17"/>
      <c r="Y26" s="17"/>
      <c r="Z26" s="17"/>
    </row>
    <row r="27" ht="28.5" hidden="1" customHeight="1">
      <c r="A27" s="17"/>
      <c r="B27" s="17"/>
      <c r="C27" s="17"/>
      <c r="D27" s="26" t="str">
        <f>IFERROR(IF('Step 2'!G23="Yes",'Step 2'!D23,""),"")</f>
        <v>Customer Service for Dental Appointments</v>
      </c>
      <c r="E27" s="129"/>
      <c r="F27" s="129"/>
      <c r="G27" s="129"/>
      <c r="H27" s="129"/>
      <c r="I27" s="17"/>
      <c r="J27" s="17"/>
      <c r="K27" s="17"/>
      <c r="L27" s="17"/>
      <c r="M27" s="17"/>
      <c r="N27" s="17"/>
      <c r="O27" s="17"/>
      <c r="P27" s="17"/>
      <c r="Q27" s="17"/>
      <c r="R27" s="17"/>
      <c r="S27" s="17"/>
      <c r="T27" s="17"/>
      <c r="U27" s="17"/>
      <c r="V27" s="17"/>
      <c r="W27" s="17"/>
      <c r="X27" s="17"/>
      <c r="Y27" s="17"/>
      <c r="Z27" s="17"/>
    </row>
    <row r="28" ht="28.5" hidden="1" customHeight="1">
      <c r="A28" s="17"/>
      <c r="B28" s="17"/>
      <c r="C28" s="17"/>
      <c r="D28" s="26" t="str">
        <f>IFERROR(IF('Step 2'!G24="Yes",'Step 2'!D24,""),"")</f>
        <v/>
      </c>
      <c r="E28" s="129"/>
      <c r="F28" s="129"/>
      <c r="G28" s="129"/>
      <c r="H28" s="129"/>
      <c r="I28" s="17"/>
      <c r="J28" s="17"/>
      <c r="K28" s="17"/>
      <c r="L28" s="17"/>
      <c r="M28" s="17"/>
      <c r="N28" s="17"/>
      <c r="O28" s="17"/>
      <c r="P28" s="17"/>
      <c r="Q28" s="17"/>
      <c r="R28" s="17"/>
      <c r="S28" s="17"/>
      <c r="T28" s="17"/>
      <c r="U28" s="17"/>
      <c r="V28" s="17"/>
      <c r="W28" s="17"/>
      <c r="X28" s="17"/>
      <c r="Y28" s="17"/>
      <c r="Z28" s="17"/>
    </row>
    <row r="29" ht="28.5" hidden="1" customHeight="1">
      <c r="A29" s="17"/>
      <c r="B29" s="17"/>
      <c r="C29" s="17"/>
      <c r="D29" s="26" t="str">
        <f>IFERROR(IF('Step 2'!G25="Yes",'Step 2'!D25,""),"")</f>
        <v/>
      </c>
      <c r="E29" s="129"/>
      <c r="F29" s="129"/>
      <c r="G29" s="129"/>
      <c r="H29" s="129"/>
      <c r="I29" s="17"/>
      <c r="J29" s="17"/>
      <c r="K29" s="17"/>
      <c r="L29" s="17"/>
      <c r="M29" s="17"/>
      <c r="N29" s="17"/>
      <c r="O29" s="17"/>
      <c r="P29" s="17"/>
      <c r="Q29" s="17"/>
      <c r="R29" s="17"/>
      <c r="S29" s="17"/>
      <c r="T29" s="17"/>
      <c r="U29" s="17"/>
      <c r="V29" s="17"/>
      <c r="W29" s="17"/>
      <c r="X29" s="17"/>
      <c r="Y29" s="17"/>
      <c r="Z29" s="17"/>
    </row>
    <row r="30" ht="28.5" customHeight="1">
      <c r="A30" s="17"/>
      <c r="B30" s="17"/>
      <c r="C30" s="17"/>
      <c r="D30" s="124"/>
      <c r="E30" s="124"/>
      <c r="F30" s="124"/>
      <c r="G30" s="17"/>
      <c r="H30" s="17"/>
      <c r="I30" s="17"/>
      <c r="J30" s="17"/>
      <c r="K30" s="17"/>
      <c r="L30" s="17"/>
      <c r="M30" s="17"/>
      <c r="N30" s="17"/>
      <c r="O30" s="17"/>
      <c r="P30" s="17"/>
      <c r="Q30" s="17"/>
      <c r="R30" s="17"/>
      <c r="S30" s="17"/>
      <c r="T30" s="17"/>
      <c r="U30" s="17"/>
      <c r="V30" s="17"/>
      <c r="W30" s="17"/>
      <c r="X30" s="17"/>
      <c r="Y30" s="17"/>
      <c r="Z30" s="17"/>
    </row>
    <row r="31" ht="28.5" hidden="1" customHeight="1">
      <c r="A31" s="17"/>
      <c r="B31" s="17"/>
      <c r="C31" s="17"/>
      <c r="D31" s="124"/>
      <c r="E31" s="124"/>
      <c r="F31" s="124"/>
      <c r="G31" s="17"/>
      <c r="H31" s="17"/>
      <c r="I31" s="17"/>
      <c r="J31" s="17"/>
      <c r="K31" s="17"/>
      <c r="L31" s="17"/>
      <c r="M31" s="17"/>
      <c r="N31" s="17"/>
      <c r="O31" s="17"/>
      <c r="P31" s="17"/>
      <c r="Q31" s="17"/>
      <c r="R31" s="17"/>
      <c r="S31" s="17"/>
      <c r="T31" s="17"/>
      <c r="U31" s="17"/>
      <c r="V31" s="17"/>
      <c r="W31" s="17"/>
      <c r="X31" s="17"/>
      <c r="Y31" s="17"/>
      <c r="Z31" s="17"/>
    </row>
    <row r="32" ht="28.5" hidden="1" customHeight="1">
      <c r="A32" s="17"/>
      <c r="B32" s="17"/>
      <c r="C32" s="17"/>
      <c r="D32" s="124"/>
      <c r="E32" s="124"/>
      <c r="F32" s="124"/>
      <c r="G32" s="17"/>
      <c r="H32" s="17"/>
      <c r="I32" s="17"/>
      <c r="J32" s="17"/>
      <c r="K32" s="17"/>
      <c r="L32" s="17"/>
      <c r="M32" s="17"/>
      <c r="N32" s="17"/>
      <c r="O32" s="17"/>
      <c r="P32" s="17"/>
      <c r="Q32" s="17"/>
      <c r="R32" s="17"/>
      <c r="S32" s="17"/>
      <c r="T32" s="17"/>
      <c r="U32" s="17"/>
      <c r="V32" s="17"/>
      <c r="W32" s="17"/>
      <c r="X32" s="17"/>
      <c r="Y32" s="17"/>
      <c r="Z32" s="17"/>
    </row>
    <row r="33" ht="28.5" hidden="1" customHeight="1">
      <c r="A33" s="17"/>
      <c r="B33" s="17"/>
      <c r="C33" s="17"/>
      <c r="D33" s="124"/>
      <c r="E33" s="124"/>
      <c r="F33" s="124"/>
      <c r="G33" s="17"/>
      <c r="H33" s="17"/>
      <c r="I33" s="17"/>
      <c r="J33" s="17"/>
      <c r="K33" s="17"/>
      <c r="L33" s="17"/>
      <c r="M33" s="17"/>
      <c r="N33" s="17"/>
      <c r="O33" s="17"/>
      <c r="P33" s="17"/>
      <c r="Q33" s="17"/>
      <c r="R33" s="17"/>
      <c r="S33" s="17"/>
      <c r="T33" s="17"/>
      <c r="U33" s="17"/>
      <c r="V33" s="17"/>
      <c r="W33" s="17"/>
      <c r="X33" s="17"/>
      <c r="Y33" s="17"/>
      <c r="Z33" s="17"/>
    </row>
    <row r="34" ht="28.5" hidden="1" customHeight="1">
      <c r="A34" s="17"/>
      <c r="B34" s="17"/>
      <c r="C34" s="17"/>
      <c r="D34" s="124"/>
      <c r="E34" s="124"/>
      <c r="F34" s="124"/>
      <c r="G34" s="17"/>
      <c r="H34" s="17"/>
      <c r="I34" s="17"/>
      <c r="J34" s="17"/>
      <c r="K34" s="17"/>
      <c r="L34" s="17"/>
      <c r="M34" s="17"/>
      <c r="N34" s="17"/>
      <c r="O34" s="17"/>
      <c r="P34" s="17"/>
      <c r="Q34" s="17"/>
      <c r="R34" s="17"/>
      <c r="S34" s="17"/>
      <c r="T34" s="17"/>
      <c r="U34" s="17"/>
      <c r="V34" s="17"/>
      <c r="W34" s="17"/>
      <c r="X34" s="17"/>
      <c r="Y34" s="17"/>
      <c r="Z34" s="17"/>
    </row>
    <row r="35" ht="13.5" customHeight="1">
      <c r="A35" s="17"/>
      <c r="B35" s="17"/>
      <c r="C35" s="17"/>
      <c r="D35" s="70"/>
      <c r="E35" s="124"/>
      <c r="F35" s="124"/>
      <c r="G35" s="17"/>
      <c r="H35" s="17"/>
      <c r="I35" s="17"/>
      <c r="J35" s="17"/>
      <c r="K35" s="17"/>
      <c r="L35" s="17"/>
      <c r="M35" s="17"/>
      <c r="N35" s="17"/>
      <c r="O35" s="17"/>
      <c r="P35" s="17"/>
      <c r="Q35" s="17"/>
      <c r="R35" s="17"/>
      <c r="S35" s="17"/>
      <c r="T35" s="17"/>
      <c r="U35" s="17"/>
      <c r="V35" s="17"/>
      <c r="W35" s="17"/>
      <c r="X35" s="17"/>
      <c r="Y35" s="17"/>
      <c r="Z35" s="17"/>
    </row>
    <row r="36" ht="13.5" customHeight="1">
      <c r="A36" s="17"/>
      <c r="B36" s="17"/>
      <c r="C36" s="17"/>
      <c r="D36" s="17"/>
      <c r="E36" s="70"/>
      <c r="F36" s="70"/>
      <c r="G36" s="17"/>
      <c r="H36" s="17"/>
      <c r="I36" s="17"/>
      <c r="J36" s="17"/>
      <c r="K36" s="17"/>
      <c r="L36" s="17"/>
      <c r="M36" s="17"/>
      <c r="N36" s="17"/>
      <c r="O36" s="17"/>
      <c r="P36" s="17"/>
      <c r="Q36" s="17"/>
      <c r="R36" s="17"/>
      <c r="S36" s="17"/>
      <c r="T36" s="17"/>
      <c r="U36" s="17"/>
      <c r="V36" s="17"/>
      <c r="W36" s="17"/>
      <c r="X36" s="17"/>
      <c r="Y36" s="17"/>
      <c r="Z36" s="17"/>
    </row>
    <row r="37" ht="13.5" customHeight="1">
      <c r="A37" s="17"/>
      <c r="B37" s="17"/>
      <c r="C37" s="17"/>
      <c r="D37" s="117" t="s">
        <v>246</v>
      </c>
      <c r="E37" s="73"/>
      <c r="F37" s="74"/>
      <c r="G37" s="17"/>
      <c r="H37" s="17"/>
      <c r="I37" s="17"/>
      <c r="J37" s="17"/>
      <c r="K37" s="17"/>
      <c r="L37" s="17"/>
      <c r="M37" s="17"/>
      <c r="N37" s="17"/>
      <c r="O37" s="17"/>
      <c r="P37" s="17"/>
      <c r="Q37" s="17"/>
      <c r="R37" s="17"/>
      <c r="S37" s="17"/>
      <c r="T37" s="17"/>
      <c r="U37" s="17"/>
      <c r="V37" s="17"/>
      <c r="W37" s="17"/>
      <c r="X37" s="17"/>
      <c r="Y37" s="17"/>
      <c r="Z37" s="17"/>
    </row>
    <row r="38" ht="36.0" customHeight="1">
      <c r="A38" s="17"/>
      <c r="B38" s="17"/>
      <c r="C38" s="17"/>
      <c r="D38" s="128" t="s">
        <v>247</v>
      </c>
      <c r="E38" s="130" t="s">
        <v>13</v>
      </c>
      <c r="F38" s="25"/>
      <c r="G38" s="17"/>
      <c r="H38" s="17"/>
      <c r="I38" s="17"/>
      <c r="J38" s="17"/>
      <c r="K38" s="17"/>
      <c r="L38" s="17"/>
      <c r="M38" s="17"/>
      <c r="N38" s="17"/>
      <c r="O38" s="17"/>
      <c r="P38" s="17"/>
      <c r="Q38" s="17"/>
      <c r="R38" s="17"/>
      <c r="S38" s="17"/>
      <c r="T38" s="17"/>
      <c r="U38" s="17"/>
      <c r="V38" s="17"/>
      <c r="W38" s="17"/>
      <c r="X38" s="17"/>
      <c r="Y38" s="17"/>
      <c r="Z38" s="17"/>
    </row>
    <row r="39" ht="48.0" customHeight="1">
      <c r="A39" s="17"/>
      <c r="B39" s="17"/>
      <c r="C39" s="17"/>
      <c r="D39" s="118" t="s">
        <v>248</v>
      </c>
      <c r="E39" s="85"/>
      <c r="F39" s="25"/>
      <c r="G39" s="17"/>
      <c r="H39" s="17"/>
      <c r="I39" s="17"/>
      <c r="J39" s="17"/>
      <c r="K39" s="17"/>
      <c r="L39" s="17"/>
      <c r="M39" s="17"/>
      <c r="N39" s="17"/>
      <c r="O39" s="17"/>
      <c r="P39" s="17"/>
      <c r="Q39" s="17"/>
      <c r="R39" s="17"/>
      <c r="S39" s="17"/>
      <c r="T39" s="17"/>
      <c r="U39" s="17"/>
      <c r="V39" s="17"/>
      <c r="W39" s="17"/>
      <c r="X39" s="17"/>
      <c r="Y39" s="17"/>
      <c r="Z39" s="17"/>
    </row>
    <row r="40" ht="13.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11">
    <mergeCell ref="D23:F23"/>
    <mergeCell ref="D37:F37"/>
    <mergeCell ref="E38:F38"/>
    <mergeCell ref="D39:F39"/>
    <mergeCell ref="D7:F7"/>
    <mergeCell ref="D8:F8"/>
    <mergeCell ref="D9:F9"/>
    <mergeCell ref="D20:D21"/>
    <mergeCell ref="E21:F21"/>
    <mergeCell ref="E22:F22"/>
    <mergeCell ref="D25:H25"/>
  </mergeCells>
  <conditionalFormatting sqref="D23:F23 D39:F39 E22:F22 E38:F38">
    <cfRule type="cellIs" dxfId="2" priority="1" operator="equal">
      <formula>$A$5</formula>
    </cfRule>
  </conditionalFormatting>
  <dataValidations>
    <dataValidation type="list" allowBlank="1" showErrorMessage="1" sqref="E27:E29">
      <formula1>Mapping!$K$2:$K$5</formula1>
    </dataValidation>
    <dataValidation type="list" allowBlank="1" showErrorMessage="1" sqref="E22 E38">
      <formula1>Mapping!$A$2:$A$4</formula1>
    </dataValidation>
    <dataValidation type="list" allowBlank="1" showErrorMessage="1" sqref="L19">
      <formula1>"High,Medium,Low"</formula1>
    </dataValidation>
  </dataValidations>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2" width="9.14"/>
    <col customWidth="1" min="3" max="3" width="4.14"/>
    <col customWidth="1" min="4" max="4" width="48.14"/>
    <col customWidth="1" min="5" max="5" width="17.71"/>
    <col customWidth="1" min="6" max="6" width="39.86"/>
    <col customWidth="1" min="7" max="7" width="9.14"/>
    <col customWidth="1" min="8" max="8" width="31.57"/>
    <col customWidth="1" min="9" max="9" width="13.43"/>
    <col customWidth="1" min="10"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17" t="s">
        <v>249</v>
      </c>
      <c r="E7" s="73"/>
      <c r="F7" s="73"/>
      <c r="G7" s="73"/>
      <c r="H7" s="74"/>
      <c r="I7" s="17"/>
      <c r="J7" s="17"/>
      <c r="K7" s="17"/>
      <c r="L7" s="17"/>
      <c r="M7" s="17"/>
      <c r="N7" s="17"/>
      <c r="O7" s="17"/>
      <c r="P7" s="17"/>
      <c r="Q7" s="17"/>
      <c r="R7" s="17"/>
      <c r="S7" s="17"/>
      <c r="T7" s="17"/>
      <c r="U7" s="17"/>
      <c r="V7" s="17"/>
      <c r="W7" s="17"/>
      <c r="X7" s="17"/>
      <c r="Y7" s="17"/>
      <c r="Z7" s="17"/>
    </row>
    <row r="8" ht="39.0" customHeight="1">
      <c r="A8" s="17"/>
      <c r="B8" s="17"/>
      <c r="C8" s="17"/>
      <c r="D8" s="131" t="s">
        <v>250</v>
      </c>
      <c r="E8" s="73"/>
      <c r="F8" s="73"/>
      <c r="G8" s="73"/>
      <c r="H8" s="74"/>
      <c r="I8" s="17"/>
      <c r="J8" s="17"/>
      <c r="K8" s="17"/>
      <c r="L8" s="17"/>
      <c r="M8" s="17"/>
      <c r="N8" s="17"/>
      <c r="O8" s="17"/>
      <c r="P8" s="17"/>
      <c r="Q8" s="17"/>
      <c r="R8" s="17"/>
      <c r="S8" s="17"/>
      <c r="T8" s="17"/>
      <c r="U8" s="17"/>
      <c r="V8" s="17"/>
      <c r="W8" s="17"/>
      <c r="X8" s="17"/>
      <c r="Y8" s="17"/>
      <c r="Z8" s="17"/>
    </row>
    <row r="9" ht="14.25" customHeight="1">
      <c r="A9" s="17"/>
      <c r="B9" s="17"/>
      <c r="C9" s="17"/>
      <c r="D9" s="117" t="s">
        <v>251</v>
      </c>
      <c r="E9" s="73"/>
      <c r="F9" s="73"/>
      <c r="G9" s="73"/>
      <c r="H9" s="74"/>
      <c r="I9" s="17"/>
      <c r="J9" s="17"/>
      <c r="K9" s="17"/>
      <c r="L9" s="17"/>
      <c r="M9" s="17"/>
      <c r="N9" s="17"/>
      <c r="O9" s="17"/>
      <c r="P9" s="17"/>
      <c r="Q9" s="17"/>
      <c r="R9" s="17"/>
      <c r="S9" s="17"/>
      <c r="T9" s="17"/>
      <c r="U9" s="17"/>
      <c r="V9" s="17"/>
      <c r="W9" s="17"/>
      <c r="X9" s="17"/>
      <c r="Y9" s="17"/>
      <c r="Z9" s="17"/>
    </row>
    <row r="10" ht="33.0" customHeight="1">
      <c r="A10" s="17"/>
      <c r="B10" s="17"/>
      <c r="C10" s="17"/>
      <c r="D10" s="117" t="s">
        <v>252</v>
      </c>
      <c r="E10" s="73"/>
      <c r="F10" s="73"/>
      <c r="G10" s="73"/>
      <c r="H10" s="74"/>
      <c r="I10" s="17"/>
      <c r="J10" s="17"/>
      <c r="K10" s="17"/>
      <c r="L10" s="17"/>
      <c r="M10" s="17"/>
      <c r="N10" s="17"/>
      <c r="O10" s="17"/>
      <c r="P10" s="17"/>
      <c r="Q10" s="17"/>
      <c r="R10" s="17"/>
      <c r="S10" s="17"/>
      <c r="T10" s="17"/>
      <c r="U10" s="17"/>
      <c r="V10" s="17"/>
      <c r="W10" s="17"/>
      <c r="X10" s="17"/>
      <c r="Y10" s="17"/>
      <c r="Z10" s="17"/>
    </row>
    <row r="11" ht="30.0" customHeight="1">
      <c r="A11" s="17"/>
      <c r="B11" s="17"/>
      <c r="C11" s="17"/>
      <c r="D11" s="132" t="s">
        <v>253</v>
      </c>
      <c r="E11" s="131" t="s">
        <v>254</v>
      </c>
      <c r="F11" s="73"/>
      <c r="G11" s="73"/>
      <c r="H11" s="74"/>
      <c r="I11" s="17"/>
      <c r="J11" s="17"/>
      <c r="K11" s="17"/>
      <c r="L11" s="17"/>
      <c r="M11" s="17"/>
      <c r="N11" s="17"/>
      <c r="O11" s="17"/>
      <c r="P11" s="17"/>
      <c r="Q11" s="17"/>
      <c r="R11" s="17"/>
      <c r="S11" s="17"/>
      <c r="T11" s="17"/>
      <c r="U11" s="17"/>
      <c r="V11" s="17"/>
      <c r="W11" s="17"/>
      <c r="X11" s="17"/>
      <c r="Y11" s="17"/>
      <c r="Z11" s="17"/>
    </row>
    <row r="12" ht="30.0" customHeight="1">
      <c r="A12" s="17"/>
      <c r="B12" s="17"/>
      <c r="C12" s="17"/>
      <c r="D12" s="132" t="s">
        <v>255</v>
      </c>
      <c r="E12" s="133" t="s">
        <v>256</v>
      </c>
      <c r="F12" s="134"/>
      <c r="G12" s="134"/>
      <c r="H12" s="135"/>
      <c r="I12" s="17"/>
      <c r="J12" s="17"/>
      <c r="K12" s="17"/>
      <c r="L12" s="17"/>
      <c r="M12" s="17"/>
      <c r="N12" s="17"/>
      <c r="O12" s="17"/>
      <c r="P12" s="17"/>
      <c r="Q12" s="17"/>
      <c r="R12" s="17"/>
      <c r="S12" s="17"/>
      <c r="T12" s="17"/>
      <c r="U12" s="17"/>
      <c r="V12" s="17"/>
      <c r="W12" s="17"/>
      <c r="X12" s="17"/>
      <c r="Y12" s="17"/>
      <c r="Z12" s="17"/>
    </row>
    <row r="13" ht="30.0" customHeight="1">
      <c r="A13" s="17"/>
      <c r="B13" s="17"/>
      <c r="C13" s="17"/>
      <c r="D13" s="132" t="s">
        <v>257</v>
      </c>
      <c r="E13" s="136" t="s">
        <v>258</v>
      </c>
      <c r="F13" s="73"/>
      <c r="G13" s="73"/>
      <c r="H13" s="74"/>
      <c r="I13" s="17"/>
      <c r="J13" s="17"/>
      <c r="K13" s="17"/>
      <c r="L13" s="17"/>
      <c r="M13" s="17"/>
      <c r="N13" s="17"/>
      <c r="O13" s="17"/>
      <c r="P13" s="17"/>
      <c r="Q13" s="17"/>
      <c r="R13" s="17"/>
      <c r="S13" s="17"/>
      <c r="T13" s="17"/>
      <c r="U13" s="17"/>
      <c r="V13" s="17"/>
      <c r="W13" s="17"/>
      <c r="X13" s="17"/>
      <c r="Y13" s="17"/>
      <c r="Z13" s="17"/>
    </row>
    <row r="14" ht="14.25" customHeight="1">
      <c r="A14" s="17"/>
      <c r="B14" s="17"/>
      <c r="C14" s="17"/>
      <c r="D14" s="70"/>
      <c r="E14" s="70"/>
      <c r="F14" s="70"/>
      <c r="G14" s="70"/>
      <c r="H14" s="70"/>
      <c r="I14" s="17"/>
      <c r="J14" s="17"/>
      <c r="K14" s="17"/>
      <c r="L14" s="17"/>
      <c r="M14" s="17"/>
      <c r="N14" s="17"/>
      <c r="O14" s="17"/>
      <c r="P14" s="17"/>
      <c r="Q14" s="17"/>
      <c r="R14" s="17"/>
      <c r="S14" s="17"/>
      <c r="T14" s="17"/>
      <c r="U14" s="17"/>
      <c r="V14" s="17"/>
      <c r="W14" s="17"/>
      <c r="X14" s="17"/>
      <c r="Y14" s="17"/>
      <c r="Z14" s="17"/>
    </row>
    <row r="15" ht="13.5" customHeight="1">
      <c r="A15" s="17"/>
      <c r="B15" s="17"/>
      <c r="C15" s="17"/>
      <c r="D15" s="70"/>
      <c r="E15" s="70"/>
      <c r="F15" s="70"/>
      <c r="G15" s="70"/>
      <c r="H15" s="70"/>
      <c r="I15" s="17"/>
      <c r="J15" s="17"/>
      <c r="K15" s="17"/>
      <c r="L15" s="17"/>
      <c r="M15" s="17"/>
      <c r="N15" s="17"/>
      <c r="O15" s="17"/>
      <c r="P15" s="17"/>
      <c r="Q15" s="17"/>
      <c r="R15" s="17"/>
      <c r="S15" s="17"/>
      <c r="T15" s="17"/>
      <c r="U15" s="17"/>
      <c r="V15" s="17"/>
      <c r="W15" s="17"/>
      <c r="X15" s="17"/>
      <c r="Y15" s="17"/>
      <c r="Z15" s="17"/>
    </row>
    <row r="16" ht="13.5" customHeight="1">
      <c r="A16" s="17"/>
      <c r="B16" s="17"/>
      <c r="C16" s="17"/>
      <c r="D16" s="137" t="s">
        <v>259</v>
      </c>
      <c r="E16" s="132" t="s">
        <v>146</v>
      </c>
      <c r="F16" s="132" t="s">
        <v>154</v>
      </c>
      <c r="G16" s="132" t="s">
        <v>260</v>
      </c>
      <c r="H16" s="132" t="s">
        <v>156</v>
      </c>
      <c r="I16" s="17"/>
      <c r="J16" s="17"/>
      <c r="K16" s="17"/>
      <c r="L16" s="17"/>
      <c r="M16" s="17"/>
      <c r="N16" s="17"/>
      <c r="O16" s="17"/>
      <c r="P16" s="17"/>
      <c r="Q16" s="17"/>
      <c r="R16" s="17"/>
      <c r="S16" s="17"/>
      <c r="T16" s="17"/>
      <c r="U16" s="17"/>
      <c r="V16" s="17"/>
      <c r="W16" s="17"/>
      <c r="X16" s="17"/>
      <c r="Y16" s="17"/>
      <c r="Z16" s="17"/>
    </row>
    <row r="17" ht="49.5" customHeight="1">
      <c r="A17" s="17"/>
      <c r="B17" s="17"/>
      <c r="C17" s="17"/>
      <c r="D17" s="138" t="s">
        <v>157</v>
      </c>
      <c r="E17" s="138" t="s">
        <v>6</v>
      </c>
      <c r="F17" s="138" t="s">
        <v>20</v>
      </c>
      <c r="G17" s="138" t="s">
        <v>20</v>
      </c>
      <c r="H17" s="138" t="str">
        <f t="shared" ref="H17:H20" si="1">IF(COUNTA(E17:G17)&gt;=3,IF(OR(E17="Yes",F17="Yes",G17="Yes")=TRUE,"Performance obligation is satisfied over time",IF(COUNTA(E17:G17)=0,"","Performance obligation is satisfied at a point in time.")),"")</f>
        <v>Performance obligation is satisfied over time</v>
      </c>
      <c r="I17" s="17"/>
      <c r="J17" s="17"/>
      <c r="K17" s="17"/>
      <c r="L17" s="17"/>
      <c r="M17" s="17"/>
      <c r="N17" s="17"/>
      <c r="O17" s="17"/>
      <c r="P17" s="17"/>
      <c r="Q17" s="17"/>
      <c r="R17" s="17"/>
      <c r="S17" s="17"/>
      <c r="T17" s="17"/>
      <c r="U17" s="17"/>
      <c r="V17" s="17"/>
      <c r="W17" s="17"/>
      <c r="X17" s="17"/>
      <c r="Y17" s="17"/>
      <c r="Z17" s="17"/>
    </row>
    <row r="18" ht="49.5" customHeight="1">
      <c r="A18" s="17"/>
      <c r="B18" s="17"/>
      <c r="C18" s="17"/>
      <c r="D18" s="138"/>
      <c r="E18" s="138"/>
      <c r="F18" s="138"/>
      <c r="G18" s="138"/>
      <c r="H18" s="138" t="str">
        <f t="shared" si="1"/>
        <v/>
      </c>
      <c r="I18" s="17"/>
      <c r="J18" s="17"/>
      <c r="K18" s="17"/>
      <c r="L18" s="17"/>
      <c r="M18" s="17"/>
      <c r="N18" s="17"/>
      <c r="O18" s="17"/>
      <c r="P18" s="17"/>
      <c r="Q18" s="17"/>
      <c r="R18" s="17"/>
      <c r="S18" s="17"/>
      <c r="T18" s="17"/>
      <c r="U18" s="17"/>
      <c r="V18" s="17"/>
      <c r="W18" s="17"/>
      <c r="X18" s="17"/>
      <c r="Y18" s="17"/>
      <c r="Z18" s="17"/>
    </row>
    <row r="19" ht="49.5" customHeight="1">
      <c r="A19" s="17"/>
      <c r="B19" s="17"/>
      <c r="C19" s="17"/>
      <c r="D19" s="138"/>
      <c r="E19" s="17"/>
      <c r="F19" s="138"/>
      <c r="G19" s="138"/>
      <c r="H19" s="138" t="str">
        <f t="shared" si="1"/>
        <v/>
      </c>
      <c r="I19" s="17"/>
      <c r="J19" s="17"/>
      <c r="K19" s="17"/>
      <c r="L19" s="17"/>
      <c r="M19" s="17"/>
      <c r="N19" s="17"/>
      <c r="O19" s="17"/>
      <c r="P19" s="17"/>
      <c r="Q19" s="17"/>
      <c r="R19" s="17"/>
      <c r="S19" s="17"/>
      <c r="T19" s="17"/>
      <c r="U19" s="17"/>
      <c r="V19" s="17"/>
      <c r="W19" s="17"/>
      <c r="X19" s="17"/>
      <c r="Y19" s="17"/>
      <c r="Z19" s="17"/>
    </row>
    <row r="20" ht="49.5" customHeight="1">
      <c r="A20" s="17"/>
      <c r="B20" s="17"/>
      <c r="C20" s="17"/>
      <c r="D20" s="138"/>
      <c r="E20" s="138"/>
      <c r="F20" s="138"/>
      <c r="G20" s="138"/>
      <c r="H20" s="138" t="str">
        <f t="shared" si="1"/>
        <v/>
      </c>
      <c r="I20" s="17"/>
      <c r="J20" s="17"/>
      <c r="K20" s="17"/>
      <c r="L20" s="17"/>
      <c r="M20" s="17"/>
      <c r="N20" s="17"/>
      <c r="O20" s="17"/>
      <c r="P20" s="17"/>
      <c r="Q20" s="17"/>
      <c r="R20" s="17"/>
      <c r="S20" s="17"/>
      <c r="T20" s="17"/>
      <c r="U20" s="17"/>
      <c r="V20" s="17"/>
      <c r="W20" s="17"/>
      <c r="X20" s="17"/>
      <c r="Y20" s="17"/>
      <c r="Z20" s="17"/>
    </row>
    <row r="21" ht="19.5" customHeight="1">
      <c r="A21" s="17"/>
      <c r="B21" s="17"/>
      <c r="C21" s="17"/>
      <c r="D21" s="139"/>
      <c r="E21" s="140"/>
      <c r="F21" s="140"/>
      <c r="G21" s="140"/>
      <c r="H21" s="141"/>
      <c r="I21" s="17"/>
      <c r="J21" s="17"/>
      <c r="K21" s="17"/>
      <c r="L21" s="17"/>
      <c r="M21" s="17"/>
      <c r="N21" s="17"/>
      <c r="O21" s="17"/>
      <c r="P21" s="17"/>
      <c r="Q21" s="17"/>
      <c r="R21" s="17"/>
      <c r="S21" s="17"/>
      <c r="T21" s="17"/>
      <c r="U21" s="17"/>
      <c r="V21" s="17"/>
      <c r="W21" s="17"/>
      <c r="X21" s="17"/>
      <c r="Y21" s="17"/>
      <c r="Z21" s="17"/>
    </row>
    <row r="22" ht="33.0" customHeight="1">
      <c r="A22" s="17"/>
      <c r="B22" s="17"/>
      <c r="C22" s="17"/>
      <c r="D22" s="142" t="s">
        <v>261</v>
      </c>
      <c r="E22" s="143"/>
      <c r="F22" s="143"/>
      <c r="G22" s="143"/>
      <c r="H22" s="144"/>
      <c r="I22" s="145" t="str">
        <f>IF(COUNTIF($E$17:$G$20,"Yes")&gt;0,"Yes","")</f>
        <v>Yes</v>
      </c>
      <c r="J22" s="17"/>
      <c r="K22" s="17"/>
      <c r="L22" s="17"/>
      <c r="M22" s="17"/>
      <c r="N22" s="17"/>
      <c r="O22" s="17"/>
      <c r="P22" s="17"/>
      <c r="Q22" s="17"/>
      <c r="R22" s="17"/>
      <c r="S22" s="17"/>
      <c r="T22" s="17"/>
      <c r="U22" s="17"/>
      <c r="V22" s="17"/>
      <c r="W22" s="17"/>
      <c r="X22" s="17"/>
      <c r="Y22" s="17"/>
      <c r="Z22" s="17"/>
    </row>
    <row r="23" ht="19.5" customHeight="1">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ht="36.75" customHeight="1">
      <c r="A24" s="17"/>
      <c r="B24" s="17"/>
      <c r="C24" s="17"/>
      <c r="D24" s="142" t="s">
        <v>262</v>
      </c>
      <c r="E24" s="143"/>
      <c r="F24" s="143"/>
      <c r="G24" s="143"/>
      <c r="H24" s="144"/>
      <c r="I24" s="145" t="s">
        <v>20</v>
      </c>
      <c r="J24" s="17"/>
      <c r="K24" s="17"/>
      <c r="L24" s="17"/>
      <c r="M24" s="17"/>
      <c r="N24" s="17"/>
      <c r="O24" s="17"/>
      <c r="P24" s="17"/>
      <c r="Q24" s="17"/>
      <c r="R24" s="17"/>
      <c r="S24" s="17"/>
      <c r="T24" s="17"/>
      <c r="U24" s="17"/>
      <c r="V24" s="17"/>
      <c r="W24" s="17"/>
      <c r="X24" s="17"/>
      <c r="Y24" s="17"/>
      <c r="Z24" s="17"/>
    </row>
    <row r="25" ht="19.5" customHeight="1">
      <c r="A25" s="17"/>
      <c r="B25" s="17"/>
      <c r="C25" s="17"/>
      <c r="D25" s="70"/>
      <c r="E25" s="70"/>
      <c r="F25" s="70"/>
      <c r="G25" s="70"/>
      <c r="H25" s="70"/>
      <c r="I25" s="17"/>
      <c r="J25" s="17"/>
      <c r="K25" s="17"/>
      <c r="L25" s="17"/>
      <c r="M25" s="17"/>
      <c r="N25" s="17"/>
      <c r="O25" s="17"/>
      <c r="P25" s="17"/>
      <c r="Q25" s="17"/>
      <c r="R25" s="17"/>
      <c r="S25" s="17"/>
      <c r="T25" s="17"/>
      <c r="U25" s="17"/>
      <c r="V25" s="17"/>
      <c r="W25" s="17"/>
      <c r="X25" s="17"/>
      <c r="Y25" s="17"/>
      <c r="Z25" s="17"/>
    </row>
    <row r="26" ht="24.75" customHeight="1">
      <c r="A26" s="17"/>
      <c r="B26" s="17"/>
      <c r="C26" s="17"/>
      <c r="D26" s="117" t="s">
        <v>263</v>
      </c>
      <c r="E26" s="73"/>
      <c r="F26" s="73"/>
      <c r="G26" s="73"/>
      <c r="H26" s="74"/>
      <c r="I26" s="17"/>
      <c r="J26" s="17"/>
      <c r="K26" s="17"/>
      <c r="L26" s="17"/>
      <c r="M26" s="17"/>
      <c r="N26" s="17"/>
      <c r="O26" s="17"/>
      <c r="P26" s="17"/>
      <c r="Q26" s="17"/>
      <c r="R26" s="17"/>
      <c r="S26" s="17"/>
      <c r="T26" s="17"/>
      <c r="U26" s="17"/>
      <c r="V26" s="17"/>
      <c r="W26" s="17"/>
      <c r="X26" s="17"/>
      <c r="Y26" s="17"/>
      <c r="Z26" s="17"/>
    </row>
    <row r="27" ht="24.75" customHeight="1">
      <c r="A27" s="17"/>
      <c r="B27" s="17"/>
      <c r="C27" s="17"/>
      <c r="D27" s="117" t="s">
        <v>264</v>
      </c>
      <c r="E27" s="73"/>
      <c r="F27" s="73"/>
      <c r="G27" s="73"/>
      <c r="H27" s="74"/>
      <c r="I27" s="17"/>
      <c r="J27" s="17"/>
      <c r="K27" s="17"/>
      <c r="L27" s="17"/>
      <c r="M27" s="17"/>
      <c r="N27" s="17"/>
      <c r="O27" s="17"/>
      <c r="P27" s="17"/>
      <c r="Q27" s="17"/>
      <c r="R27" s="17"/>
      <c r="S27" s="17"/>
      <c r="T27" s="17"/>
      <c r="U27" s="17"/>
      <c r="V27" s="17"/>
      <c r="W27" s="17"/>
      <c r="X27" s="17"/>
      <c r="Y27" s="17"/>
      <c r="Z27" s="17"/>
    </row>
    <row r="28" ht="24.75" customHeight="1">
      <c r="A28" s="17"/>
      <c r="B28" s="17"/>
      <c r="C28" s="17"/>
      <c r="D28" s="146" t="s">
        <v>265</v>
      </c>
      <c r="E28" s="73"/>
      <c r="F28" s="73"/>
      <c r="G28" s="73"/>
      <c r="H28" s="74"/>
      <c r="I28" s="17"/>
      <c r="J28" s="17"/>
      <c r="K28" s="17"/>
      <c r="L28" s="17"/>
      <c r="M28" s="17"/>
      <c r="N28" s="17"/>
      <c r="O28" s="17"/>
      <c r="P28" s="17"/>
      <c r="Q28" s="17"/>
      <c r="R28" s="17"/>
      <c r="S28" s="17"/>
      <c r="T28" s="17"/>
      <c r="U28" s="17"/>
      <c r="V28" s="17"/>
      <c r="W28" s="17"/>
      <c r="X28" s="17"/>
      <c r="Y28" s="17"/>
      <c r="Z28" s="17"/>
    </row>
    <row r="29" ht="30.0" customHeight="1">
      <c r="A29" s="17"/>
      <c r="B29" s="17"/>
      <c r="C29" s="17"/>
      <c r="D29" s="132" t="s">
        <v>266</v>
      </c>
      <c r="E29" s="133" t="s">
        <v>267</v>
      </c>
      <c r="F29" s="134"/>
      <c r="G29" s="134"/>
      <c r="H29" s="135"/>
      <c r="I29" s="17"/>
      <c r="J29" s="17"/>
      <c r="K29" s="17"/>
      <c r="L29" s="17"/>
      <c r="M29" s="17"/>
      <c r="N29" s="17"/>
      <c r="O29" s="17"/>
      <c r="P29" s="17"/>
      <c r="Q29" s="17"/>
      <c r="R29" s="17"/>
      <c r="S29" s="17"/>
      <c r="T29" s="17"/>
      <c r="U29" s="17"/>
      <c r="V29" s="17"/>
      <c r="W29" s="17"/>
      <c r="X29" s="17"/>
      <c r="Y29" s="17"/>
      <c r="Z29" s="17"/>
    </row>
    <row r="30" ht="30.0" customHeight="1">
      <c r="A30" s="17"/>
      <c r="B30" s="17"/>
      <c r="C30" s="17"/>
      <c r="D30" s="132" t="s">
        <v>268</v>
      </c>
      <c r="E30" s="131" t="s">
        <v>269</v>
      </c>
      <c r="F30" s="73"/>
      <c r="G30" s="73"/>
      <c r="H30" s="74"/>
      <c r="I30" s="17"/>
      <c r="J30" s="17"/>
      <c r="K30" s="17"/>
      <c r="L30" s="17"/>
      <c r="M30" s="17"/>
      <c r="N30" s="17"/>
      <c r="O30" s="17"/>
      <c r="P30" s="17"/>
      <c r="Q30" s="17"/>
      <c r="R30" s="17"/>
      <c r="S30" s="17"/>
      <c r="T30" s="17"/>
      <c r="U30" s="17"/>
      <c r="V30" s="17"/>
      <c r="W30" s="17"/>
      <c r="X30" s="17"/>
      <c r="Y30" s="17"/>
      <c r="Z30" s="17"/>
    </row>
    <row r="31" ht="14.25" customHeight="1">
      <c r="A31" s="17"/>
      <c r="B31" s="17"/>
      <c r="C31" s="17"/>
      <c r="D31" s="70"/>
      <c r="E31" s="70"/>
      <c r="F31" s="70"/>
      <c r="G31" s="70"/>
      <c r="H31" s="70"/>
      <c r="I31" s="17"/>
      <c r="J31" s="17"/>
      <c r="K31" s="17"/>
      <c r="L31" s="17"/>
      <c r="M31" s="17"/>
      <c r="N31" s="17"/>
      <c r="O31" s="17"/>
      <c r="P31" s="17"/>
      <c r="Q31" s="17"/>
      <c r="R31" s="17"/>
      <c r="S31" s="17"/>
      <c r="T31" s="17"/>
      <c r="U31" s="17"/>
      <c r="V31" s="17"/>
      <c r="W31" s="17"/>
      <c r="X31" s="17"/>
      <c r="Y31" s="17"/>
      <c r="Z31" s="17"/>
    </row>
    <row r="32" ht="14.25" customHeight="1">
      <c r="A32" s="17"/>
      <c r="B32" s="17"/>
      <c r="C32" s="17"/>
      <c r="D32" s="70"/>
      <c r="E32" s="70"/>
      <c r="F32" s="70"/>
      <c r="G32" s="70"/>
      <c r="H32" s="70"/>
      <c r="I32" s="17"/>
      <c r="J32" s="17"/>
      <c r="K32" s="17"/>
      <c r="L32" s="17"/>
      <c r="M32" s="17"/>
      <c r="N32" s="17"/>
      <c r="O32" s="17"/>
      <c r="P32" s="17"/>
      <c r="Q32" s="17"/>
      <c r="R32" s="17"/>
      <c r="S32" s="17"/>
      <c r="T32" s="17"/>
      <c r="U32" s="17"/>
      <c r="V32" s="17"/>
      <c r="W32" s="17"/>
      <c r="X32" s="17"/>
      <c r="Y32" s="17"/>
      <c r="Z32" s="17"/>
    </row>
    <row r="33" ht="14.25" customHeight="1">
      <c r="A33" s="17"/>
      <c r="B33" s="17"/>
      <c r="C33" s="17"/>
      <c r="D33" s="132" t="s">
        <v>270</v>
      </c>
      <c r="E33" s="132" t="s">
        <v>271</v>
      </c>
      <c r="F33" s="147" t="s">
        <v>101</v>
      </c>
      <c r="G33" s="134"/>
      <c r="H33" s="135"/>
      <c r="I33" s="17"/>
      <c r="J33" s="17"/>
      <c r="K33" s="17"/>
      <c r="L33" s="17"/>
      <c r="M33" s="17"/>
      <c r="N33" s="17"/>
      <c r="O33" s="17"/>
      <c r="P33" s="17"/>
      <c r="Q33" s="17"/>
      <c r="R33" s="17"/>
      <c r="S33" s="17"/>
      <c r="T33" s="17"/>
      <c r="U33" s="17"/>
      <c r="V33" s="17"/>
      <c r="W33" s="17"/>
      <c r="X33" s="17"/>
      <c r="Y33" s="17"/>
      <c r="Z33" s="17"/>
    </row>
    <row r="34" ht="49.5" customHeight="1">
      <c r="A34" s="148"/>
      <c r="B34" s="148"/>
      <c r="C34" s="148"/>
      <c r="D34" s="149" t="s">
        <v>157</v>
      </c>
      <c r="E34" s="150" t="s">
        <v>21</v>
      </c>
      <c r="F34" s="151" t="s">
        <v>272</v>
      </c>
      <c r="G34" s="73"/>
      <c r="H34" s="74"/>
      <c r="I34" s="148"/>
      <c r="J34" s="148"/>
      <c r="K34" s="148"/>
      <c r="L34" s="148"/>
      <c r="M34" s="148"/>
      <c r="N34" s="148"/>
      <c r="O34" s="148"/>
      <c r="P34" s="148"/>
      <c r="Q34" s="148"/>
      <c r="R34" s="148"/>
      <c r="S34" s="148"/>
      <c r="T34" s="148"/>
      <c r="U34" s="148"/>
      <c r="V34" s="148"/>
      <c r="W34" s="148"/>
      <c r="X34" s="148"/>
      <c r="Y34" s="148"/>
      <c r="Z34" s="148"/>
    </row>
    <row r="35" ht="49.5" customHeight="1">
      <c r="A35" s="17"/>
      <c r="B35" s="17"/>
      <c r="C35" s="17"/>
      <c r="D35" s="149"/>
      <c r="E35" s="149"/>
      <c r="F35" s="131"/>
      <c r="G35" s="73"/>
      <c r="H35" s="74"/>
      <c r="I35" s="17"/>
      <c r="J35" s="17"/>
      <c r="K35" s="17"/>
      <c r="L35" s="17"/>
      <c r="M35" s="17"/>
      <c r="N35" s="17"/>
      <c r="O35" s="17"/>
      <c r="P35" s="17"/>
      <c r="Q35" s="17"/>
      <c r="R35" s="17"/>
      <c r="S35" s="17"/>
      <c r="T35" s="17"/>
      <c r="U35" s="17"/>
      <c r="V35" s="17"/>
      <c r="W35" s="17"/>
      <c r="X35" s="17"/>
      <c r="Y35" s="17"/>
      <c r="Z35" s="17"/>
    </row>
    <row r="36" ht="49.5" customHeight="1">
      <c r="A36" s="17"/>
      <c r="B36" s="17"/>
      <c r="C36" s="17"/>
      <c r="D36" s="149"/>
      <c r="E36" s="149"/>
      <c r="F36" s="131"/>
      <c r="G36" s="73"/>
      <c r="H36" s="74"/>
      <c r="I36" s="17"/>
      <c r="J36" s="17"/>
      <c r="K36" s="17"/>
      <c r="L36" s="17"/>
      <c r="M36" s="17"/>
      <c r="N36" s="17"/>
      <c r="O36" s="17"/>
      <c r="P36" s="17"/>
      <c r="Q36" s="17"/>
      <c r="R36" s="17"/>
      <c r="S36" s="17"/>
      <c r="T36" s="17"/>
      <c r="U36" s="17"/>
      <c r="V36" s="17"/>
      <c r="W36" s="17"/>
      <c r="X36" s="17"/>
      <c r="Y36" s="17"/>
      <c r="Z36" s="17"/>
    </row>
    <row r="37" ht="49.5" customHeight="1">
      <c r="A37" s="17"/>
      <c r="B37" s="17"/>
      <c r="C37" s="17"/>
      <c r="D37" s="149"/>
      <c r="E37" s="149"/>
      <c r="F37" s="131"/>
      <c r="G37" s="73"/>
      <c r="H37" s="74"/>
      <c r="I37" s="17"/>
      <c r="J37" s="17"/>
      <c r="K37" s="17"/>
      <c r="L37" s="17"/>
      <c r="M37" s="17"/>
      <c r="N37" s="17"/>
      <c r="O37" s="17"/>
      <c r="P37" s="17"/>
      <c r="Q37" s="17"/>
      <c r="R37" s="17"/>
      <c r="S37" s="17"/>
      <c r="T37" s="17"/>
      <c r="U37" s="17"/>
      <c r="V37" s="17"/>
      <c r="W37" s="17"/>
      <c r="X37" s="17"/>
      <c r="Y37" s="17"/>
      <c r="Z37" s="17"/>
    </row>
    <row r="38" ht="49.5" customHeight="1">
      <c r="A38" s="17"/>
      <c r="B38" s="17"/>
      <c r="C38" s="17"/>
      <c r="D38" s="149"/>
      <c r="E38" s="149"/>
      <c r="F38" s="131"/>
      <c r="G38" s="73"/>
      <c r="H38" s="74"/>
      <c r="I38" s="17"/>
      <c r="J38" s="17"/>
      <c r="K38" s="17"/>
      <c r="L38" s="17"/>
      <c r="M38" s="17"/>
      <c r="N38" s="17"/>
      <c r="O38" s="17"/>
      <c r="P38" s="17"/>
      <c r="Q38" s="17"/>
      <c r="R38" s="17"/>
      <c r="S38" s="17"/>
      <c r="T38" s="17"/>
      <c r="U38" s="17"/>
      <c r="V38" s="17"/>
      <c r="W38" s="17"/>
      <c r="X38" s="17"/>
      <c r="Y38" s="17"/>
      <c r="Z38" s="17"/>
    </row>
    <row r="39" ht="13.5" customHeight="1">
      <c r="A39" s="17"/>
      <c r="B39" s="17"/>
      <c r="C39" s="17"/>
      <c r="D39" s="152"/>
      <c r="E39" s="152"/>
      <c r="F39" s="152"/>
      <c r="G39" s="70"/>
      <c r="H39" s="70"/>
      <c r="I39" s="17"/>
      <c r="J39" s="17"/>
      <c r="K39" s="17"/>
      <c r="L39" s="17"/>
      <c r="M39" s="17"/>
      <c r="N39" s="17"/>
      <c r="O39" s="17"/>
      <c r="P39" s="17"/>
      <c r="Q39" s="17"/>
      <c r="R39" s="17"/>
      <c r="S39" s="17"/>
      <c r="T39" s="17"/>
      <c r="U39" s="17"/>
      <c r="V39" s="17"/>
      <c r="W39" s="17"/>
      <c r="X39" s="17"/>
      <c r="Y39" s="17"/>
      <c r="Z39" s="17"/>
    </row>
    <row r="40" ht="14.25" customHeight="1">
      <c r="A40" s="17"/>
      <c r="B40" s="17"/>
      <c r="C40" s="17"/>
      <c r="D40" s="153"/>
      <c r="E40" s="154"/>
      <c r="F40" s="70"/>
      <c r="G40" s="70"/>
      <c r="H40" s="70"/>
      <c r="I40" s="17"/>
      <c r="J40" s="17"/>
      <c r="K40" s="17"/>
      <c r="L40" s="17"/>
      <c r="M40" s="17"/>
      <c r="N40" s="17"/>
      <c r="O40" s="17"/>
      <c r="P40" s="17"/>
      <c r="Q40" s="17"/>
      <c r="R40" s="17"/>
      <c r="S40" s="17"/>
      <c r="T40" s="17"/>
      <c r="U40" s="17"/>
      <c r="V40" s="17"/>
      <c r="W40" s="17"/>
      <c r="X40" s="17"/>
      <c r="Y40" s="17"/>
      <c r="Z40" s="17"/>
    </row>
    <row r="41" ht="20.25" customHeight="1">
      <c r="A41" s="17"/>
      <c r="B41" s="17"/>
      <c r="C41" s="17"/>
      <c r="D41" s="146" t="s">
        <v>273</v>
      </c>
      <c r="E41" s="73"/>
      <c r="F41" s="73"/>
      <c r="G41" s="73"/>
      <c r="H41" s="74"/>
      <c r="I41" s="17"/>
      <c r="J41" s="17"/>
      <c r="K41" s="17"/>
      <c r="L41" s="17"/>
      <c r="M41" s="17"/>
      <c r="N41" s="17"/>
      <c r="O41" s="17"/>
      <c r="P41" s="17"/>
      <c r="Q41" s="17"/>
      <c r="R41" s="17"/>
      <c r="S41" s="17"/>
      <c r="T41" s="17"/>
      <c r="U41" s="17"/>
      <c r="V41" s="17"/>
      <c r="W41" s="17"/>
      <c r="X41" s="17"/>
      <c r="Y41" s="17"/>
      <c r="Z41" s="17"/>
    </row>
    <row r="42" ht="60.0" customHeight="1">
      <c r="A42" s="17"/>
      <c r="B42" s="17"/>
      <c r="C42" s="17"/>
      <c r="D42" s="151" t="s">
        <v>274</v>
      </c>
      <c r="E42" s="73"/>
      <c r="F42" s="73"/>
      <c r="G42" s="73"/>
      <c r="H42" s="74"/>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9.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9.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9.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9.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9.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9.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9.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2">
    <mergeCell ref="D7:H7"/>
    <mergeCell ref="D8:H8"/>
    <mergeCell ref="D9:H9"/>
    <mergeCell ref="D10:H10"/>
    <mergeCell ref="E11:H11"/>
    <mergeCell ref="E12:H12"/>
    <mergeCell ref="E13:H13"/>
    <mergeCell ref="F33:H33"/>
    <mergeCell ref="F34:H34"/>
    <mergeCell ref="F35:H35"/>
    <mergeCell ref="F36:H36"/>
    <mergeCell ref="F37:H37"/>
    <mergeCell ref="F38:H38"/>
    <mergeCell ref="D41:H41"/>
    <mergeCell ref="D42:H42"/>
    <mergeCell ref="D22:H22"/>
    <mergeCell ref="D24:H24"/>
    <mergeCell ref="D26:H26"/>
    <mergeCell ref="D27:H27"/>
    <mergeCell ref="D28:H28"/>
    <mergeCell ref="E29:H29"/>
    <mergeCell ref="E30:H30"/>
  </mergeCells>
  <conditionalFormatting sqref="D17:H20 D34:H38 I22 I24">
    <cfRule type="cellIs" dxfId="2" priority="1" operator="equal">
      <formula>$C$4</formula>
    </cfRule>
  </conditionalFormatting>
  <dataValidations>
    <dataValidation type="list" allowBlank="1" showErrorMessage="1" sqref="E17:G18 F19:G19 E20:G20 I22 H23 I24">
      <formula1>Mapping!$A$2:$A$4</formula1>
    </dataValidation>
    <dataValidation type="list" allowBlank="1" showErrorMessage="1" sqref="O13">
      <formula1>"High,Medium,Low"</formula1>
    </dataValidation>
    <dataValidation type="list" allowBlank="1" showErrorMessage="1" sqref="E34:E38">
      <formula1>Mapping!$B$2:$B$4</formula1>
    </dataValidation>
    <dataValidation type="list" allowBlank="1" showErrorMessage="1" sqref="E21:G21">
      <formula1>Yes_No</formula1>
    </dataValidation>
  </dataValidation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sheetViews>
  <sheetFormatPr customHeight="1" defaultColWidth="14.43" defaultRowHeight="15.0"/>
  <cols>
    <col customWidth="1" min="1" max="3" width="9.14"/>
    <col customWidth="1" min="4" max="4" width="30.0"/>
    <col customWidth="1" min="5" max="5" width="50.29"/>
    <col customWidth="1" min="6" max="6" width="12.29"/>
    <col customWidth="1" min="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7"/>
      <c r="E7" s="18"/>
      <c r="F7" s="18"/>
      <c r="G7" s="17"/>
      <c r="H7" s="17"/>
      <c r="I7" s="17"/>
      <c r="J7" s="17"/>
      <c r="K7" s="17"/>
      <c r="L7" s="17"/>
      <c r="M7" s="17"/>
      <c r="N7" s="17"/>
      <c r="O7" s="17"/>
      <c r="P7" s="17"/>
      <c r="Q7" s="17"/>
      <c r="R7" s="17"/>
      <c r="S7" s="17"/>
      <c r="T7" s="17"/>
      <c r="U7" s="17"/>
      <c r="V7" s="17"/>
      <c r="W7" s="17"/>
      <c r="X7" s="17"/>
      <c r="Y7" s="17"/>
      <c r="Z7" s="17"/>
    </row>
    <row r="8" ht="14.25" customHeight="1">
      <c r="A8" s="17"/>
      <c r="B8" s="17"/>
      <c r="C8" s="17"/>
      <c r="D8" s="155" t="s">
        <v>275</v>
      </c>
      <c r="E8" s="73"/>
      <c r="F8" s="74"/>
      <c r="G8" s="17"/>
      <c r="H8" s="17"/>
      <c r="I8" s="17"/>
      <c r="J8" s="17"/>
      <c r="K8" s="17"/>
      <c r="L8" s="17"/>
      <c r="M8" s="17"/>
      <c r="N8" s="17"/>
      <c r="O8" s="17"/>
      <c r="P8" s="17"/>
      <c r="Q8" s="17"/>
      <c r="R8" s="17"/>
      <c r="S8" s="17"/>
      <c r="T8" s="17"/>
      <c r="U8" s="17"/>
      <c r="V8" s="17"/>
      <c r="W8" s="17"/>
      <c r="X8" s="17"/>
      <c r="Y8" s="17"/>
      <c r="Z8" s="17"/>
    </row>
    <row r="9" ht="14.25" hidden="1" customHeight="1">
      <c r="A9" s="17"/>
      <c r="B9" s="17"/>
      <c r="C9" s="17"/>
      <c r="D9" s="156"/>
      <c r="E9" s="154"/>
      <c r="F9" s="154"/>
      <c r="G9" s="17"/>
      <c r="H9" s="17"/>
      <c r="I9" s="17"/>
      <c r="J9" s="17"/>
      <c r="K9" s="17"/>
      <c r="L9" s="17"/>
      <c r="M9" s="17"/>
      <c r="N9" s="17"/>
      <c r="O9" s="17"/>
      <c r="P9" s="17"/>
      <c r="Q9" s="17"/>
      <c r="R9" s="17"/>
      <c r="S9" s="17"/>
      <c r="T9" s="17"/>
      <c r="U9" s="17"/>
      <c r="V9" s="17"/>
      <c r="W9" s="17"/>
      <c r="X9" s="17"/>
      <c r="Y9" s="17"/>
      <c r="Z9" s="17"/>
    </row>
    <row r="10" ht="14.25" hidden="1" customHeight="1">
      <c r="A10" s="17"/>
      <c r="B10" s="17"/>
      <c r="C10" s="17"/>
      <c r="D10" s="153"/>
      <c r="E10" s="154"/>
      <c r="F10" s="154"/>
      <c r="G10" s="17"/>
      <c r="H10" s="17"/>
      <c r="I10" s="17"/>
      <c r="J10" s="17"/>
      <c r="K10" s="17"/>
      <c r="L10" s="17"/>
      <c r="M10" s="17"/>
      <c r="N10" s="17"/>
      <c r="O10" s="17"/>
      <c r="P10" s="17"/>
      <c r="Q10" s="17"/>
      <c r="R10" s="17"/>
      <c r="S10" s="17"/>
      <c r="T10" s="17"/>
      <c r="U10" s="17"/>
      <c r="V10" s="17"/>
      <c r="W10" s="17"/>
      <c r="X10" s="17"/>
      <c r="Y10" s="17"/>
      <c r="Z10" s="17"/>
    </row>
    <row r="11" ht="57.0" hidden="1" customHeight="1">
      <c r="A11" s="17"/>
      <c r="B11" s="17"/>
      <c r="C11" s="17"/>
      <c r="D11" s="60"/>
      <c r="E11" s="61"/>
      <c r="F11" s="157"/>
      <c r="G11" s="17"/>
      <c r="H11" s="17"/>
      <c r="I11" s="17"/>
      <c r="J11" s="17"/>
      <c r="K11" s="17"/>
      <c r="L11" s="17"/>
      <c r="M11" s="17"/>
      <c r="N11" s="17"/>
      <c r="O11" s="17"/>
      <c r="P11" s="17"/>
      <c r="Q11" s="17"/>
      <c r="R11" s="17"/>
      <c r="S11" s="17"/>
      <c r="T11" s="17"/>
      <c r="U11" s="17"/>
      <c r="V11" s="17"/>
      <c r="W11" s="17"/>
      <c r="X11" s="17"/>
      <c r="Y11" s="17"/>
      <c r="Z11" s="17"/>
    </row>
    <row r="12" ht="14.25" hidden="1" customHeight="1">
      <c r="A12" s="17"/>
      <c r="B12" s="17"/>
      <c r="C12" s="17"/>
      <c r="D12" s="153"/>
      <c r="E12" s="154"/>
      <c r="F12" s="154"/>
      <c r="G12" s="17"/>
      <c r="H12" s="17"/>
      <c r="I12" s="17"/>
      <c r="J12" s="17"/>
      <c r="K12" s="17"/>
      <c r="L12" s="17"/>
      <c r="M12" s="17"/>
      <c r="N12" s="17"/>
      <c r="O12" s="17"/>
      <c r="P12" s="17"/>
      <c r="Q12" s="17"/>
      <c r="R12" s="17"/>
      <c r="S12" s="17"/>
      <c r="T12" s="17"/>
      <c r="U12" s="17"/>
      <c r="V12" s="17"/>
      <c r="W12" s="17"/>
      <c r="X12" s="17"/>
      <c r="Y12" s="17"/>
      <c r="Z12" s="17"/>
    </row>
    <row r="13" ht="20.25" hidden="1" customHeight="1">
      <c r="A13" s="17"/>
      <c r="B13" s="17"/>
      <c r="C13" s="17"/>
      <c r="D13" s="115"/>
      <c r="E13" s="73"/>
      <c r="F13" s="74"/>
      <c r="G13" s="17"/>
      <c r="H13" s="17"/>
      <c r="I13" s="17"/>
      <c r="J13" s="17"/>
      <c r="K13" s="17"/>
      <c r="L13" s="17"/>
      <c r="M13" s="17"/>
      <c r="N13" s="17"/>
      <c r="O13" s="17"/>
      <c r="P13" s="17"/>
      <c r="Q13" s="17"/>
      <c r="R13" s="17"/>
      <c r="S13" s="17"/>
      <c r="T13" s="17"/>
      <c r="U13" s="17"/>
      <c r="V13" s="17"/>
      <c r="W13" s="17"/>
      <c r="X13" s="17"/>
      <c r="Y13" s="17"/>
      <c r="Z13" s="17"/>
    </row>
    <row r="14" ht="60.0" hidden="1" customHeight="1">
      <c r="A14" s="17"/>
      <c r="B14" s="17"/>
      <c r="C14" s="17"/>
      <c r="D14" s="76"/>
      <c r="E14" s="73"/>
      <c r="F14" s="74"/>
      <c r="G14" s="17"/>
      <c r="H14" s="17"/>
      <c r="I14" s="17"/>
      <c r="J14" s="17"/>
      <c r="K14" s="17"/>
      <c r="L14" s="17"/>
      <c r="M14" s="17"/>
      <c r="N14" s="17"/>
      <c r="O14" s="17"/>
      <c r="P14" s="17"/>
      <c r="Q14" s="17"/>
      <c r="R14" s="17"/>
      <c r="S14" s="17"/>
      <c r="T14" s="17"/>
      <c r="U14" s="17"/>
      <c r="V14" s="17"/>
      <c r="W14" s="17"/>
      <c r="X14" s="17"/>
      <c r="Y14" s="17"/>
      <c r="Z14" s="17"/>
    </row>
    <row r="15" ht="13.5" hidden="1" customHeight="1">
      <c r="A15" s="17"/>
      <c r="B15" s="17"/>
      <c r="C15" s="17"/>
      <c r="D15" s="153"/>
      <c r="E15" s="154"/>
      <c r="F15" s="154"/>
      <c r="G15" s="17"/>
      <c r="H15" s="17"/>
      <c r="I15" s="17"/>
      <c r="J15" s="17"/>
      <c r="K15" s="17"/>
      <c r="L15" s="17"/>
      <c r="M15" s="17"/>
      <c r="N15" s="17"/>
      <c r="O15" s="17"/>
      <c r="P15" s="17"/>
      <c r="Q15" s="17"/>
      <c r="R15" s="17"/>
      <c r="S15" s="17"/>
      <c r="T15" s="17"/>
      <c r="U15" s="17"/>
      <c r="V15" s="17"/>
      <c r="W15" s="17"/>
      <c r="X15" s="17"/>
      <c r="Y15" s="17"/>
      <c r="Z15" s="17"/>
    </row>
    <row r="16" ht="39.0" hidden="1" customHeight="1">
      <c r="A16" s="17"/>
      <c r="B16" s="17"/>
      <c r="C16" s="17"/>
      <c r="D16" s="158"/>
      <c r="E16" s="159"/>
      <c r="F16" s="160"/>
      <c r="G16" s="17"/>
      <c r="H16" s="17"/>
      <c r="I16" s="17"/>
      <c r="J16" s="17"/>
      <c r="K16" s="17"/>
      <c r="L16" s="17"/>
      <c r="M16" s="17"/>
      <c r="N16" s="17"/>
      <c r="O16" s="17"/>
      <c r="P16" s="17"/>
      <c r="Q16" s="17"/>
      <c r="R16" s="17"/>
      <c r="S16" s="17"/>
      <c r="T16" s="17"/>
      <c r="U16" s="17"/>
      <c r="V16" s="17"/>
      <c r="W16" s="17"/>
      <c r="X16" s="17"/>
      <c r="Y16" s="17"/>
      <c r="Z16" s="17"/>
    </row>
    <row r="17" ht="13.5" hidden="1" customHeight="1">
      <c r="A17" s="17"/>
      <c r="B17" s="17"/>
      <c r="C17" s="17"/>
      <c r="D17" s="115"/>
      <c r="E17" s="73"/>
      <c r="F17" s="74"/>
      <c r="G17" s="17"/>
      <c r="H17" s="17"/>
      <c r="I17" s="17"/>
      <c r="J17" s="17"/>
      <c r="K17" s="17"/>
      <c r="L17" s="17"/>
      <c r="M17" s="17"/>
      <c r="N17" s="17"/>
      <c r="O17" s="17"/>
      <c r="P17" s="17"/>
      <c r="Q17" s="17"/>
      <c r="R17" s="17"/>
      <c r="S17" s="17"/>
      <c r="T17" s="17"/>
      <c r="U17" s="17"/>
      <c r="V17" s="17"/>
      <c r="W17" s="17"/>
      <c r="X17" s="17"/>
      <c r="Y17" s="17"/>
      <c r="Z17" s="17"/>
    </row>
    <row r="18" ht="60.75" hidden="1" customHeight="1">
      <c r="A18" s="17"/>
      <c r="B18" s="17"/>
      <c r="C18" s="17"/>
      <c r="D18" s="161"/>
      <c r="E18" s="73"/>
      <c r="F18" s="74"/>
      <c r="G18" s="17"/>
      <c r="H18" s="17"/>
      <c r="I18" s="17"/>
      <c r="J18" s="17"/>
      <c r="K18" s="17"/>
      <c r="L18" s="17"/>
      <c r="M18" s="17"/>
      <c r="N18" s="17"/>
      <c r="O18" s="17"/>
      <c r="P18" s="17"/>
      <c r="Q18" s="17"/>
      <c r="R18" s="17"/>
      <c r="S18" s="17"/>
      <c r="T18" s="17"/>
      <c r="U18" s="17"/>
      <c r="V18" s="17"/>
      <c r="W18" s="17"/>
      <c r="X18" s="17"/>
      <c r="Y18" s="17"/>
      <c r="Z18" s="17"/>
    </row>
    <row r="19" ht="13.5" hidden="1" customHeight="1">
      <c r="A19" s="17"/>
      <c r="B19" s="17"/>
      <c r="C19" s="17"/>
      <c r="D19" s="156"/>
      <c r="E19" s="154"/>
      <c r="F19" s="154"/>
      <c r="G19" s="17"/>
      <c r="H19" s="17"/>
      <c r="I19" s="17"/>
      <c r="J19" s="17"/>
      <c r="K19" s="17"/>
      <c r="L19" s="17"/>
      <c r="M19" s="17"/>
      <c r="N19" s="17"/>
      <c r="O19" s="17"/>
      <c r="P19" s="17"/>
      <c r="Q19" s="17"/>
      <c r="R19" s="17"/>
      <c r="S19" s="17"/>
      <c r="T19" s="17"/>
      <c r="U19" s="17"/>
      <c r="V19" s="17"/>
      <c r="W19" s="17"/>
      <c r="X19" s="17"/>
      <c r="Y19" s="17"/>
      <c r="Z19" s="17"/>
    </row>
    <row r="20" ht="13.5" customHeight="1">
      <c r="A20" s="17"/>
      <c r="B20" s="17"/>
      <c r="C20" s="17"/>
      <c r="D20" s="153" t="s">
        <v>276</v>
      </c>
      <c r="E20" s="154"/>
      <c r="F20" s="154"/>
      <c r="G20" s="17"/>
      <c r="H20" s="17"/>
      <c r="I20" s="17"/>
      <c r="J20" s="17"/>
      <c r="K20" s="17"/>
      <c r="L20" s="17"/>
      <c r="M20" s="17"/>
      <c r="N20" s="17"/>
      <c r="O20" s="17"/>
      <c r="P20" s="17"/>
      <c r="Q20" s="17"/>
      <c r="R20" s="17"/>
      <c r="S20" s="17"/>
      <c r="T20" s="17"/>
      <c r="U20" s="17"/>
      <c r="V20" s="17"/>
      <c r="W20" s="17"/>
      <c r="X20" s="17"/>
      <c r="Y20" s="17"/>
      <c r="Z20" s="17"/>
    </row>
    <row r="21" ht="13.5" customHeight="1">
      <c r="A21" s="17"/>
      <c r="B21" s="17"/>
      <c r="C21" s="17"/>
      <c r="D21" s="153"/>
      <c r="E21" s="154"/>
      <c r="F21" s="154"/>
      <c r="G21" s="17"/>
      <c r="H21" s="17"/>
      <c r="I21" s="17"/>
      <c r="J21" s="17"/>
      <c r="K21" s="17"/>
      <c r="L21" s="17"/>
      <c r="M21" s="17"/>
      <c r="N21" s="17"/>
      <c r="O21" s="17"/>
      <c r="P21" s="17"/>
      <c r="Q21" s="17"/>
      <c r="R21" s="17"/>
      <c r="S21" s="17"/>
      <c r="T21" s="17"/>
      <c r="U21" s="17"/>
      <c r="V21" s="17"/>
      <c r="W21" s="17"/>
      <c r="X21" s="17"/>
      <c r="Y21" s="17"/>
      <c r="Z21" s="17"/>
    </row>
    <row r="22" ht="45.0" customHeight="1">
      <c r="A22" s="17"/>
      <c r="B22" s="17"/>
      <c r="C22" s="17"/>
      <c r="D22" s="115" t="s">
        <v>277</v>
      </c>
      <c r="E22" s="73"/>
      <c r="F22" s="157" t="s">
        <v>6</v>
      </c>
      <c r="G22" s="17"/>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53"/>
      <c r="E23" s="154"/>
      <c r="F23" s="154"/>
      <c r="G23" s="17"/>
      <c r="H23" s="17"/>
      <c r="I23" s="17"/>
      <c r="J23" s="17"/>
      <c r="K23" s="17"/>
      <c r="L23" s="17"/>
      <c r="M23" s="17"/>
      <c r="N23" s="17"/>
      <c r="O23" s="17"/>
      <c r="P23" s="17"/>
      <c r="Q23" s="17"/>
      <c r="R23" s="17"/>
      <c r="S23" s="17"/>
      <c r="T23" s="17"/>
      <c r="U23" s="17"/>
      <c r="V23" s="17"/>
      <c r="W23" s="17"/>
      <c r="X23" s="17"/>
      <c r="Y23" s="17"/>
      <c r="Z23" s="17"/>
    </row>
    <row r="24" ht="47.25" customHeight="1">
      <c r="A24" s="17"/>
      <c r="B24" s="17"/>
      <c r="C24" s="17"/>
      <c r="D24" s="115" t="s">
        <v>278</v>
      </c>
      <c r="E24" s="73"/>
      <c r="F24" s="74"/>
      <c r="G24" s="17"/>
      <c r="H24" s="17"/>
      <c r="I24" s="17"/>
      <c r="J24" s="17"/>
      <c r="K24" s="17"/>
      <c r="L24" s="17"/>
      <c r="M24" s="17"/>
      <c r="N24" s="17"/>
      <c r="O24" s="17"/>
      <c r="P24" s="17"/>
      <c r="Q24" s="17"/>
      <c r="R24" s="17"/>
      <c r="S24" s="17"/>
      <c r="T24" s="17"/>
      <c r="U24" s="17"/>
      <c r="V24" s="17"/>
      <c r="W24" s="17"/>
      <c r="X24" s="17"/>
      <c r="Y24" s="17"/>
      <c r="Z24" s="17"/>
    </row>
    <row r="25" ht="13.5" customHeight="1">
      <c r="A25" s="17"/>
      <c r="B25" s="17"/>
      <c r="C25" s="17"/>
      <c r="D25" s="162" t="s">
        <v>279</v>
      </c>
      <c r="E25" s="73"/>
      <c r="F25" s="74"/>
      <c r="G25" s="17"/>
      <c r="H25" s="17"/>
      <c r="I25" s="17"/>
      <c r="J25" s="17"/>
      <c r="K25" s="17"/>
      <c r="L25" s="17"/>
      <c r="M25" s="17"/>
      <c r="N25" s="17"/>
      <c r="O25" s="17"/>
      <c r="P25" s="17"/>
      <c r="Q25" s="17"/>
      <c r="R25" s="17"/>
      <c r="S25" s="17"/>
      <c r="T25" s="17"/>
      <c r="U25" s="17"/>
      <c r="V25" s="17"/>
      <c r="W25" s="17"/>
      <c r="X25" s="17"/>
      <c r="Y25" s="17"/>
      <c r="Z25" s="17"/>
    </row>
    <row r="26" ht="14.25" customHeight="1">
      <c r="A26" s="17"/>
      <c r="B26" s="17"/>
      <c r="C26" s="17"/>
      <c r="D26" s="153"/>
      <c r="E26" s="154"/>
      <c r="F26" s="154"/>
      <c r="G26" s="17"/>
      <c r="H26" s="17"/>
      <c r="I26" s="17"/>
      <c r="J26" s="17"/>
      <c r="K26" s="17"/>
      <c r="L26" s="17"/>
      <c r="M26" s="17"/>
      <c r="N26" s="17"/>
      <c r="O26" s="17"/>
      <c r="P26" s="17"/>
      <c r="Q26" s="17"/>
      <c r="R26" s="17"/>
      <c r="S26" s="17"/>
      <c r="T26" s="17"/>
      <c r="U26" s="17"/>
      <c r="V26" s="17"/>
      <c r="W26" s="17"/>
      <c r="X26" s="17"/>
      <c r="Y26" s="17"/>
      <c r="Z26" s="17"/>
    </row>
    <row r="27" ht="45.0" customHeight="1">
      <c r="A27" s="17"/>
      <c r="B27" s="17"/>
      <c r="C27" s="17"/>
      <c r="D27" s="66" t="s">
        <v>280</v>
      </c>
      <c r="E27" s="101" t="s">
        <v>281</v>
      </c>
      <c r="F27" s="102" t="s">
        <v>6</v>
      </c>
      <c r="G27" s="17"/>
      <c r="H27" s="17"/>
      <c r="I27" s="17"/>
      <c r="J27" s="17"/>
      <c r="K27" s="17"/>
      <c r="L27" s="17"/>
      <c r="M27" s="17"/>
      <c r="N27" s="17"/>
      <c r="O27" s="17"/>
      <c r="P27" s="17"/>
      <c r="Q27" s="17"/>
      <c r="R27" s="17"/>
      <c r="S27" s="17"/>
      <c r="T27" s="17"/>
      <c r="U27" s="17"/>
      <c r="V27" s="17"/>
      <c r="W27" s="17"/>
      <c r="X27" s="17"/>
      <c r="Y27" s="17"/>
      <c r="Z27" s="17"/>
    </row>
    <row r="28" ht="45.0" customHeight="1">
      <c r="A28" s="17"/>
      <c r="B28" s="17"/>
      <c r="C28" s="17"/>
      <c r="D28" s="163" t="s">
        <v>282</v>
      </c>
      <c r="E28" s="164" t="s">
        <v>283</v>
      </c>
      <c r="F28" s="102" t="s">
        <v>6</v>
      </c>
      <c r="G28" s="17"/>
      <c r="H28" s="17"/>
      <c r="I28" s="17"/>
      <c r="J28" s="17"/>
      <c r="K28" s="17"/>
      <c r="L28" s="17"/>
      <c r="M28" s="17"/>
      <c r="N28" s="17"/>
      <c r="O28" s="17"/>
      <c r="P28" s="17"/>
      <c r="Q28" s="17"/>
      <c r="R28" s="17"/>
      <c r="S28" s="17"/>
      <c r="T28" s="17"/>
      <c r="U28" s="17"/>
      <c r="V28" s="17"/>
      <c r="W28" s="17"/>
      <c r="X28" s="17"/>
      <c r="Y28" s="17"/>
      <c r="Z28" s="17"/>
    </row>
    <row r="29" ht="45.0" customHeight="1">
      <c r="A29" s="17"/>
      <c r="B29" s="17"/>
      <c r="C29" s="17"/>
      <c r="D29" s="163" t="s">
        <v>284</v>
      </c>
      <c r="E29" s="164" t="s">
        <v>285</v>
      </c>
      <c r="F29" s="102" t="s">
        <v>6</v>
      </c>
      <c r="G29" s="17"/>
      <c r="H29" s="17"/>
      <c r="I29" s="17"/>
      <c r="J29" s="17"/>
      <c r="K29" s="17"/>
      <c r="L29" s="17"/>
      <c r="M29" s="17"/>
      <c r="N29" s="17"/>
      <c r="O29" s="17"/>
      <c r="P29" s="17"/>
      <c r="Q29" s="17"/>
      <c r="R29" s="17"/>
      <c r="S29" s="17"/>
      <c r="T29" s="17"/>
      <c r="U29" s="17"/>
      <c r="V29" s="17"/>
      <c r="W29" s="17"/>
      <c r="X29" s="17"/>
      <c r="Y29" s="17"/>
      <c r="Z29" s="17"/>
    </row>
    <row r="30" ht="14.25" customHeight="1">
      <c r="A30" s="17"/>
      <c r="B30" s="17"/>
      <c r="C30" s="17"/>
      <c r="D30" s="153"/>
      <c r="E30" s="154"/>
      <c r="F30" s="154"/>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15" t="s">
        <v>128</v>
      </c>
      <c r="E31" s="73"/>
      <c r="F31" s="74"/>
      <c r="G31" s="17"/>
      <c r="H31" s="17"/>
      <c r="I31" s="17"/>
      <c r="J31" s="17"/>
      <c r="K31" s="17"/>
      <c r="L31" s="17"/>
      <c r="M31" s="17"/>
      <c r="N31" s="17"/>
      <c r="O31" s="17"/>
      <c r="P31" s="17"/>
      <c r="Q31" s="17"/>
      <c r="R31" s="17"/>
      <c r="S31" s="17"/>
      <c r="T31" s="17"/>
      <c r="U31" s="17"/>
      <c r="V31" s="17"/>
      <c r="W31" s="17"/>
      <c r="X31" s="17"/>
      <c r="Y31" s="17"/>
      <c r="Z31" s="17"/>
    </row>
    <row r="32" ht="66.0" customHeight="1">
      <c r="A32" s="17"/>
      <c r="B32" s="17"/>
      <c r="C32" s="17"/>
      <c r="D32" s="165" t="s">
        <v>286</v>
      </c>
      <c r="E32" s="166"/>
      <c r="F32" s="16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53"/>
      <c r="E33" s="154"/>
      <c r="F33" s="154"/>
      <c r="G33" s="17"/>
      <c r="H33" s="17"/>
      <c r="I33" s="17"/>
      <c r="J33" s="17"/>
      <c r="K33" s="17"/>
      <c r="L33" s="17"/>
      <c r="M33" s="17"/>
      <c r="N33" s="17"/>
      <c r="O33" s="17"/>
      <c r="P33" s="17"/>
      <c r="Q33" s="17"/>
      <c r="R33" s="17"/>
      <c r="S33" s="17"/>
      <c r="T33" s="17"/>
      <c r="U33" s="17"/>
      <c r="V33" s="17"/>
      <c r="W33" s="17"/>
      <c r="X33" s="17"/>
      <c r="Y33" s="17"/>
      <c r="Z33" s="17"/>
    </row>
    <row r="34" ht="24.75" customHeight="1">
      <c r="A34" s="17"/>
      <c r="B34" s="17"/>
      <c r="C34" s="17"/>
      <c r="D34" s="115" t="s">
        <v>287</v>
      </c>
      <c r="E34" s="73"/>
      <c r="F34" s="74"/>
      <c r="G34" s="17"/>
      <c r="H34" s="17"/>
      <c r="I34" s="17"/>
      <c r="J34" s="17"/>
      <c r="K34" s="17"/>
      <c r="L34" s="17"/>
      <c r="M34" s="17"/>
      <c r="N34" s="17"/>
      <c r="O34" s="17"/>
      <c r="P34" s="17"/>
      <c r="Q34" s="17"/>
      <c r="R34" s="17"/>
      <c r="S34" s="17"/>
      <c r="T34" s="17"/>
      <c r="U34" s="17"/>
      <c r="V34" s="17"/>
      <c r="W34" s="17"/>
      <c r="X34" s="17"/>
      <c r="Y34" s="17"/>
      <c r="Z34" s="17"/>
    </row>
    <row r="35" ht="57.0" customHeight="1">
      <c r="A35" s="17"/>
      <c r="B35" s="17"/>
      <c r="C35" s="17"/>
      <c r="D35" s="165" t="s">
        <v>288</v>
      </c>
      <c r="E35" s="166"/>
      <c r="F35" s="167"/>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56"/>
      <c r="E36" s="154"/>
      <c r="F36" s="154"/>
      <c r="G36" s="17"/>
      <c r="H36" s="17"/>
      <c r="I36" s="17"/>
      <c r="J36" s="17"/>
      <c r="K36" s="17"/>
      <c r="L36" s="17"/>
      <c r="M36" s="17"/>
      <c r="N36" s="17"/>
      <c r="O36" s="17"/>
      <c r="P36" s="17"/>
      <c r="Q36" s="17"/>
      <c r="R36" s="17"/>
      <c r="S36" s="17"/>
      <c r="T36" s="17"/>
      <c r="U36" s="17"/>
      <c r="V36" s="17"/>
      <c r="W36" s="17"/>
      <c r="X36" s="17"/>
      <c r="Y36" s="17"/>
      <c r="Z36" s="17"/>
    </row>
    <row r="37" ht="30.0" customHeight="1">
      <c r="A37" s="17"/>
      <c r="B37" s="17"/>
      <c r="C37" s="17"/>
      <c r="D37" s="168" t="s">
        <v>289</v>
      </c>
      <c r="E37" s="73"/>
      <c r="F37" s="74"/>
      <c r="G37" s="17"/>
      <c r="H37" s="17"/>
      <c r="I37" s="17"/>
      <c r="J37" s="17"/>
      <c r="K37" s="17"/>
      <c r="L37" s="17"/>
      <c r="M37" s="17"/>
      <c r="N37" s="17"/>
      <c r="O37" s="17"/>
      <c r="P37" s="17"/>
      <c r="Q37" s="17"/>
      <c r="R37" s="17"/>
      <c r="S37" s="17"/>
      <c r="T37" s="17"/>
      <c r="U37" s="17"/>
      <c r="V37" s="17"/>
      <c r="W37" s="17"/>
      <c r="X37" s="17"/>
      <c r="Y37" s="17"/>
      <c r="Z37" s="17"/>
    </row>
    <row r="38" ht="30.0" customHeight="1">
      <c r="A38" s="17"/>
      <c r="B38" s="17"/>
      <c r="C38" s="17"/>
      <c r="D38" s="156"/>
      <c r="E38" s="154"/>
      <c r="F38" s="154"/>
      <c r="G38" s="17"/>
      <c r="H38" s="17"/>
      <c r="I38" s="17"/>
      <c r="J38" s="17"/>
      <c r="K38" s="17"/>
      <c r="L38" s="17"/>
      <c r="M38" s="17"/>
      <c r="N38" s="17"/>
      <c r="O38" s="17"/>
      <c r="P38" s="17"/>
      <c r="Q38" s="17"/>
      <c r="R38" s="17"/>
      <c r="S38" s="17"/>
      <c r="T38" s="17"/>
      <c r="U38" s="17"/>
      <c r="V38" s="17"/>
      <c r="W38" s="17"/>
      <c r="X38" s="17"/>
      <c r="Y38" s="17"/>
      <c r="Z38" s="17"/>
    </row>
    <row r="39" ht="43.5" customHeight="1">
      <c r="A39" s="17"/>
      <c r="B39" s="17"/>
      <c r="C39" s="17"/>
      <c r="D39" s="169" t="s">
        <v>290</v>
      </c>
      <c r="E39" s="170"/>
      <c r="F39" s="171" t="s">
        <v>6</v>
      </c>
      <c r="G39" s="17"/>
      <c r="H39" s="17"/>
      <c r="I39" s="17"/>
      <c r="J39" s="17"/>
      <c r="K39" s="17"/>
      <c r="L39" s="17"/>
      <c r="M39" s="17"/>
      <c r="N39" s="17"/>
      <c r="O39" s="17"/>
      <c r="P39" s="17"/>
      <c r="Q39" s="17"/>
      <c r="R39" s="17"/>
      <c r="S39" s="17"/>
      <c r="T39" s="17"/>
      <c r="U39" s="17"/>
      <c r="V39" s="17"/>
      <c r="W39" s="17"/>
      <c r="X39" s="17"/>
      <c r="Y39" s="17"/>
      <c r="Z39" s="17"/>
    </row>
    <row r="40" ht="24.75" customHeight="1">
      <c r="A40" s="17"/>
      <c r="B40" s="17"/>
      <c r="C40" s="17"/>
      <c r="D40" s="76" t="s">
        <v>291</v>
      </c>
      <c r="E40" s="73"/>
      <c r="F40" s="74"/>
      <c r="G40" s="17"/>
      <c r="H40" s="17"/>
      <c r="I40" s="17"/>
      <c r="J40" s="17"/>
      <c r="K40" s="17"/>
      <c r="L40" s="17"/>
      <c r="M40" s="17"/>
      <c r="N40" s="17"/>
      <c r="O40" s="17"/>
      <c r="P40" s="17"/>
      <c r="Q40" s="17"/>
      <c r="R40" s="17"/>
      <c r="S40" s="17"/>
      <c r="T40" s="17"/>
      <c r="U40" s="17"/>
      <c r="V40" s="17"/>
      <c r="W40" s="17"/>
      <c r="X40" s="17"/>
      <c r="Y40" s="17"/>
      <c r="Z40" s="17"/>
    </row>
    <row r="41" ht="25.5" customHeight="1">
      <c r="A41" s="17"/>
      <c r="B41" s="17"/>
      <c r="C41" s="17"/>
      <c r="D41" s="76" t="s">
        <v>292</v>
      </c>
      <c r="E41" s="73"/>
      <c r="F41" s="74"/>
      <c r="G41" s="17"/>
      <c r="H41" s="17"/>
      <c r="I41" s="17"/>
      <c r="J41" s="17"/>
      <c r="K41" s="17"/>
      <c r="L41" s="17"/>
      <c r="M41" s="17"/>
      <c r="N41" s="17"/>
      <c r="O41" s="17"/>
      <c r="P41" s="17"/>
      <c r="Q41" s="17"/>
      <c r="R41" s="17"/>
      <c r="S41" s="17"/>
      <c r="T41" s="17"/>
      <c r="U41" s="17"/>
      <c r="V41" s="17"/>
      <c r="W41" s="17"/>
      <c r="X41" s="17"/>
      <c r="Y41" s="17"/>
      <c r="Z41" s="17"/>
    </row>
    <row r="42" ht="25.5" customHeight="1">
      <c r="A42" s="17"/>
      <c r="B42" s="17"/>
      <c r="C42" s="17"/>
      <c r="D42" s="172"/>
      <c r="E42" s="172"/>
      <c r="F42" s="172"/>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53"/>
      <c r="E43" s="154"/>
      <c r="F43" s="154"/>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58" t="s">
        <v>293</v>
      </c>
      <c r="E44" s="159"/>
      <c r="F44" s="173" t="s">
        <v>13</v>
      </c>
      <c r="G44" s="17"/>
      <c r="H44" s="17"/>
      <c r="I44" s="17"/>
      <c r="J44" s="17"/>
      <c r="K44" s="17"/>
      <c r="L44" s="17"/>
      <c r="M44" s="17"/>
      <c r="N44" s="17"/>
      <c r="O44" s="17"/>
      <c r="P44" s="17"/>
      <c r="Q44" s="17"/>
      <c r="R44" s="17"/>
      <c r="S44" s="17"/>
      <c r="T44" s="17"/>
      <c r="U44" s="17"/>
      <c r="V44" s="17"/>
      <c r="W44" s="17"/>
      <c r="X44" s="17"/>
      <c r="Y44" s="17"/>
      <c r="Z44" s="17"/>
    </row>
    <row r="45" ht="33.0" customHeight="1">
      <c r="A45" s="17"/>
      <c r="B45" s="17"/>
      <c r="C45" s="17"/>
      <c r="D45" s="76" t="s">
        <v>294</v>
      </c>
      <c r="E45" s="73"/>
      <c r="F45" s="74"/>
      <c r="G45" s="17"/>
      <c r="H45" s="17"/>
      <c r="I45" s="17"/>
      <c r="J45" s="17"/>
      <c r="K45" s="17"/>
      <c r="L45" s="17"/>
      <c r="M45" s="17"/>
      <c r="N45" s="17"/>
      <c r="O45" s="17"/>
      <c r="P45" s="17"/>
      <c r="Q45" s="17"/>
      <c r="R45" s="17"/>
      <c r="S45" s="17"/>
      <c r="T45" s="17"/>
      <c r="U45" s="17"/>
      <c r="V45" s="17"/>
      <c r="W45" s="17"/>
      <c r="X45" s="17"/>
      <c r="Y45" s="17"/>
      <c r="Z45" s="17"/>
    </row>
    <row r="46" ht="25.5" customHeight="1">
      <c r="A46" s="17"/>
      <c r="B46" s="17"/>
      <c r="C46" s="17"/>
      <c r="D46" s="76" t="s">
        <v>20</v>
      </c>
      <c r="E46" s="73"/>
      <c r="F46" s="74"/>
      <c r="G46" s="17"/>
      <c r="H46" s="17"/>
      <c r="I46" s="17"/>
      <c r="J46" s="17"/>
      <c r="K46" s="17"/>
      <c r="L46" s="17"/>
      <c r="M46" s="17"/>
      <c r="N46" s="17"/>
      <c r="O46" s="17"/>
      <c r="P46" s="17"/>
      <c r="Q46" s="17"/>
      <c r="R46" s="17"/>
      <c r="S46" s="17"/>
      <c r="T46" s="17"/>
      <c r="U46" s="17"/>
      <c r="V46" s="17"/>
      <c r="W46" s="17"/>
      <c r="X46" s="17"/>
      <c r="Y46" s="17"/>
      <c r="Z46" s="17"/>
    </row>
    <row r="47" ht="25.5" customHeight="1">
      <c r="A47" s="17"/>
      <c r="B47" s="17"/>
      <c r="C47" s="17"/>
      <c r="D47" s="70"/>
      <c r="E47" s="70"/>
      <c r="F47" s="70"/>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15" t="s">
        <v>295</v>
      </c>
      <c r="E48" s="74"/>
      <c r="F48" s="174" t="s">
        <v>6</v>
      </c>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53"/>
      <c r="E49" s="154"/>
      <c r="F49" s="154"/>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15" t="s">
        <v>128</v>
      </c>
      <c r="E50" s="73"/>
      <c r="F50" s="74"/>
      <c r="G50" s="17"/>
      <c r="H50" s="17"/>
      <c r="I50" s="17"/>
      <c r="J50" s="17"/>
      <c r="K50" s="17"/>
      <c r="L50" s="17"/>
      <c r="M50" s="17"/>
      <c r="N50" s="17"/>
      <c r="O50" s="17"/>
      <c r="P50" s="17"/>
      <c r="Q50" s="17"/>
      <c r="R50" s="17"/>
      <c r="S50" s="17"/>
      <c r="T50" s="17"/>
      <c r="U50" s="17"/>
      <c r="V50" s="17"/>
      <c r="W50" s="17"/>
      <c r="X50" s="17"/>
      <c r="Y50" s="17"/>
      <c r="Z50" s="17"/>
    </row>
    <row r="51" ht="69.0" customHeight="1">
      <c r="A51" s="17"/>
      <c r="B51" s="17"/>
      <c r="C51" s="17"/>
      <c r="D51" s="165" t="s">
        <v>296</v>
      </c>
      <c r="E51" s="166"/>
      <c r="F51" s="16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4">
    <mergeCell ref="D8:F8"/>
    <mergeCell ref="D11:E11"/>
    <mergeCell ref="D13:F13"/>
    <mergeCell ref="D14:F14"/>
    <mergeCell ref="D16:E16"/>
    <mergeCell ref="D17:F17"/>
    <mergeCell ref="D18:F18"/>
    <mergeCell ref="D22:E22"/>
    <mergeCell ref="D24:F24"/>
    <mergeCell ref="D25:F25"/>
    <mergeCell ref="D31:F31"/>
    <mergeCell ref="D32:F32"/>
    <mergeCell ref="D34:F34"/>
    <mergeCell ref="D35:F35"/>
    <mergeCell ref="D48:E48"/>
    <mergeCell ref="D50:F50"/>
    <mergeCell ref="D51:F51"/>
    <mergeCell ref="D37:F37"/>
    <mergeCell ref="D39:E39"/>
    <mergeCell ref="D40:F40"/>
    <mergeCell ref="D41:F41"/>
    <mergeCell ref="D44:E44"/>
    <mergeCell ref="D45:F45"/>
    <mergeCell ref="D46:F46"/>
  </mergeCells>
  <conditionalFormatting sqref="D14:F14 D18:F18 D32:F32 D35:F35 D41:F41 D46:F46 D51:F51 F11 F16 F22 F27:F29 F39 F44 F48">
    <cfRule type="cellIs" dxfId="2" priority="1" operator="equal">
      <formula>$C$4</formula>
    </cfRule>
  </conditionalFormatting>
  <dataValidations>
    <dataValidation type="list" allowBlank="1" showErrorMessage="1" sqref="F11 F16 F22 F27:F29 F39 F44 F48">
      <formula1>Mapping!$A$2:$A$4</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3" width="9.14"/>
    <col customWidth="1" min="4" max="4" width="22.86"/>
    <col customWidth="1" min="5" max="5" width="71.71"/>
    <col customWidth="1" min="6" max="6" width="12.86"/>
    <col customWidth="1" min="7" max="7" width="56.14"/>
    <col customWidth="1" min="8" max="26" width="9.14"/>
  </cols>
  <sheetData>
    <row r="1" ht="14.25" customHeight="1">
      <c r="A1" s="17"/>
      <c r="B1" s="17"/>
      <c r="C1" s="17"/>
      <c r="D1" s="17"/>
      <c r="E1" s="148"/>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48"/>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48"/>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48"/>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75"/>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68" t="s">
        <v>297</v>
      </c>
      <c r="E6" s="73"/>
      <c r="F6" s="73"/>
      <c r="G6" s="73"/>
      <c r="H6" s="74"/>
      <c r="I6" s="17"/>
      <c r="J6" s="17"/>
      <c r="K6" s="17"/>
      <c r="L6" s="17"/>
      <c r="M6" s="17"/>
      <c r="N6" s="17"/>
      <c r="O6" s="17"/>
      <c r="P6" s="17"/>
      <c r="Q6" s="17"/>
      <c r="R6" s="17"/>
      <c r="S6" s="17"/>
      <c r="T6" s="17"/>
      <c r="U6" s="17"/>
      <c r="V6" s="17"/>
      <c r="W6" s="17"/>
      <c r="X6" s="17"/>
      <c r="Y6" s="17"/>
      <c r="Z6" s="17"/>
    </row>
    <row r="7" ht="14.25" customHeight="1">
      <c r="A7" s="17"/>
      <c r="B7" s="17"/>
      <c r="C7" s="17"/>
      <c r="D7" s="70"/>
      <c r="E7" s="176"/>
      <c r="F7" s="18"/>
      <c r="G7" s="17"/>
      <c r="H7" s="17"/>
      <c r="I7" s="17"/>
      <c r="J7" s="17"/>
      <c r="K7" s="17"/>
      <c r="L7" s="17"/>
      <c r="M7" s="17"/>
      <c r="N7" s="17"/>
      <c r="O7" s="17"/>
      <c r="P7" s="17"/>
      <c r="Q7" s="17"/>
      <c r="R7" s="17"/>
      <c r="S7" s="17"/>
      <c r="T7" s="17"/>
      <c r="U7" s="17"/>
      <c r="V7" s="17"/>
      <c r="W7" s="17"/>
      <c r="X7" s="17"/>
      <c r="Y7" s="17"/>
      <c r="Z7" s="17"/>
    </row>
    <row r="8" ht="14.25" customHeight="1">
      <c r="A8" s="17"/>
      <c r="B8" s="17"/>
      <c r="C8" s="17"/>
      <c r="D8" s="18"/>
      <c r="E8" s="148"/>
      <c r="F8" s="17"/>
      <c r="G8" s="17"/>
      <c r="H8" s="17"/>
      <c r="I8" s="17"/>
      <c r="J8" s="17"/>
      <c r="K8" s="17"/>
      <c r="L8" s="17"/>
      <c r="M8" s="17"/>
      <c r="N8" s="17"/>
      <c r="O8" s="17"/>
      <c r="P8" s="17"/>
      <c r="Q8" s="17"/>
      <c r="R8" s="17"/>
      <c r="S8" s="17"/>
      <c r="T8" s="17"/>
      <c r="U8" s="17"/>
      <c r="V8" s="17"/>
      <c r="W8" s="17"/>
      <c r="X8" s="17"/>
      <c r="Y8" s="17"/>
      <c r="Z8" s="17"/>
    </row>
    <row r="9" ht="14.25" customHeight="1">
      <c r="A9" s="17"/>
      <c r="B9" s="17"/>
      <c r="C9" s="17"/>
      <c r="D9" s="17"/>
      <c r="E9" s="148"/>
      <c r="F9" s="17"/>
      <c r="G9" s="17"/>
      <c r="H9" s="17"/>
      <c r="I9" s="17"/>
      <c r="J9" s="17"/>
      <c r="K9" s="17"/>
      <c r="L9" s="17"/>
      <c r="M9" s="17"/>
      <c r="N9" s="17"/>
      <c r="O9" s="17"/>
      <c r="P9" s="17"/>
      <c r="Q9" s="17"/>
      <c r="R9" s="17"/>
      <c r="S9" s="17"/>
      <c r="T9" s="17"/>
      <c r="U9" s="17"/>
      <c r="V9" s="17"/>
      <c r="W9" s="17"/>
      <c r="X9" s="17"/>
      <c r="Y9" s="17"/>
      <c r="Z9" s="17"/>
    </row>
    <row r="10" ht="14.25" customHeight="1">
      <c r="A10" s="17"/>
      <c r="B10" s="17"/>
      <c r="C10" s="17"/>
      <c r="D10" s="177" t="s">
        <v>298</v>
      </c>
      <c r="E10" s="178" t="s">
        <v>101</v>
      </c>
      <c r="F10" s="179" t="s">
        <v>299</v>
      </c>
      <c r="G10" s="180" t="s">
        <v>300</v>
      </c>
      <c r="H10" s="74"/>
      <c r="I10" s="17"/>
      <c r="J10" s="17"/>
      <c r="K10" s="17"/>
      <c r="L10" s="17"/>
      <c r="M10" s="17"/>
      <c r="N10" s="17"/>
      <c r="O10" s="17"/>
      <c r="P10" s="17"/>
      <c r="Q10" s="17"/>
      <c r="R10" s="17"/>
      <c r="S10" s="17"/>
      <c r="T10" s="17"/>
      <c r="U10" s="17"/>
      <c r="V10" s="17"/>
      <c r="W10" s="17"/>
      <c r="X10" s="17"/>
      <c r="Y10" s="17"/>
      <c r="Z10" s="17"/>
    </row>
    <row r="11" ht="46.5" customHeight="1">
      <c r="A11" s="17"/>
      <c r="B11" s="17"/>
      <c r="C11" s="17"/>
      <c r="D11" s="181" t="s">
        <v>301</v>
      </c>
      <c r="E11" s="182" t="s">
        <v>302</v>
      </c>
      <c r="F11" s="183" t="s">
        <v>6</v>
      </c>
      <c r="G11" s="184" t="s">
        <v>303</v>
      </c>
      <c r="H11" s="170"/>
      <c r="I11" s="17"/>
      <c r="J11" s="17"/>
      <c r="K11" s="17"/>
      <c r="L11" s="17"/>
      <c r="M11" s="17"/>
      <c r="N11" s="17"/>
      <c r="O11" s="17"/>
      <c r="P11" s="17"/>
      <c r="Q11" s="17"/>
      <c r="R11" s="17"/>
      <c r="S11" s="17"/>
      <c r="T11" s="17"/>
      <c r="U11" s="17"/>
      <c r="V11" s="17"/>
      <c r="W11" s="17"/>
      <c r="X11" s="17"/>
      <c r="Y11" s="17"/>
      <c r="Z11" s="17"/>
    </row>
    <row r="12" ht="24.75" customHeight="1">
      <c r="A12" s="17"/>
      <c r="B12" s="17"/>
      <c r="C12" s="17"/>
      <c r="D12" s="97"/>
      <c r="E12" s="185" t="s">
        <v>304</v>
      </c>
      <c r="F12" s="186"/>
      <c r="G12" s="187"/>
      <c r="H12" s="167"/>
      <c r="I12" s="17"/>
      <c r="J12" s="17"/>
      <c r="K12" s="17"/>
      <c r="L12" s="17"/>
      <c r="M12" s="17"/>
      <c r="N12" s="17"/>
      <c r="O12" s="17"/>
      <c r="P12" s="17"/>
      <c r="Q12" s="17"/>
      <c r="R12" s="17"/>
      <c r="S12" s="17"/>
      <c r="T12" s="17"/>
      <c r="U12" s="17"/>
      <c r="V12" s="17"/>
      <c r="W12" s="17"/>
      <c r="X12" s="17"/>
      <c r="Y12" s="17"/>
      <c r="Z12" s="17"/>
    </row>
    <row r="13" ht="45.0" customHeight="1">
      <c r="A13" s="17"/>
      <c r="B13" s="17"/>
      <c r="C13" s="17"/>
      <c r="D13" s="188" t="s">
        <v>305</v>
      </c>
      <c r="E13" s="182" t="s">
        <v>306</v>
      </c>
      <c r="F13" s="183" t="s">
        <v>6</v>
      </c>
      <c r="G13" s="184" t="s">
        <v>307</v>
      </c>
      <c r="H13" s="170"/>
      <c r="I13" s="17"/>
      <c r="J13" s="17"/>
      <c r="K13" s="17"/>
      <c r="L13" s="17"/>
      <c r="M13" s="17"/>
      <c r="N13" s="17"/>
      <c r="O13" s="17"/>
      <c r="P13" s="17"/>
      <c r="Q13" s="17"/>
      <c r="R13" s="17"/>
      <c r="S13" s="17"/>
      <c r="T13" s="17"/>
      <c r="U13" s="17"/>
      <c r="V13" s="17"/>
      <c r="W13" s="17"/>
      <c r="X13" s="17"/>
      <c r="Y13" s="17"/>
      <c r="Z13" s="17"/>
    </row>
    <row r="14" ht="24.75" customHeight="1">
      <c r="A14" s="17"/>
      <c r="B14" s="17"/>
      <c r="C14" s="17"/>
      <c r="D14" s="97"/>
      <c r="E14" s="185" t="s">
        <v>308</v>
      </c>
      <c r="F14" s="186"/>
      <c r="G14" s="187"/>
      <c r="H14" s="167"/>
      <c r="I14" s="17"/>
      <c r="J14" s="17"/>
      <c r="K14" s="17"/>
      <c r="L14" s="17"/>
      <c r="M14" s="17"/>
      <c r="N14" s="17"/>
      <c r="O14" s="17"/>
      <c r="P14" s="17"/>
      <c r="Q14" s="17"/>
      <c r="R14" s="17"/>
      <c r="S14" s="17"/>
      <c r="T14" s="17"/>
      <c r="U14" s="17"/>
      <c r="V14" s="17"/>
      <c r="W14" s="17"/>
      <c r="X14" s="17"/>
      <c r="Y14" s="17"/>
      <c r="Z14" s="17"/>
    </row>
    <row r="15" ht="45.0" customHeight="1">
      <c r="A15" s="17"/>
      <c r="B15" s="17"/>
      <c r="C15" s="17"/>
      <c r="D15" s="188" t="s">
        <v>305</v>
      </c>
      <c r="E15" s="182" t="s">
        <v>309</v>
      </c>
      <c r="F15" s="183" t="s">
        <v>20</v>
      </c>
      <c r="G15" s="184" t="s">
        <v>310</v>
      </c>
      <c r="H15" s="170"/>
      <c r="I15" s="17"/>
      <c r="J15" s="17"/>
      <c r="K15" s="17"/>
      <c r="L15" s="17"/>
      <c r="M15" s="17"/>
      <c r="N15" s="17"/>
      <c r="O15" s="17"/>
      <c r="P15" s="17"/>
      <c r="Q15" s="17"/>
      <c r="R15" s="17"/>
      <c r="S15" s="17"/>
      <c r="T15" s="17"/>
      <c r="U15" s="17"/>
      <c r="V15" s="17"/>
      <c r="W15" s="17"/>
      <c r="X15" s="17"/>
      <c r="Y15" s="17"/>
      <c r="Z15" s="17"/>
    </row>
    <row r="16" ht="53.25" customHeight="1">
      <c r="A16" s="17"/>
      <c r="B16" s="17"/>
      <c r="C16" s="17"/>
      <c r="D16" s="189"/>
      <c r="E16" s="182" t="s">
        <v>311</v>
      </c>
      <c r="F16" s="190"/>
      <c r="G16" s="191"/>
      <c r="H16" s="192"/>
      <c r="I16" s="17"/>
      <c r="J16" s="17"/>
      <c r="K16" s="17"/>
      <c r="L16" s="17"/>
      <c r="M16" s="17"/>
      <c r="N16" s="17"/>
      <c r="O16" s="17"/>
      <c r="P16" s="17"/>
      <c r="Q16" s="17"/>
      <c r="R16" s="17"/>
      <c r="S16" s="17"/>
      <c r="T16" s="17"/>
      <c r="U16" s="17"/>
      <c r="V16" s="17"/>
      <c r="W16" s="17"/>
      <c r="X16" s="17"/>
      <c r="Y16" s="17"/>
      <c r="Z16" s="17"/>
    </row>
    <row r="17" ht="24.75" customHeight="1">
      <c r="A17" s="17"/>
      <c r="B17" s="17"/>
      <c r="C17" s="17"/>
      <c r="D17" s="97"/>
      <c r="E17" s="185" t="s">
        <v>312</v>
      </c>
      <c r="F17" s="186"/>
      <c r="G17" s="187"/>
      <c r="H17" s="167"/>
      <c r="I17" s="17"/>
      <c r="J17" s="17"/>
      <c r="K17" s="17"/>
      <c r="L17" s="17"/>
      <c r="M17" s="17"/>
      <c r="N17" s="17"/>
      <c r="O17" s="17"/>
      <c r="P17" s="17"/>
      <c r="Q17" s="17"/>
      <c r="R17" s="17"/>
      <c r="S17" s="17"/>
      <c r="T17" s="17"/>
      <c r="U17" s="17"/>
      <c r="V17" s="17"/>
      <c r="W17" s="17"/>
      <c r="X17" s="17"/>
      <c r="Y17" s="17"/>
      <c r="Z17" s="17"/>
    </row>
    <row r="18" ht="46.5" customHeight="1">
      <c r="A18" s="17"/>
      <c r="B18" s="17"/>
      <c r="C18" s="17"/>
      <c r="D18" s="193" t="s">
        <v>305</v>
      </c>
      <c r="E18" s="182" t="s">
        <v>313</v>
      </c>
      <c r="F18" s="194" t="s">
        <v>6</v>
      </c>
      <c r="G18" s="195" t="s">
        <v>314</v>
      </c>
      <c r="H18" s="74"/>
      <c r="I18" s="17"/>
      <c r="J18" s="17"/>
      <c r="K18" s="17"/>
      <c r="L18" s="17"/>
      <c r="M18" s="17"/>
      <c r="N18" s="17"/>
      <c r="O18" s="17"/>
      <c r="P18" s="17"/>
      <c r="Q18" s="17"/>
      <c r="R18" s="17"/>
      <c r="S18" s="17"/>
      <c r="T18" s="17"/>
      <c r="U18" s="17"/>
      <c r="V18" s="17"/>
      <c r="W18" s="17"/>
      <c r="X18" s="17"/>
      <c r="Y18" s="17"/>
      <c r="Z18" s="17"/>
    </row>
    <row r="19" ht="46.5" customHeight="1">
      <c r="A19" s="17"/>
      <c r="B19" s="17"/>
      <c r="C19" s="17"/>
      <c r="D19" s="157"/>
      <c r="E19" s="196" t="s">
        <v>315</v>
      </c>
      <c r="F19" s="197"/>
      <c r="G19" s="195" t="s">
        <v>316</v>
      </c>
      <c r="H19" s="74"/>
      <c r="I19" s="17"/>
      <c r="J19" s="17"/>
      <c r="K19" s="17"/>
      <c r="L19" s="17"/>
      <c r="M19" s="17"/>
      <c r="N19" s="17"/>
      <c r="O19" s="17"/>
      <c r="P19" s="17"/>
      <c r="Q19" s="17"/>
      <c r="R19" s="17"/>
      <c r="S19" s="17"/>
      <c r="T19" s="17"/>
      <c r="U19" s="17"/>
      <c r="V19" s="17"/>
      <c r="W19" s="17"/>
      <c r="X19" s="17"/>
      <c r="Y19" s="17"/>
      <c r="Z19" s="17"/>
    </row>
    <row r="20" ht="13.5" customHeight="1">
      <c r="A20" s="17"/>
      <c r="B20" s="17"/>
      <c r="C20" s="17"/>
      <c r="D20" s="17"/>
      <c r="E20" s="148"/>
      <c r="F20" s="17"/>
      <c r="G20" s="17"/>
      <c r="H20" s="17"/>
      <c r="I20" s="17"/>
      <c r="J20" s="17"/>
      <c r="K20" s="17"/>
      <c r="L20" s="17"/>
      <c r="M20" s="17"/>
      <c r="N20" s="17"/>
      <c r="O20" s="17"/>
      <c r="P20" s="17"/>
      <c r="Q20" s="17"/>
      <c r="R20" s="17"/>
      <c r="S20" s="17"/>
      <c r="T20" s="17"/>
      <c r="U20" s="17"/>
      <c r="V20" s="17"/>
      <c r="W20" s="17"/>
      <c r="X20" s="17"/>
      <c r="Y20" s="17"/>
      <c r="Z20" s="17"/>
    </row>
    <row r="21" ht="13.5" customHeight="1">
      <c r="A21" s="17"/>
      <c r="B21" s="17"/>
      <c r="C21" s="17"/>
      <c r="D21" s="17"/>
      <c r="E21" s="148"/>
      <c r="F21" s="17"/>
      <c r="G21" s="17"/>
      <c r="H21" s="17"/>
      <c r="I21" s="17"/>
      <c r="J21" s="17"/>
      <c r="K21" s="17"/>
      <c r="L21" s="17"/>
      <c r="M21" s="17"/>
      <c r="N21" s="17"/>
      <c r="O21" s="17"/>
      <c r="P21" s="17"/>
      <c r="Q21" s="17"/>
      <c r="R21" s="17"/>
      <c r="S21" s="17"/>
      <c r="T21" s="17"/>
      <c r="U21" s="17"/>
      <c r="V21" s="17"/>
      <c r="W21" s="17"/>
      <c r="X21" s="17"/>
      <c r="Y21" s="17"/>
      <c r="Z21" s="17"/>
    </row>
    <row r="22" ht="13.5" customHeight="1">
      <c r="A22" s="17"/>
      <c r="B22" s="17"/>
      <c r="C22" s="17"/>
      <c r="D22" s="57" t="s">
        <v>317</v>
      </c>
      <c r="E22" s="198"/>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77" t="s">
        <v>298</v>
      </c>
      <c r="E23" s="178" t="s">
        <v>101</v>
      </c>
      <c r="F23" s="199" t="s">
        <v>299</v>
      </c>
      <c r="G23" s="200" t="s">
        <v>300</v>
      </c>
      <c r="H23" s="74"/>
      <c r="I23" s="17"/>
      <c r="J23" s="17"/>
      <c r="K23" s="17"/>
      <c r="L23" s="17"/>
      <c r="M23" s="17"/>
      <c r="N23" s="17"/>
      <c r="O23" s="17"/>
      <c r="P23" s="17"/>
      <c r="Q23" s="17"/>
      <c r="R23" s="17"/>
      <c r="S23" s="17"/>
      <c r="T23" s="17"/>
      <c r="U23" s="17"/>
      <c r="V23" s="17"/>
      <c r="W23" s="17"/>
      <c r="X23" s="17"/>
      <c r="Y23" s="17"/>
      <c r="Z23" s="17"/>
    </row>
    <row r="24" ht="41.25" customHeight="1">
      <c r="A24" s="17"/>
      <c r="B24" s="17"/>
      <c r="C24" s="17"/>
      <c r="D24" s="62" t="s">
        <v>318</v>
      </c>
      <c r="E24" s="185" t="s">
        <v>319</v>
      </c>
      <c r="F24" s="194" t="s">
        <v>13</v>
      </c>
      <c r="G24" s="195" t="s">
        <v>320</v>
      </c>
      <c r="H24" s="74"/>
      <c r="I24" s="17"/>
      <c r="J24" s="17"/>
      <c r="K24" s="17"/>
      <c r="L24" s="17"/>
      <c r="M24" s="17"/>
      <c r="N24" s="17"/>
      <c r="O24" s="17"/>
      <c r="P24" s="17"/>
      <c r="Q24" s="17"/>
      <c r="R24" s="17"/>
      <c r="S24" s="17"/>
      <c r="T24" s="17"/>
      <c r="U24" s="17"/>
      <c r="V24" s="17"/>
      <c r="W24" s="17"/>
      <c r="X24" s="17"/>
      <c r="Y24" s="17"/>
      <c r="Z24" s="17"/>
    </row>
    <row r="25" ht="14.25" customHeight="1">
      <c r="A25" s="17"/>
      <c r="B25" s="17"/>
      <c r="C25" s="17"/>
      <c r="D25" s="17"/>
      <c r="E25" s="148"/>
      <c r="F25" s="17"/>
      <c r="G25" s="17"/>
      <c r="H25" s="17"/>
      <c r="I25" s="17"/>
      <c r="J25" s="17"/>
      <c r="K25" s="17"/>
      <c r="L25" s="17"/>
      <c r="M25" s="17"/>
      <c r="N25" s="17"/>
      <c r="O25" s="17"/>
      <c r="P25" s="17"/>
      <c r="Q25" s="17"/>
      <c r="R25" s="17"/>
      <c r="S25" s="17"/>
      <c r="T25" s="17"/>
      <c r="U25" s="17"/>
      <c r="V25" s="17"/>
      <c r="W25" s="17"/>
      <c r="X25" s="17"/>
      <c r="Y25" s="17"/>
      <c r="Z25" s="17"/>
    </row>
    <row r="26" ht="14.25" customHeight="1">
      <c r="A26" s="17"/>
      <c r="B26" s="17"/>
      <c r="C26" s="17"/>
      <c r="D26" s="17"/>
      <c r="E26" s="148"/>
      <c r="F26" s="17"/>
      <c r="G26" s="17"/>
      <c r="H26" s="17"/>
      <c r="I26" s="17"/>
      <c r="J26" s="17"/>
      <c r="K26" s="17"/>
      <c r="L26" s="17"/>
      <c r="M26" s="17"/>
      <c r="N26" s="17"/>
      <c r="O26" s="17"/>
      <c r="P26" s="17"/>
      <c r="Q26" s="17"/>
      <c r="R26" s="17"/>
      <c r="S26" s="17"/>
      <c r="T26" s="17"/>
      <c r="U26" s="17"/>
      <c r="V26" s="17"/>
      <c r="W26" s="17"/>
      <c r="X26" s="17"/>
      <c r="Y26" s="17"/>
      <c r="Z26" s="17"/>
    </row>
    <row r="27" ht="4.5" customHeight="1">
      <c r="A27" s="17"/>
      <c r="B27" s="17"/>
      <c r="C27" s="17"/>
      <c r="D27" s="17"/>
      <c r="E27" s="148"/>
      <c r="F27" s="17"/>
      <c r="G27" s="17"/>
      <c r="H27" s="17"/>
      <c r="I27" s="17"/>
      <c r="J27" s="17"/>
      <c r="K27" s="17"/>
      <c r="L27" s="17"/>
      <c r="M27" s="17"/>
      <c r="N27" s="17"/>
      <c r="O27" s="17"/>
      <c r="P27" s="17"/>
      <c r="Q27" s="17"/>
      <c r="R27" s="17"/>
      <c r="S27" s="17"/>
      <c r="T27" s="17"/>
      <c r="U27" s="17"/>
      <c r="V27" s="17"/>
      <c r="W27" s="17"/>
      <c r="X27" s="17"/>
      <c r="Y27" s="17"/>
      <c r="Z27" s="17"/>
    </row>
    <row r="28" ht="7.5" customHeight="1">
      <c r="A28" s="17"/>
      <c r="B28" s="17"/>
      <c r="C28" s="17"/>
      <c r="D28" s="17"/>
      <c r="E28" s="148"/>
      <c r="F28" s="17"/>
      <c r="G28" s="17"/>
      <c r="H28" s="17"/>
      <c r="I28" s="17"/>
      <c r="J28" s="17"/>
      <c r="K28" s="17"/>
      <c r="L28" s="17"/>
      <c r="M28" s="17"/>
      <c r="N28" s="17"/>
      <c r="O28" s="17"/>
      <c r="P28" s="17"/>
      <c r="Q28" s="17"/>
      <c r="R28" s="17"/>
      <c r="S28" s="17"/>
      <c r="T28" s="17"/>
      <c r="U28" s="17"/>
      <c r="V28" s="17"/>
      <c r="W28" s="17"/>
      <c r="X28" s="17"/>
      <c r="Y28" s="17"/>
      <c r="Z28" s="17"/>
    </row>
    <row r="29" ht="7.5" hidden="1" customHeight="1">
      <c r="A29" s="17"/>
      <c r="B29" s="17"/>
      <c r="C29" s="17"/>
      <c r="D29" s="17"/>
      <c r="E29" s="148"/>
      <c r="F29" s="17"/>
      <c r="G29" s="17"/>
      <c r="H29" s="17"/>
      <c r="I29" s="17"/>
      <c r="J29" s="17"/>
      <c r="K29" s="17"/>
      <c r="L29" s="17"/>
      <c r="M29" s="17"/>
      <c r="N29" s="17"/>
      <c r="O29" s="17"/>
      <c r="P29" s="17"/>
      <c r="Q29" s="17"/>
      <c r="R29" s="17"/>
      <c r="S29" s="17"/>
      <c r="T29" s="17"/>
      <c r="U29" s="17"/>
      <c r="V29" s="17"/>
      <c r="W29" s="17"/>
      <c r="X29" s="17"/>
      <c r="Y29" s="17"/>
      <c r="Z29" s="17"/>
    </row>
    <row r="30" ht="14.25" hidden="1" customHeight="1">
      <c r="A30" s="17"/>
      <c r="B30" s="17"/>
      <c r="C30" s="17"/>
      <c r="D30" s="17"/>
      <c r="E30" s="148"/>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7"/>
      <c r="E31" s="148"/>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17"/>
      <c r="D32" s="17"/>
      <c r="E32" s="148"/>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57" t="s">
        <v>321</v>
      </c>
      <c r="E33" s="198"/>
      <c r="H33" s="17"/>
      <c r="I33" s="17"/>
      <c r="J33" s="17"/>
      <c r="K33" s="17"/>
      <c r="L33" s="17"/>
      <c r="M33" s="17"/>
      <c r="N33" s="17"/>
      <c r="O33" s="17"/>
      <c r="P33" s="17"/>
      <c r="Q33" s="17"/>
      <c r="R33" s="17"/>
      <c r="S33" s="17"/>
      <c r="T33" s="17"/>
      <c r="U33" s="17"/>
      <c r="V33" s="17"/>
      <c r="W33" s="17"/>
      <c r="X33" s="17"/>
      <c r="Y33" s="17"/>
      <c r="Z33" s="17"/>
    </row>
    <row r="34" ht="27.0" customHeight="1">
      <c r="A34" s="17"/>
      <c r="B34" s="17"/>
      <c r="C34" s="17"/>
      <c r="D34" s="177" t="s">
        <v>298</v>
      </c>
      <c r="E34" s="178" t="s">
        <v>101</v>
      </c>
      <c r="F34" s="199" t="s">
        <v>299</v>
      </c>
      <c r="G34" s="200" t="s">
        <v>300</v>
      </c>
      <c r="H34" s="74"/>
      <c r="I34" s="17"/>
      <c r="J34" s="17"/>
      <c r="K34" s="17"/>
      <c r="L34" s="17"/>
      <c r="M34" s="17"/>
      <c r="N34" s="17"/>
      <c r="O34" s="17"/>
      <c r="P34" s="17"/>
      <c r="Q34" s="17"/>
      <c r="R34" s="17"/>
      <c r="S34" s="17"/>
      <c r="T34" s="17"/>
      <c r="U34" s="17"/>
      <c r="V34" s="17"/>
      <c r="W34" s="17"/>
      <c r="X34" s="17"/>
      <c r="Y34" s="17"/>
      <c r="Z34" s="17"/>
    </row>
    <row r="35" ht="49.5" customHeight="1">
      <c r="A35" s="17"/>
      <c r="B35" s="17"/>
      <c r="C35" s="17"/>
      <c r="D35" s="201" t="s">
        <v>322</v>
      </c>
      <c r="E35" s="182" t="s">
        <v>323</v>
      </c>
      <c r="F35" s="202" t="s">
        <v>6</v>
      </c>
      <c r="G35" s="203" t="s">
        <v>324</v>
      </c>
      <c r="H35" s="170"/>
      <c r="I35" s="17"/>
      <c r="J35" s="17"/>
      <c r="K35" s="17"/>
      <c r="L35" s="17"/>
      <c r="M35" s="17"/>
      <c r="N35" s="17"/>
      <c r="O35" s="17"/>
      <c r="P35" s="17"/>
      <c r="Q35" s="17"/>
      <c r="R35" s="17"/>
      <c r="S35" s="17"/>
      <c r="T35" s="17"/>
      <c r="U35" s="17"/>
      <c r="V35" s="17"/>
      <c r="W35" s="17"/>
      <c r="X35" s="17"/>
      <c r="Y35" s="17"/>
      <c r="Z35" s="17"/>
    </row>
    <row r="36" ht="14.25" customHeight="1">
      <c r="A36" s="17"/>
      <c r="B36" s="17"/>
      <c r="C36" s="17"/>
      <c r="D36" s="204"/>
      <c r="E36" s="185" t="s">
        <v>325</v>
      </c>
      <c r="F36" s="186"/>
      <c r="G36" s="187"/>
      <c r="H36" s="167"/>
      <c r="I36" s="17"/>
      <c r="J36" s="17"/>
      <c r="K36" s="17"/>
      <c r="L36" s="17"/>
      <c r="M36" s="17"/>
      <c r="N36" s="17"/>
      <c r="O36" s="17"/>
      <c r="P36" s="17"/>
      <c r="Q36" s="17"/>
      <c r="R36" s="17"/>
      <c r="S36" s="17"/>
      <c r="T36" s="17"/>
      <c r="U36" s="17"/>
      <c r="V36" s="17"/>
      <c r="W36" s="17"/>
      <c r="X36" s="17"/>
      <c r="Y36" s="17"/>
      <c r="Z36" s="17"/>
    </row>
    <row r="37" ht="47.25" customHeight="1">
      <c r="A37" s="17"/>
      <c r="B37" s="17"/>
      <c r="C37" s="17"/>
      <c r="D37" s="201" t="s">
        <v>326</v>
      </c>
      <c r="E37" s="182" t="s">
        <v>327</v>
      </c>
      <c r="F37" s="202" t="s">
        <v>13</v>
      </c>
      <c r="G37" s="203" t="s">
        <v>320</v>
      </c>
      <c r="H37" s="170"/>
      <c r="I37" s="17"/>
      <c r="J37" s="17"/>
      <c r="K37" s="17"/>
      <c r="L37" s="17"/>
      <c r="M37" s="17"/>
      <c r="N37" s="17"/>
      <c r="O37" s="17"/>
      <c r="P37" s="17"/>
      <c r="Q37" s="17"/>
      <c r="R37" s="17"/>
      <c r="S37" s="17"/>
      <c r="T37" s="17"/>
      <c r="U37" s="17"/>
      <c r="V37" s="17"/>
      <c r="W37" s="17"/>
      <c r="X37" s="17"/>
      <c r="Y37" s="17"/>
      <c r="Z37" s="17"/>
    </row>
    <row r="38" ht="24.75" customHeight="1">
      <c r="A38" s="17"/>
      <c r="B38" s="17"/>
      <c r="C38" s="17"/>
      <c r="D38" s="204"/>
      <c r="E38" s="185" t="s">
        <v>328</v>
      </c>
      <c r="F38" s="186"/>
      <c r="G38" s="187"/>
      <c r="H38" s="167"/>
      <c r="I38" s="17"/>
      <c r="J38" s="17"/>
      <c r="K38" s="17"/>
      <c r="L38" s="17"/>
      <c r="M38" s="17"/>
      <c r="N38" s="17"/>
      <c r="O38" s="17"/>
      <c r="P38" s="17"/>
      <c r="Q38" s="17"/>
      <c r="R38" s="17"/>
      <c r="S38" s="17"/>
      <c r="T38" s="17"/>
      <c r="U38" s="17"/>
      <c r="V38" s="17"/>
      <c r="W38" s="17"/>
      <c r="X38" s="17"/>
      <c r="Y38" s="17"/>
      <c r="Z38" s="17"/>
    </row>
    <row r="39" ht="39.75" customHeight="1">
      <c r="A39" s="17"/>
      <c r="B39" s="17"/>
      <c r="C39" s="17"/>
      <c r="D39" s="201" t="s">
        <v>329</v>
      </c>
      <c r="E39" s="182" t="s">
        <v>330</v>
      </c>
      <c r="F39" s="202" t="s">
        <v>13</v>
      </c>
      <c r="G39" s="203" t="s">
        <v>320</v>
      </c>
      <c r="H39" s="170"/>
      <c r="I39" s="17"/>
      <c r="J39" s="17"/>
      <c r="K39" s="17"/>
      <c r="L39" s="17"/>
      <c r="M39" s="17"/>
      <c r="N39" s="17"/>
      <c r="O39" s="17"/>
      <c r="P39" s="17"/>
      <c r="Q39" s="17"/>
      <c r="R39" s="17"/>
      <c r="S39" s="17"/>
      <c r="T39" s="17"/>
      <c r="U39" s="17"/>
      <c r="V39" s="17"/>
      <c r="W39" s="17"/>
      <c r="X39" s="17"/>
      <c r="Y39" s="17"/>
      <c r="Z39" s="17"/>
    </row>
    <row r="40" ht="57.0" customHeight="1">
      <c r="A40" s="17"/>
      <c r="B40" s="17"/>
      <c r="C40" s="17"/>
      <c r="D40" s="204"/>
      <c r="E40" s="185" t="s">
        <v>331</v>
      </c>
      <c r="F40" s="186"/>
      <c r="G40" s="187"/>
      <c r="H40" s="167"/>
      <c r="I40" s="17"/>
      <c r="J40" s="17"/>
      <c r="K40" s="17"/>
      <c r="L40" s="17"/>
      <c r="M40" s="17"/>
      <c r="N40" s="17"/>
      <c r="O40" s="17"/>
      <c r="P40" s="17"/>
      <c r="Q40" s="17"/>
      <c r="R40" s="17"/>
      <c r="S40" s="17"/>
      <c r="T40" s="17"/>
      <c r="U40" s="17"/>
      <c r="V40" s="17"/>
      <c r="W40" s="17"/>
      <c r="X40" s="17"/>
      <c r="Y40" s="17"/>
      <c r="Z40" s="17"/>
    </row>
    <row r="41" ht="24.75" customHeight="1">
      <c r="A41" s="17"/>
      <c r="B41" s="17"/>
      <c r="C41" s="17"/>
      <c r="D41" s="17"/>
      <c r="E41" s="148"/>
      <c r="F41" s="17"/>
      <c r="G41" s="17"/>
      <c r="H41" s="17"/>
      <c r="I41" s="17"/>
      <c r="J41" s="17"/>
      <c r="K41" s="17"/>
      <c r="L41" s="17"/>
      <c r="M41" s="17"/>
      <c r="N41" s="17"/>
      <c r="O41" s="17"/>
      <c r="P41" s="17"/>
      <c r="Q41" s="17"/>
      <c r="R41" s="17"/>
      <c r="S41" s="17"/>
      <c r="T41" s="17"/>
      <c r="U41" s="17"/>
      <c r="V41" s="17"/>
      <c r="W41" s="17"/>
      <c r="X41" s="17"/>
      <c r="Y41" s="17"/>
      <c r="Z41" s="17"/>
    </row>
    <row r="42" ht="24.75" hidden="1" customHeight="1">
      <c r="A42" s="17"/>
      <c r="B42" s="17"/>
      <c r="C42" s="17"/>
      <c r="D42" s="57" t="s">
        <v>332</v>
      </c>
      <c r="E42" s="198"/>
      <c r="H42" s="17"/>
      <c r="I42" s="17"/>
      <c r="J42" s="17"/>
      <c r="K42" s="17"/>
      <c r="L42" s="17"/>
      <c r="M42" s="17"/>
      <c r="N42" s="17"/>
      <c r="O42" s="17"/>
      <c r="P42" s="17"/>
      <c r="Q42" s="17"/>
      <c r="R42" s="17"/>
      <c r="S42" s="17"/>
      <c r="T42" s="17"/>
      <c r="U42" s="17"/>
      <c r="V42" s="17"/>
      <c r="W42" s="17"/>
      <c r="X42" s="17"/>
      <c r="Y42" s="17"/>
      <c r="Z42" s="17"/>
    </row>
    <row r="43" ht="24.75" hidden="1" customHeight="1">
      <c r="A43" s="17"/>
      <c r="B43" s="17"/>
      <c r="C43" s="17"/>
      <c r="D43" s="205" t="s">
        <v>298</v>
      </c>
      <c r="E43" s="206" t="s">
        <v>101</v>
      </c>
      <c r="F43" s="207" t="s">
        <v>333</v>
      </c>
      <c r="G43" s="208" t="s">
        <v>300</v>
      </c>
      <c r="H43" s="209"/>
      <c r="I43" s="17"/>
      <c r="J43" s="17"/>
      <c r="K43" s="17"/>
      <c r="L43" s="17"/>
      <c r="M43" s="17"/>
      <c r="N43" s="17"/>
      <c r="O43" s="17"/>
      <c r="P43" s="17"/>
      <c r="Q43" s="17"/>
      <c r="R43" s="17"/>
      <c r="S43" s="17"/>
      <c r="T43" s="17"/>
      <c r="U43" s="17"/>
      <c r="V43" s="17"/>
      <c r="W43" s="17"/>
      <c r="X43" s="17"/>
      <c r="Y43" s="17"/>
      <c r="Z43" s="17"/>
    </row>
    <row r="44" ht="34.5" hidden="1" customHeight="1">
      <c r="A44" s="17"/>
      <c r="B44" s="17"/>
      <c r="C44" s="17"/>
      <c r="D44" s="210"/>
      <c r="E44" s="211" t="s">
        <v>323</v>
      </c>
      <c r="F44" s="210"/>
      <c r="G44" s="212"/>
      <c r="H44" s="209"/>
      <c r="I44" s="17"/>
      <c r="J44" s="17"/>
      <c r="K44" s="17"/>
      <c r="L44" s="17"/>
      <c r="M44" s="17"/>
      <c r="N44" s="17"/>
      <c r="O44" s="17"/>
      <c r="P44" s="17"/>
      <c r="Q44" s="17"/>
      <c r="R44" s="17"/>
      <c r="S44" s="17"/>
      <c r="T44" s="17"/>
      <c r="U44" s="17"/>
      <c r="V44" s="17"/>
      <c r="W44" s="17"/>
      <c r="X44" s="17"/>
      <c r="Y44" s="17"/>
      <c r="Z44" s="17"/>
    </row>
    <row r="45" ht="14.25" hidden="1" customHeight="1">
      <c r="A45" s="17"/>
      <c r="B45" s="17"/>
      <c r="C45" s="17"/>
      <c r="D45" s="213"/>
      <c r="E45" s="213"/>
      <c r="F45" s="213"/>
      <c r="G45" s="214"/>
      <c r="H45" s="215"/>
      <c r="I45" s="17"/>
      <c r="J45" s="17"/>
      <c r="K45" s="17"/>
      <c r="L45" s="17"/>
      <c r="M45" s="17"/>
      <c r="N45" s="17"/>
      <c r="O45" s="17"/>
      <c r="P45" s="17"/>
      <c r="Q45" s="17"/>
      <c r="R45" s="17"/>
      <c r="S45" s="17"/>
      <c r="T45" s="17"/>
      <c r="U45" s="17"/>
      <c r="V45" s="17"/>
      <c r="W45" s="17"/>
      <c r="X45" s="17"/>
      <c r="Y45" s="17"/>
      <c r="Z45" s="17"/>
    </row>
    <row r="46" ht="19.5" hidden="1" customHeight="1">
      <c r="A46" s="17"/>
      <c r="B46" s="17"/>
      <c r="C46" s="17"/>
      <c r="D46" s="216" t="s">
        <v>334</v>
      </c>
      <c r="E46" s="185" t="s">
        <v>335</v>
      </c>
      <c r="F46" s="217"/>
      <c r="G46" s="218"/>
      <c r="H46" s="74"/>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48"/>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48"/>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48"/>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48"/>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48"/>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48"/>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48"/>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48"/>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48"/>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48"/>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48"/>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48"/>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48"/>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48"/>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48"/>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48"/>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48"/>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48"/>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48"/>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48"/>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48"/>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48"/>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48"/>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48"/>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48"/>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48"/>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48"/>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48"/>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48"/>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48"/>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48"/>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48"/>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48"/>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48"/>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48"/>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48"/>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48"/>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48"/>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48"/>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48"/>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48"/>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48"/>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48"/>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48"/>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48"/>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48"/>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48"/>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48"/>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48"/>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48"/>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48"/>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48"/>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48"/>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48"/>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48"/>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48"/>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48"/>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48"/>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48"/>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48"/>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48"/>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48"/>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48"/>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48"/>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48"/>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48"/>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48"/>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48"/>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48"/>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48"/>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48"/>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48"/>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48"/>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48"/>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48"/>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48"/>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48"/>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48"/>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48"/>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48"/>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48"/>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48"/>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48"/>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48"/>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48"/>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48"/>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48"/>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48"/>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48"/>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48"/>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48"/>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48"/>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48"/>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48"/>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48"/>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48"/>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48"/>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48"/>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48"/>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48"/>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48"/>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48"/>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48"/>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48"/>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48"/>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48"/>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48"/>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48"/>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48"/>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48"/>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48"/>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48"/>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48"/>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48"/>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48"/>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48"/>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48"/>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48"/>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48"/>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48"/>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48"/>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48"/>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48"/>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48"/>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48"/>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48"/>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48"/>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48"/>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48"/>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48"/>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48"/>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48"/>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48"/>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48"/>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48"/>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48"/>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48"/>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48"/>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48"/>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48"/>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48"/>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48"/>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48"/>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48"/>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48"/>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48"/>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48"/>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48"/>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48"/>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48"/>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48"/>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48"/>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48"/>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48"/>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48"/>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48"/>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48"/>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48"/>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48"/>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48"/>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48"/>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48"/>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48"/>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48"/>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48"/>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48"/>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48"/>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48"/>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48"/>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48"/>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48"/>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48"/>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48"/>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48"/>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48"/>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48"/>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48"/>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48"/>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48"/>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48"/>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48"/>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48"/>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48"/>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48"/>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48"/>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48"/>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48"/>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48"/>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48"/>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48"/>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48"/>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48"/>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48"/>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48"/>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48"/>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48"/>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48"/>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48"/>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48"/>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48"/>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48"/>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48"/>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48"/>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48"/>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48"/>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48"/>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48"/>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48"/>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48"/>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48"/>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48"/>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48"/>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48"/>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48"/>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48"/>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48"/>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48"/>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48"/>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48"/>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48"/>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48"/>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48"/>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48"/>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48"/>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48"/>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48"/>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48"/>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48"/>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48"/>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48"/>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48"/>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48"/>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48"/>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48"/>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48"/>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48"/>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48"/>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48"/>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48"/>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48"/>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48"/>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48"/>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48"/>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48"/>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48"/>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48"/>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48"/>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48"/>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48"/>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48"/>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48"/>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48"/>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48"/>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48"/>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48"/>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48"/>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48"/>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48"/>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48"/>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48"/>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48"/>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48"/>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48"/>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48"/>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48"/>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48"/>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48"/>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48"/>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48"/>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48"/>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48"/>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48"/>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48"/>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48"/>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48"/>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48"/>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48"/>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48"/>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48"/>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48"/>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48"/>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48"/>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48"/>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48"/>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48"/>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48"/>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48"/>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48"/>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48"/>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48"/>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48"/>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48"/>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48"/>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48"/>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48"/>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48"/>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48"/>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48"/>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48"/>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48"/>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48"/>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48"/>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48"/>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48"/>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48"/>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48"/>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48"/>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48"/>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48"/>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48"/>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48"/>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48"/>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48"/>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48"/>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48"/>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48"/>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48"/>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48"/>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48"/>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48"/>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48"/>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48"/>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48"/>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48"/>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48"/>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48"/>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48"/>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48"/>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48"/>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48"/>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48"/>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48"/>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48"/>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48"/>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48"/>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48"/>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48"/>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48"/>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48"/>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48"/>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48"/>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48"/>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48"/>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48"/>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48"/>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48"/>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48"/>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48"/>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48"/>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48"/>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48"/>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48"/>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48"/>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48"/>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48"/>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48"/>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48"/>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48"/>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48"/>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48"/>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48"/>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48"/>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48"/>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48"/>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48"/>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48"/>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48"/>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48"/>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48"/>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48"/>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48"/>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48"/>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48"/>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48"/>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48"/>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48"/>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48"/>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48"/>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48"/>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48"/>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48"/>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48"/>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48"/>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48"/>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48"/>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48"/>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48"/>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48"/>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48"/>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48"/>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48"/>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48"/>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48"/>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48"/>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48"/>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48"/>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48"/>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48"/>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48"/>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48"/>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48"/>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48"/>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48"/>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48"/>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48"/>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48"/>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48"/>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48"/>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48"/>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48"/>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48"/>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48"/>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48"/>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48"/>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48"/>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48"/>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48"/>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48"/>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48"/>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48"/>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48"/>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48"/>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48"/>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48"/>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48"/>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48"/>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48"/>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48"/>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48"/>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48"/>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48"/>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48"/>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48"/>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48"/>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48"/>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48"/>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48"/>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48"/>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48"/>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48"/>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48"/>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48"/>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48"/>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48"/>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48"/>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48"/>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48"/>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48"/>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48"/>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48"/>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48"/>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48"/>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48"/>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48"/>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48"/>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48"/>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48"/>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48"/>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48"/>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48"/>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48"/>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48"/>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48"/>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48"/>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48"/>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48"/>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48"/>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48"/>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48"/>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48"/>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48"/>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48"/>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48"/>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48"/>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48"/>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48"/>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48"/>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48"/>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48"/>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48"/>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48"/>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48"/>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48"/>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48"/>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48"/>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48"/>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48"/>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48"/>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48"/>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48"/>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48"/>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48"/>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48"/>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48"/>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48"/>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48"/>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48"/>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48"/>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48"/>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48"/>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48"/>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48"/>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48"/>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48"/>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48"/>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48"/>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48"/>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48"/>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48"/>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48"/>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48"/>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48"/>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48"/>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48"/>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48"/>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48"/>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48"/>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48"/>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48"/>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48"/>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48"/>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48"/>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48"/>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48"/>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48"/>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48"/>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48"/>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48"/>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48"/>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48"/>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48"/>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48"/>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48"/>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48"/>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48"/>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48"/>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48"/>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48"/>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48"/>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48"/>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48"/>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48"/>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48"/>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48"/>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48"/>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48"/>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48"/>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48"/>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48"/>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48"/>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48"/>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48"/>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48"/>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48"/>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48"/>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48"/>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48"/>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48"/>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48"/>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48"/>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48"/>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48"/>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48"/>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48"/>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48"/>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48"/>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48"/>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48"/>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48"/>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48"/>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48"/>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48"/>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48"/>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48"/>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48"/>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48"/>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48"/>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48"/>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48"/>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48"/>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48"/>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48"/>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48"/>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48"/>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48"/>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48"/>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48"/>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48"/>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48"/>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48"/>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48"/>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48"/>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48"/>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48"/>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48"/>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48"/>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48"/>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48"/>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48"/>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48"/>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48"/>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48"/>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48"/>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48"/>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48"/>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48"/>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48"/>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48"/>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48"/>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48"/>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48"/>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48"/>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48"/>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48"/>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48"/>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48"/>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48"/>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48"/>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48"/>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48"/>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48"/>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48"/>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48"/>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48"/>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48"/>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48"/>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48"/>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48"/>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48"/>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48"/>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48"/>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48"/>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48"/>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48"/>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48"/>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48"/>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48"/>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48"/>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48"/>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48"/>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48"/>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48"/>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48"/>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48"/>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48"/>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48"/>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48"/>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48"/>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48"/>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48"/>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48"/>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48"/>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48"/>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48"/>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48"/>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48"/>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48"/>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48"/>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48"/>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48"/>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48"/>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48"/>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48"/>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48"/>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48"/>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48"/>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48"/>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48"/>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48"/>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48"/>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48"/>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48"/>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48"/>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48"/>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48"/>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48"/>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48"/>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48"/>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48"/>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48"/>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48"/>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48"/>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48"/>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48"/>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48"/>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48"/>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48"/>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48"/>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48"/>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48"/>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48"/>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48"/>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48"/>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48"/>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48"/>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48"/>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48"/>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48"/>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48"/>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48"/>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48"/>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48"/>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48"/>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48"/>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48"/>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48"/>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48"/>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48"/>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48"/>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48"/>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48"/>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48"/>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48"/>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48"/>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48"/>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48"/>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48"/>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48"/>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48"/>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48"/>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48"/>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48"/>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48"/>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48"/>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48"/>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48"/>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48"/>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48"/>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48"/>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48"/>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48"/>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48"/>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48"/>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48"/>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48"/>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48"/>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48"/>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48"/>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48"/>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48"/>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48"/>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48"/>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48"/>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48"/>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48"/>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48"/>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48"/>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48"/>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48"/>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48"/>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48"/>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48"/>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48"/>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48"/>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48"/>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48"/>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48"/>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48"/>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48"/>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48"/>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48"/>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48"/>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48"/>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48"/>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48"/>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48"/>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48"/>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48"/>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48"/>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48"/>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48"/>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48"/>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48"/>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48"/>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48"/>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48"/>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48"/>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48"/>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48"/>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48"/>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48"/>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48"/>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48"/>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48"/>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48"/>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48"/>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48"/>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48"/>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48"/>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48"/>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48"/>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48"/>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48"/>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48"/>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48"/>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48"/>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48"/>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48"/>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48"/>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48"/>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48"/>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48"/>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48"/>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48"/>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48"/>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48"/>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48"/>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48"/>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48"/>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48"/>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48"/>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48"/>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48"/>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48"/>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48"/>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48"/>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48"/>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48"/>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48"/>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48"/>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48"/>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48"/>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48"/>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48"/>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48"/>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48"/>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48"/>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48"/>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48"/>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48"/>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48"/>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48"/>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48"/>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48"/>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48"/>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48"/>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48"/>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48"/>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48"/>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48"/>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48"/>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48"/>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48"/>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48"/>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48"/>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48"/>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48"/>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48"/>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48"/>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48"/>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48"/>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48"/>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48"/>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48"/>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48"/>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48"/>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48"/>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48"/>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48"/>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48"/>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48"/>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48"/>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48"/>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48"/>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48"/>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48"/>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48"/>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48"/>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48"/>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48"/>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48"/>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48"/>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48"/>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48"/>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48"/>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48"/>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48"/>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48"/>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48"/>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48"/>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48"/>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48"/>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48"/>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48"/>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48"/>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48"/>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48"/>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48"/>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48"/>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48"/>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48"/>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48"/>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48"/>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48"/>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48"/>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48"/>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48"/>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48"/>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48"/>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48"/>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48"/>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48"/>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48"/>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48"/>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48"/>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48"/>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48"/>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48"/>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48"/>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48"/>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48"/>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48"/>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48"/>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48"/>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48"/>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48"/>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48"/>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48"/>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48"/>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48"/>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48"/>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48"/>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48"/>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48"/>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48"/>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48"/>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48"/>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48"/>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48"/>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48"/>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48"/>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48"/>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48"/>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48"/>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48"/>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48"/>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48"/>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48"/>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48"/>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48"/>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48"/>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48"/>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48"/>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48"/>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48"/>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48"/>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48"/>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48"/>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48"/>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48"/>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48"/>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48"/>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48"/>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48"/>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8">
    <mergeCell ref="D6:H6"/>
    <mergeCell ref="G10:H10"/>
    <mergeCell ref="D11:D12"/>
    <mergeCell ref="F11:F12"/>
    <mergeCell ref="G11:H12"/>
    <mergeCell ref="F13:F14"/>
    <mergeCell ref="G13:H14"/>
    <mergeCell ref="D13:D14"/>
    <mergeCell ref="D15:D17"/>
    <mergeCell ref="F15:F17"/>
    <mergeCell ref="G15:H17"/>
    <mergeCell ref="G18:H18"/>
    <mergeCell ref="G19:H19"/>
    <mergeCell ref="G23:H23"/>
    <mergeCell ref="G39:H40"/>
    <mergeCell ref="G43:H43"/>
    <mergeCell ref="D44:D45"/>
    <mergeCell ref="E44:E45"/>
    <mergeCell ref="F44:F45"/>
    <mergeCell ref="G44:H45"/>
    <mergeCell ref="G46:H46"/>
    <mergeCell ref="G24:H24"/>
    <mergeCell ref="G34:H34"/>
    <mergeCell ref="F35:F36"/>
    <mergeCell ref="G35:H36"/>
    <mergeCell ref="F37:F38"/>
    <mergeCell ref="G37:H38"/>
    <mergeCell ref="F39:F40"/>
  </mergeCells>
  <conditionalFormatting sqref="F11:H11 F13 F15:H15 F24:H24 F35:H35 F37 F39 F46:H46 G12:H14 G16:H19 G36:H40">
    <cfRule type="cellIs" dxfId="2" priority="1" operator="equal">
      <formula>$C$4</formula>
    </cfRule>
  </conditionalFormatting>
  <conditionalFormatting sqref="F18">
    <cfRule type="cellIs" dxfId="2" priority="2" operator="equal">
      <formula>$C$4</formula>
    </cfRule>
  </conditionalFormatting>
  <dataValidations>
    <dataValidation type="list" allowBlank="1" showErrorMessage="1" sqref="F11 F13 F15 F18 F24 F35 F37 F39">
      <formula1>Mapping!$A$2:$A$4</formula1>
    </dataValidation>
    <dataValidation type="list" allowBlank="1" showErrorMessage="1" sqref="M13">
      <formula1>"High,Medium,Low"</formula1>
    </dataValidation>
  </dataValidations>
  <printOptions/>
  <pageMargins bottom="0.75" footer="0.0" header="0.0" left="0.7" right="0.7" top="0.75"/>
  <pageSetup orientation="portrait"/>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workbookViewId="0"/>
  </sheetViews>
  <sheetFormatPr customHeight="1" defaultColWidth="14.43" defaultRowHeight="15.0"/>
  <cols>
    <col customWidth="1" min="1" max="2" width="9.14"/>
    <col customWidth="1" min="3" max="3" width="15.14"/>
    <col customWidth="1" min="4" max="4" width="11.71"/>
    <col customWidth="1" min="5" max="5" width="23.0"/>
    <col customWidth="1" min="6" max="11" width="9.14"/>
    <col customWidth="1" min="12" max="12" width="11.86"/>
    <col customWidth="1" min="13" max="13" width="5.86"/>
    <col customWidth="1" min="14"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7"/>
      <c r="F5" s="17"/>
      <c r="G5" s="17"/>
      <c r="H5" s="17"/>
      <c r="I5" s="17"/>
      <c r="J5" s="17"/>
      <c r="K5" s="17"/>
      <c r="L5" s="17"/>
      <c r="M5" s="17"/>
      <c r="N5" s="17"/>
      <c r="O5" s="17"/>
      <c r="P5" s="17"/>
      <c r="Q5" s="17"/>
      <c r="R5" s="17"/>
      <c r="S5" s="17"/>
      <c r="T5" s="17"/>
      <c r="U5" s="17"/>
      <c r="V5" s="17"/>
      <c r="W5" s="17"/>
      <c r="X5" s="17"/>
      <c r="Y5" s="17"/>
      <c r="Z5" s="17"/>
    </row>
    <row r="6" ht="14.25" customHeight="1">
      <c r="A6" s="17"/>
      <c r="B6" s="69" t="s">
        <v>336</v>
      </c>
      <c r="C6" s="69"/>
      <c r="D6" s="69"/>
      <c r="E6" s="69"/>
      <c r="F6" s="69"/>
      <c r="G6" s="69"/>
      <c r="H6" s="69"/>
      <c r="I6" s="69"/>
      <c r="J6" s="69"/>
      <c r="K6" s="69"/>
      <c r="L6" s="69"/>
      <c r="M6" s="69"/>
      <c r="N6" s="17"/>
      <c r="O6" s="17"/>
      <c r="P6" s="17"/>
      <c r="Q6" s="17"/>
      <c r="R6" s="17"/>
      <c r="S6" s="17"/>
      <c r="T6" s="17"/>
      <c r="U6" s="17"/>
      <c r="V6" s="17"/>
      <c r="W6" s="17"/>
      <c r="X6" s="17"/>
      <c r="Y6" s="17"/>
      <c r="Z6" s="17"/>
    </row>
    <row r="7" ht="14.25" customHeight="1">
      <c r="A7" s="17"/>
      <c r="B7" s="219"/>
      <c r="C7" s="219"/>
      <c r="D7" s="219"/>
      <c r="E7" s="219"/>
      <c r="F7" s="219"/>
      <c r="G7" s="219"/>
      <c r="H7" s="219"/>
      <c r="I7" s="219"/>
      <c r="J7" s="219"/>
      <c r="K7" s="219"/>
      <c r="L7" s="219"/>
      <c r="M7" s="219"/>
      <c r="N7" s="17"/>
      <c r="O7" s="17"/>
      <c r="P7" s="17"/>
      <c r="Q7" s="17"/>
      <c r="R7" s="17"/>
      <c r="S7" s="17"/>
      <c r="T7" s="17"/>
      <c r="U7" s="17"/>
      <c r="V7" s="17"/>
      <c r="W7" s="17"/>
      <c r="X7" s="17"/>
      <c r="Y7" s="17"/>
      <c r="Z7" s="17"/>
    </row>
    <row r="8" ht="14.25" customHeight="1">
      <c r="A8" s="17"/>
      <c r="B8" s="220" t="s">
        <v>337</v>
      </c>
      <c r="C8" s="52"/>
      <c r="D8" s="52"/>
      <c r="E8" s="52"/>
      <c r="F8" s="52"/>
      <c r="G8" s="52"/>
      <c r="H8" s="52"/>
      <c r="I8" s="52"/>
      <c r="J8" s="52"/>
      <c r="K8" s="53"/>
      <c r="L8" s="17"/>
      <c r="M8" s="17"/>
      <c r="N8" s="17"/>
      <c r="O8" s="17"/>
      <c r="P8" s="17"/>
      <c r="Q8" s="17"/>
      <c r="R8" s="17"/>
      <c r="S8" s="17"/>
      <c r="T8" s="17"/>
      <c r="U8" s="17"/>
      <c r="V8" s="17"/>
      <c r="W8" s="17"/>
      <c r="X8" s="17"/>
      <c r="Y8" s="17"/>
      <c r="Z8" s="17"/>
    </row>
    <row r="9" ht="88.5" customHeight="1">
      <c r="A9" s="17"/>
      <c r="B9" s="221" t="s">
        <v>338</v>
      </c>
      <c r="C9" s="52"/>
      <c r="D9" s="52"/>
      <c r="E9" s="52"/>
      <c r="F9" s="52"/>
      <c r="G9" s="52"/>
      <c r="H9" s="52"/>
      <c r="I9" s="52"/>
      <c r="J9" s="52"/>
      <c r="K9" s="52"/>
      <c r="L9" s="52"/>
      <c r="M9" s="53"/>
      <c r="N9" s="17"/>
      <c r="O9" s="17"/>
      <c r="P9" s="17"/>
      <c r="Q9" s="17"/>
      <c r="R9" s="17"/>
      <c r="S9" s="17"/>
      <c r="T9" s="17"/>
      <c r="U9" s="17"/>
      <c r="V9" s="17"/>
      <c r="W9" s="17"/>
      <c r="X9" s="17"/>
      <c r="Y9" s="17"/>
      <c r="Z9" s="17"/>
    </row>
    <row r="10" ht="17.25" customHeight="1">
      <c r="A10" s="17"/>
      <c r="B10" s="222" t="s">
        <v>339</v>
      </c>
      <c r="C10" s="52"/>
      <c r="D10" s="52"/>
      <c r="E10" s="52"/>
      <c r="F10" s="52"/>
      <c r="G10" s="52"/>
      <c r="H10" s="52"/>
      <c r="I10" s="52"/>
      <c r="J10" s="52"/>
      <c r="K10" s="52"/>
      <c r="L10" s="52"/>
      <c r="M10" s="53"/>
      <c r="N10" s="17"/>
      <c r="O10" s="17"/>
      <c r="P10" s="17"/>
      <c r="Q10" s="17"/>
      <c r="R10" s="17"/>
      <c r="S10" s="17"/>
      <c r="T10" s="17"/>
      <c r="U10" s="17"/>
      <c r="V10" s="17"/>
      <c r="W10" s="17"/>
      <c r="X10" s="17"/>
      <c r="Y10" s="17"/>
      <c r="Z10" s="17"/>
    </row>
    <row r="11" ht="14.25" customHeight="1">
      <c r="A11" s="17"/>
      <c r="B11" s="223"/>
      <c r="C11" s="52"/>
      <c r="D11" s="52"/>
      <c r="E11" s="52"/>
      <c r="F11" s="52"/>
      <c r="G11" s="52"/>
      <c r="H11" s="52"/>
      <c r="I11" s="52"/>
      <c r="J11" s="52"/>
      <c r="K11" s="52"/>
      <c r="L11" s="52"/>
      <c r="M11" s="53"/>
      <c r="N11" s="17"/>
      <c r="O11" s="17"/>
      <c r="P11" s="17"/>
      <c r="Q11" s="17"/>
      <c r="R11" s="17"/>
      <c r="S11" s="17"/>
      <c r="T11" s="17"/>
      <c r="U11" s="17"/>
      <c r="V11" s="17"/>
      <c r="W11" s="17"/>
      <c r="X11" s="17"/>
      <c r="Y11" s="17"/>
      <c r="Z11" s="17"/>
    </row>
    <row r="12" ht="14.25" customHeight="1">
      <c r="A12" s="17"/>
      <c r="B12" s="224" t="s">
        <v>340</v>
      </c>
      <c r="C12" s="148"/>
      <c r="D12" s="148"/>
      <c r="E12" s="148"/>
      <c r="F12" s="148"/>
      <c r="G12" s="148"/>
      <c r="H12" s="148"/>
      <c r="I12" s="148"/>
      <c r="J12" s="148"/>
      <c r="K12" s="148"/>
      <c r="L12" s="148"/>
      <c r="M12" s="148"/>
      <c r="N12" s="17"/>
      <c r="O12" s="17"/>
      <c r="P12" s="17"/>
      <c r="Q12" s="17"/>
      <c r="R12" s="17"/>
      <c r="S12" s="17"/>
      <c r="T12" s="17"/>
      <c r="U12" s="17"/>
      <c r="V12" s="17"/>
      <c r="W12" s="17"/>
      <c r="X12" s="17"/>
      <c r="Y12" s="17"/>
      <c r="Z12" s="17"/>
    </row>
    <row r="13" ht="20.25" customHeight="1">
      <c r="A13" s="17"/>
      <c r="B13" s="225" t="s">
        <v>341</v>
      </c>
      <c r="C13" s="52"/>
      <c r="D13" s="52"/>
      <c r="E13" s="52"/>
      <c r="F13" s="52"/>
      <c r="G13" s="52"/>
      <c r="H13" s="52"/>
      <c r="I13" s="52"/>
      <c r="J13" s="52"/>
      <c r="K13" s="52"/>
      <c r="L13" s="52"/>
      <c r="M13" s="53"/>
      <c r="N13" s="17"/>
      <c r="O13" s="17"/>
      <c r="P13" s="17"/>
      <c r="Q13" s="17"/>
      <c r="R13" s="17"/>
      <c r="S13" s="17"/>
      <c r="T13" s="17"/>
      <c r="U13" s="17"/>
      <c r="V13" s="17"/>
      <c r="W13" s="17"/>
      <c r="X13" s="17"/>
      <c r="Y13" s="17"/>
      <c r="Z13" s="17"/>
    </row>
    <row r="14" ht="14.25" customHeight="1">
      <c r="A14" s="17"/>
      <c r="B14" s="225" t="s">
        <v>342</v>
      </c>
      <c r="C14" s="52"/>
      <c r="D14" s="52"/>
      <c r="E14" s="52"/>
      <c r="F14" s="52"/>
      <c r="G14" s="52"/>
      <c r="H14" s="52"/>
      <c r="I14" s="52"/>
      <c r="J14" s="52"/>
      <c r="K14" s="52"/>
      <c r="L14" s="52"/>
      <c r="M14" s="53"/>
      <c r="N14" s="17"/>
      <c r="O14" s="17"/>
      <c r="P14" s="17"/>
      <c r="Q14" s="17"/>
      <c r="R14" s="17"/>
      <c r="S14" s="17"/>
      <c r="T14" s="17"/>
      <c r="U14" s="17"/>
      <c r="V14" s="17"/>
      <c r="W14" s="17"/>
      <c r="X14" s="17"/>
      <c r="Y14" s="17"/>
      <c r="Z14" s="17"/>
    </row>
    <row r="15" ht="13.5" customHeight="1">
      <c r="A15" s="17"/>
      <c r="B15" s="219"/>
      <c r="C15" s="219"/>
      <c r="D15" s="219"/>
      <c r="E15" s="219"/>
      <c r="F15" s="219"/>
      <c r="G15" s="219"/>
      <c r="H15" s="219"/>
      <c r="I15" s="219"/>
      <c r="J15" s="219"/>
      <c r="K15" s="219"/>
      <c r="L15" s="219"/>
      <c r="M15" s="219"/>
      <c r="N15" s="17"/>
      <c r="O15" s="17"/>
      <c r="P15" s="17"/>
      <c r="Q15" s="17"/>
      <c r="R15" s="17"/>
      <c r="S15" s="17"/>
      <c r="T15" s="17"/>
      <c r="U15" s="17"/>
      <c r="V15" s="17"/>
      <c r="W15" s="17"/>
      <c r="X15" s="17"/>
      <c r="Y15" s="17"/>
      <c r="Z15" s="17"/>
    </row>
    <row r="16" ht="13.5" customHeight="1">
      <c r="A16" s="17"/>
      <c r="B16" s="220" t="s">
        <v>343</v>
      </c>
      <c r="C16" s="52"/>
      <c r="D16" s="52"/>
      <c r="E16" s="52"/>
      <c r="F16" s="52"/>
      <c r="G16" s="52"/>
      <c r="H16" s="52"/>
      <c r="I16" s="52"/>
      <c r="J16" s="52"/>
      <c r="K16" s="52"/>
      <c r="L16" s="52"/>
      <c r="M16" s="53"/>
      <c r="N16" s="17"/>
      <c r="O16" s="17"/>
      <c r="P16" s="17"/>
      <c r="Q16" s="17"/>
      <c r="R16" s="17"/>
      <c r="S16" s="17"/>
      <c r="T16" s="17"/>
      <c r="U16" s="17"/>
      <c r="V16" s="17"/>
      <c r="W16" s="17"/>
      <c r="X16" s="17"/>
      <c r="Y16" s="17"/>
      <c r="Z16" s="17"/>
    </row>
    <row r="17" ht="13.5" customHeight="1">
      <c r="A17" s="17"/>
      <c r="B17" s="219"/>
      <c r="C17" s="219"/>
      <c r="D17" s="219"/>
      <c r="E17" s="219"/>
      <c r="F17" s="219"/>
      <c r="G17" s="219"/>
      <c r="H17" s="219"/>
      <c r="I17" s="219"/>
      <c r="J17" s="219"/>
      <c r="K17" s="219"/>
      <c r="L17" s="219"/>
      <c r="M17" s="219"/>
      <c r="N17" s="17"/>
      <c r="O17" s="17"/>
      <c r="P17" s="17"/>
      <c r="Q17" s="17"/>
      <c r="R17" s="17"/>
      <c r="S17" s="17"/>
      <c r="T17" s="17"/>
      <c r="U17" s="17"/>
      <c r="V17" s="17"/>
      <c r="W17" s="17"/>
      <c r="X17" s="17"/>
      <c r="Y17" s="17"/>
      <c r="Z17" s="17"/>
    </row>
    <row r="18" ht="29.25" customHeight="1">
      <c r="A18" s="17"/>
      <c r="B18" s="223" t="s">
        <v>344</v>
      </c>
      <c r="C18" s="52"/>
      <c r="D18" s="52"/>
      <c r="E18" s="52"/>
      <c r="F18" s="52"/>
      <c r="G18" s="52"/>
      <c r="H18" s="52"/>
      <c r="I18" s="52"/>
      <c r="J18" s="52"/>
      <c r="K18" s="52"/>
      <c r="L18" s="52"/>
      <c r="M18" s="53"/>
      <c r="N18" s="17"/>
      <c r="O18" s="17"/>
      <c r="P18" s="17"/>
      <c r="Q18" s="17"/>
      <c r="R18" s="17"/>
      <c r="S18" s="17"/>
      <c r="T18" s="17"/>
      <c r="U18" s="17"/>
      <c r="V18" s="17"/>
      <c r="W18" s="17"/>
      <c r="X18" s="17"/>
      <c r="Y18" s="17"/>
      <c r="Z18" s="17"/>
    </row>
    <row r="19" ht="13.5" customHeight="1">
      <c r="A19" s="17"/>
      <c r="B19" s="226" t="s">
        <v>340</v>
      </c>
      <c r="C19" s="52"/>
      <c r="D19" s="52"/>
      <c r="E19" s="52"/>
      <c r="F19" s="52"/>
      <c r="G19" s="52"/>
      <c r="H19" s="52"/>
      <c r="I19" s="52"/>
      <c r="J19" s="52"/>
      <c r="K19" s="52"/>
      <c r="L19" s="52"/>
      <c r="M19" s="53"/>
      <c r="N19" s="17"/>
      <c r="O19" s="17"/>
      <c r="P19" s="17"/>
      <c r="Q19" s="17"/>
      <c r="R19" s="17"/>
      <c r="S19" s="17"/>
      <c r="T19" s="17"/>
      <c r="U19" s="17"/>
      <c r="V19" s="17"/>
      <c r="W19" s="17"/>
      <c r="X19" s="17"/>
      <c r="Y19" s="17"/>
      <c r="Z19" s="17"/>
    </row>
    <row r="20" ht="13.5" customHeight="1">
      <c r="A20" s="17"/>
      <c r="B20" s="227" t="s">
        <v>345</v>
      </c>
      <c r="C20" s="52"/>
      <c r="D20" s="52"/>
      <c r="E20" s="52"/>
      <c r="F20" s="52"/>
      <c r="G20" s="52"/>
      <c r="H20" s="52"/>
      <c r="I20" s="52"/>
      <c r="J20" s="52"/>
      <c r="K20" s="52"/>
      <c r="L20" s="52"/>
      <c r="M20" s="53"/>
      <c r="N20" s="17"/>
      <c r="O20" s="17"/>
      <c r="P20" s="17"/>
      <c r="Q20" s="17"/>
      <c r="R20" s="17"/>
      <c r="S20" s="17"/>
      <c r="T20" s="17"/>
      <c r="U20" s="17"/>
      <c r="V20" s="17"/>
      <c r="W20" s="17"/>
      <c r="X20" s="17"/>
      <c r="Y20" s="17"/>
      <c r="Z20" s="17"/>
    </row>
    <row r="21" ht="33.75" customHeight="1">
      <c r="A21" s="17"/>
      <c r="B21" s="223" t="s">
        <v>346</v>
      </c>
      <c r="C21" s="52"/>
      <c r="D21" s="52"/>
      <c r="E21" s="52"/>
      <c r="F21" s="52"/>
      <c r="G21" s="52"/>
      <c r="H21" s="52"/>
      <c r="I21" s="52"/>
      <c r="J21" s="52"/>
      <c r="K21" s="52"/>
      <c r="L21" s="52"/>
      <c r="M21" s="53"/>
      <c r="N21" s="17"/>
      <c r="O21" s="17"/>
      <c r="P21" s="17"/>
      <c r="Q21" s="17"/>
      <c r="R21" s="17"/>
      <c r="S21" s="17"/>
      <c r="T21" s="17"/>
      <c r="U21" s="17"/>
      <c r="V21" s="17"/>
      <c r="W21" s="17"/>
      <c r="X21" s="17"/>
      <c r="Y21" s="17"/>
      <c r="Z21" s="17"/>
    </row>
    <row r="22" ht="13.5" customHeight="1">
      <c r="A22" s="17"/>
      <c r="B22" s="148"/>
      <c r="C22" s="148"/>
      <c r="D22" s="148"/>
      <c r="E22" s="148"/>
      <c r="F22" s="148"/>
      <c r="G22" s="148"/>
      <c r="H22" s="148"/>
      <c r="I22" s="148"/>
      <c r="J22" s="148"/>
      <c r="K22" s="148"/>
      <c r="L22" s="148"/>
      <c r="M22" s="148"/>
      <c r="N22" s="17"/>
      <c r="O22" s="17"/>
      <c r="P22" s="17"/>
      <c r="Q22" s="17"/>
      <c r="R22" s="17"/>
      <c r="S22" s="17"/>
      <c r="T22" s="17"/>
      <c r="U22" s="17"/>
      <c r="V22" s="17"/>
      <c r="W22" s="17"/>
      <c r="X22" s="17"/>
      <c r="Y22" s="17"/>
      <c r="Z22" s="17"/>
    </row>
    <row r="23" ht="13.5" customHeight="1">
      <c r="A23" s="17"/>
      <c r="B23" s="226" t="s">
        <v>347</v>
      </c>
      <c r="C23" s="52"/>
      <c r="D23" s="52"/>
      <c r="E23" s="52"/>
      <c r="F23" s="52"/>
      <c r="G23" s="52"/>
      <c r="H23" s="52"/>
      <c r="I23" s="52"/>
      <c r="J23" s="52"/>
      <c r="K23" s="52"/>
      <c r="L23" s="52"/>
      <c r="M23" s="53"/>
      <c r="N23" s="17"/>
      <c r="O23" s="17"/>
      <c r="P23" s="17"/>
      <c r="Q23" s="17"/>
      <c r="R23" s="17"/>
      <c r="S23" s="17"/>
      <c r="T23" s="17"/>
      <c r="U23" s="17"/>
      <c r="V23" s="17"/>
      <c r="W23" s="17"/>
      <c r="X23" s="17"/>
      <c r="Y23" s="17"/>
      <c r="Z23" s="17"/>
    </row>
    <row r="24" ht="13.5" customHeight="1">
      <c r="A24" s="17"/>
      <c r="B24" s="225" t="s">
        <v>348</v>
      </c>
      <c r="C24" s="52"/>
      <c r="D24" s="52"/>
      <c r="E24" s="52"/>
      <c r="F24" s="52"/>
      <c r="G24" s="52"/>
      <c r="H24" s="52"/>
      <c r="I24" s="52"/>
      <c r="J24" s="52"/>
      <c r="K24" s="52"/>
      <c r="L24" s="52"/>
      <c r="M24" s="53"/>
      <c r="N24" s="17"/>
      <c r="O24" s="17"/>
      <c r="P24" s="17"/>
      <c r="Q24" s="17"/>
      <c r="R24" s="17"/>
      <c r="S24" s="17"/>
      <c r="T24" s="17"/>
      <c r="U24" s="17"/>
      <c r="V24" s="17"/>
      <c r="W24" s="17"/>
      <c r="X24" s="17"/>
      <c r="Y24" s="17"/>
      <c r="Z24" s="17"/>
    </row>
    <row r="25" ht="14.25" customHeight="1">
      <c r="A25" s="17"/>
      <c r="B25" s="223" t="s">
        <v>349</v>
      </c>
      <c r="C25" s="52"/>
      <c r="D25" s="52"/>
      <c r="E25" s="52"/>
      <c r="F25" s="52"/>
      <c r="G25" s="52"/>
      <c r="H25" s="52"/>
      <c r="I25" s="52"/>
      <c r="J25" s="52"/>
      <c r="K25" s="52"/>
      <c r="L25" s="52"/>
      <c r="M25" s="53"/>
      <c r="N25" s="17"/>
      <c r="O25" s="17"/>
      <c r="P25" s="17"/>
      <c r="Q25" s="17"/>
      <c r="R25" s="17"/>
      <c r="S25" s="17"/>
      <c r="T25" s="17"/>
      <c r="U25" s="17"/>
      <c r="V25" s="17"/>
      <c r="W25" s="17"/>
      <c r="X25" s="17"/>
      <c r="Y25" s="17"/>
      <c r="Z25" s="17"/>
    </row>
    <row r="26" ht="14.25" customHeight="1">
      <c r="A26" s="17"/>
      <c r="B26" s="54" t="s">
        <v>128</v>
      </c>
      <c r="C26" s="148"/>
      <c r="D26" s="148"/>
      <c r="E26" s="148"/>
      <c r="F26" s="148"/>
      <c r="G26" s="148"/>
      <c r="H26" s="148"/>
      <c r="I26" s="148"/>
      <c r="J26" s="148"/>
      <c r="K26" s="148"/>
      <c r="L26" s="148"/>
      <c r="M26" s="148"/>
      <c r="N26" s="17"/>
      <c r="O26" s="17"/>
      <c r="P26" s="17"/>
      <c r="Q26" s="17"/>
      <c r="R26" s="17"/>
      <c r="S26" s="17"/>
      <c r="T26" s="17"/>
      <c r="U26" s="17"/>
      <c r="V26" s="17"/>
      <c r="W26" s="17"/>
      <c r="X26" s="17"/>
      <c r="Y26" s="17"/>
      <c r="Z26" s="17"/>
    </row>
    <row r="27" ht="14.25" customHeight="1">
      <c r="A27" s="17"/>
      <c r="B27" s="225" t="s">
        <v>350</v>
      </c>
      <c r="C27" s="52"/>
      <c r="D27" s="52"/>
      <c r="E27" s="52"/>
      <c r="F27" s="52"/>
      <c r="G27" s="52"/>
      <c r="H27" s="52"/>
      <c r="I27" s="52"/>
      <c r="J27" s="52"/>
      <c r="K27" s="52"/>
      <c r="L27" s="52"/>
      <c r="M27" s="53"/>
      <c r="N27" s="17"/>
      <c r="O27" s="17"/>
      <c r="P27" s="17"/>
      <c r="Q27" s="17"/>
      <c r="R27" s="17"/>
      <c r="S27" s="17"/>
      <c r="T27" s="17"/>
      <c r="U27" s="17"/>
      <c r="V27" s="17"/>
      <c r="W27" s="17"/>
      <c r="X27" s="17"/>
      <c r="Y27" s="17"/>
      <c r="Z27" s="17"/>
    </row>
    <row r="28" ht="14.25" customHeight="1">
      <c r="A28" s="17"/>
      <c r="B28" s="148"/>
      <c r="C28" s="148"/>
      <c r="D28" s="148"/>
      <c r="E28" s="148"/>
      <c r="F28" s="148"/>
      <c r="G28" s="148"/>
      <c r="H28" s="148"/>
      <c r="I28" s="148"/>
      <c r="J28" s="148"/>
      <c r="K28" s="148"/>
      <c r="L28" s="148"/>
      <c r="M28" s="148"/>
      <c r="N28" s="17"/>
      <c r="O28" s="17"/>
      <c r="P28" s="17"/>
      <c r="Q28" s="17"/>
      <c r="R28" s="17"/>
      <c r="S28" s="17"/>
      <c r="T28" s="17"/>
      <c r="U28" s="17"/>
      <c r="V28" s="17"/>
      <c r="W28" s="17"/>
      <c r="X28" s="17"/>
      <c r="Y28" s="17"/>
      <c r="Z28" s="17"/>
    </row>
    <row r="29" ht="14.25" customHeight="1">
      <c r="A29" s="17"/>
      <c r="B29" s="228" t="s">
        <v>351</v>
      </c>
      <c r="C29" s="52"/>
      <c r="D29" s="52"/>
      <c r="E29" s="52"/>
      <c r="F29" s="52"/>
      <c r="G29" s="52"/>
      <c r="H29" s="52"/>
      <c r="I29" s="52"/>
      <c r="J29" s="52"/>
      <c r="K29" s="52"/>
      <c r="L29" s="52"/>
      <c r="M29" s="53"/>
      <c r="N29" s="17"/>
      <c r="O29" s="17"/>
      <c r="P29" s="17"/>
      <c r="Q29" s="17"/>
      <c r="R29" s="17"/>
      <c r="S29" s="17"/>
      <c r="T29" s="17"/>
      <c r="U29" s="17"/>
      <c r="V29" s="17"/>
      <c r="W29" s="17"/>
      <c r="X29" s="17"/>
      <c r="Y29" s="17"/>
      <c r="Z29" s="17"/>
    </row>
    <row r="30" ht="14.25" customHeight="1">
      <c r="A30" s="17"/>
      <c r="B30" s="223" t="s">
        <v>352</v>
      </c>
      <c r="C30" s="52"/>
      <c r="D30" s="52"/>
      <c r="E30" s="52"/>
      <c r="F30" s="52"/>
      <c r="G30" s="52"/>
      <c r="H30" s="52"/>
      <c r="I30" s="52"/>
      <c r="J30" s="52"/>
      <c r="K30" s="52"/>
      <c r="L30" s="52"/>
      <c r="M30" s="53"/>
      <c r="N30" s="17"/>
      <c r="O30" s="17"/>
      <c r="P30" s="17"/>
      <c r="Q30" s="17"/>
      <c r="R30" s="17"/>
      <c r="S30" s="17"/>
      <c r="T30" s="17"/>
      <c r="U30" s="17"/>
      <c r="V30" s="17"/>
      <c r="W30" s="17"/>
      <c r="X30" s="17"/>
      <c r="Y30" s="17"/>
      <c r="Z30" s="17"/>
    </row>
    <row r="31" ht="14.25" customHeight="1">
      <c r="A31" s="17"/>
      <c r="B31" s="223" t="s">
        <v>353</v>
      </c>
      <c r="C31" s="52"/>
      <c r="D31" s="52"/>
      <c r="E31" s="52"/>
      <c r="F31" s="52"/>
      <c r="G31" s="52"/>
      <c r="H31" s="52"/>
      <c r="I31" s="52"/>
      <c r="J31" s="52"/>
      <c r="K31" s="52"/>
      <c r="L31" s="52"/>
      <c r="M31" s="53"/>
      <c r="N31" s="17"/>
      <c r="O31" s="17"/>
      <c r="P31" s="17"/>
      <c r="Q31" s="17"/>
      <c r="R31" s="17"/>
      <c r="S31" s="17"/>
      <c r="T31" s="17"/>
      <c r="U31" s="17"/>
      <c r="V31" s="17"/>
      <c r="W31" s="17"/>
      <c r="X31" s="17"/>
      <c r="Y31" s="17"/>
      <c r="Z31" s="17"/>
    </row>
    <row r="32" ht="14.25" customHeight="1">
      <c r="A32" s="17"/>
      <c r="B32" s="227" t="s">
        <v>354</v>
      </c>
      <c r="C32" s="52"/>
      <c r="D32" s="52"/>
      <c r="E32" s="52"/>
      <c r="F32" s="52"/>
      <c r="G32" s="52"/>
      <c r="H32" s="52"/>
      <c r="I32" s="52"/>
      <c r="J32" s="52"/>
      <c r="K32" s="52"/>
      <c r="L32" s="52"/>
      <c r="M32" s="53"/>
      <c r="N32" s="17"/>
      <c r="O32" s="17"/>
      <c r="P32" s="17"/>
      <c r="Q32" s="17"/>
      <c r="R32" s="17"/>
      <c r="S32" s="17"/>
      <c r="T32" s="17"/>
      <c r="U32" s="17"/>
      <c r="V32" s="17"/>
      <c r="W32" s="17"/>
      <c r="X32" s="17"/>
      <c r="Y32" s="17"/>
      <c r="Z32" s="17"/>
    </row>
    <row r="33" ht="14.25" customHeight="1">
      <c r="A33" s="17"/>
      <c r="B33" s="224"/>
      <c r="C33" s="148"/>
      <c r="D33" s="148"/>
      <c r="E33" s="148"/>
      <c r="F33" s="148"/>
      <c r="G33" s="148"/>
      <c r="H33" s="148"/>
      <c r="I33" s="148"/>
      <c r="J33" s="148"/>
      <c r="K33" s="148"/>
      <c r="L33" s="148"/>
      <c r="M33" s="148"/>
      <c r="N33" s="17"/>
      <c r="O33" s="17"/>
      <c r="P33" s="17"/>
      <c r="Q33" s="17"/>
      <c r="R33" s="17"/>
      <c r="S33" s="17"/>
      <c r="T33" s="17"/>
      <c r="U33" s="17"/>
      <c r="V33" s="17"/>
      <c r="W33" s="17"/>
      <c r="X33" s="17"/>
      <c r="Y33" s="17"/>
      <c r="Z33" s="17"/>
    </row>
    <row r="34" ht="14.25" customHeight="1">
      <c r="A34" s="17"/>
      <c r="B34" s="226" t="s">
        <v>355</v>
      </c>
      <c r="C34" s="52"/>
      <c r="D34" s="52"/>
      <c r="E34" s="52"/>
      <c r="F34" s="52"/>
      <c r="G34" s="52"/>
      <c r="H34" s="52"/>
      <c r="I34" s="52"/>
      <c r="J34" s="52"/>
      <c r="K34" s="52"/>
      <c r="L34" s="52"/>
      <c r="M34" s="53"/>
      <c r="N34" s="17"/>
      <c r="O34" s="17"/>
      <c r="P34" s="17"/>
      <c r="Q34" s="17"/>
      <c r="R34" s="17"/>
      <c r="S34" s="17"/>
      <c r="T34" s="17"/>
      <c r="U34" s="17"/>
      <c r="V34" s="17"/>
      <c r="W34" s="17"/>
      <c r="X34" s="17"/>
      <c r="Y34" s="17"/>
      <c r="Z34" s="17"/>
    </row>
    <row r="35" ht="45.0" customHeight="1">
      <c r="A35" s="17"/>
      <c r="B35" s="229" t="s">
        <v>356</v>
      </c>
      <c r="N35" s="17"/>
      <c r="O35" s="17"/>
      <c r="P35" s="17"/>
      <c r="Q35" s="17"/>
      <c r="R35" s="17"/>
      <c r="S35" s="17"/>
      <c r="T35" s="17"/>
      <c r="U35" s="17"/>
      <c r="V35" s="17"/>
      <c r="W35" s="17"/>
      <c r="X35" s="17"/>
      <c r="Y35" s="17"/>
      <c r="Z35" s="17"/>
    </row>
    <row r="36" ht="14.25" customHeight="1">
      <c r="A36" s="17"/>
      <c r="B36" s="226" t="s">
        <v>340</v>
      </c>
      <c r="C36" s="52"/>
      <c r="D36" s="52"/>
      <c r="E36" s="52"/>
      <c r="F36" s="52"/>
      <c r="G36" s="52"/>
      <c r="H36" s="52"/>
      <c r="I36" s="52"/>
      <c r="J36" s="52"/>
      <c r="K36" s="52"/>
      <c r="L36" s="52"/>
      <c r="M36" s="53"/>
      <c r="N36" s="17"/>
      <c r="O36" s="17"/>
      <c r="P36" s="17"/>
      <c r="Q36" s="17"/>
      <c r="R36" s="17"/>
      <c r="S36" s="17"/>
      <c r="T36" s="17"/>
      <c r="U36" s="17"/>
      <c r="V36" s="17"/>
      <c r="W36" s="17"/>
      <c r="X36" s="17"/>
      <c r="Y36" s="17"/>
      <c r="Z36" s="17"/>
    </row>
    <row r="37" ht="22.5" customHeight="1">
      <c r="A37" s="17"/>
      <c r="B37" s="230" t="s">
        <v>357</v>
      </c>
      <c r="C37" s="52"/>
      <c r="D37" s="52"/>
      <c r="E37" s="52"/>
      <c r="F37" s="52"/>
      <c r="G37" s="52"/>
      <c r="H37" s="52"/>
      <c r="I37" s="52"/>
      <c r="J37" s="52"/>
      <c r="K37" s="52"/>
      <c r="L37" s="52"/>
      <c r="M37" s="53"/>
      <c r="N37" s="17"/>
      <c r="O37" s="17"/>
      <c r="P37" s="17"/>
      <c r="Q37" s="17"/>
      <c r="R37" s="17"/>
      <c r="S37" s="17"/>
      <c r="T37" s="17"/>
      <c r="U37" s="17"/>
      <c r="V37" s="17"/>
      <c r="W37" s="17"/>
      <c r="X37" s="17"/>
      <c r="Y37" s="17"/>
      <c r="Z37" s="17"/>
    </row>
    <row r="38" ht="73.5" customHeight="1">
      <c r="A38" s="17"/>
      <c r="B38" s="221" t="s">
        <v>358</v>
      </c>
      <c r="C38" s="52"/>
      <c r="D38" s="52"/>
      <c r="E38" s="52"/>
      <c r="F38" s="52"/>
      <c r="G38" s="52"/>
      <c r="H38" s="52"/>
      <c r="I38" s="52"/>
      <c r="J38" s="52"/>
      <c r="K38" s="52"/>
      <c r="L38" s="52"/>
      <c r="M38" s="53"/>
      <c r="N38" s="17"/>
      <c r="O38" s="17"/>
      <c r="P38" s="17"/>
      <c r="Q38" s="17"/>
      <c r="R38" s="17"/>
      <c r="S38" s="17"/>
      <c r="T38" s="17"/>
      <c r="U38" s="17"/>
      <c r="V38" s="17"/>
      <c r="W38" s="17"/>
      <c r="X38" s="17"/>
      <c r="Y38" s="17"/>
      <c r="Z38" s="17"/>
    </row>
    <row r="39" ht="36.0" customHeight="1">
      <c r="A39" s="17"/>
      <c r="B39" s="231" t="s">
        <v>359</v>
      </c>
      <c r="N39" s="17"/>
      <c r="O39" s="17"/>
      <c r="P39" s="17"/>
      <c r="Q39" s="17"/>
      <c r="R39" s="17"/>
      <c r="S39" s="17"/>
      <c r="T39" s="17"/>
      <c r="U39" s="17"/>
      <c r="V39" s="17"/>
      <c r="W39" s="17"/>
      <c r="X39" s="17"/>
      <c r="Y39" s="17"/>
      <c r="Z39" s="17"/>
    </row>
    <row r="40" ht="14.25" customHeight="1">
      <c r="A40" s="17"/>
      <c r="B40" s="54"/>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232" t="s">
        <v>360</v>
      </c>
      <c r="C41" s="52"/>
      <c r="D41" s="52"/>
      <c r="E41" s="52"/>
      <c r="F41" s="52"/>
      <c r="G41" s="52"/>
      <c r="H41" s="52"/>
      <c r="I41" s="52"/>
      <c r="J41" s="52"/>
      <c r="K41" s="52"/>
      <c r="L41" s="52"/>
      <c r="M41" s="53"/>
      <c r="N41" s="17"/>
      <c r="O41" s="17"/>
      <c r="P41" s="17"/>
      <c r="Q41" s="17"/>
      <c r="R41" s="17"/>
      <c r="S41" s="17"/>
      <c r="T41" s="17"/>
      <c r="U41" s="17"/>
      <c r="V41" s="17"/>
      <c r="W41" s="17"/>
      <c r="X41" s="17"/>
      <c r="Y41" s="17"/>
      <c r="Z41" s="17"/>
    </row>
    <row r="42" ht="63.0" customHeight="1">
      <c r="A42" s="17"/>
      <c r="B42" s="223" t="s">
        <v>361</v>
      </c>
      <c r="C42" s="52"/>
      <c r="D42" s="52"/>
      <c r="E42" s="52"/>
      <c r="F42" s="52"/>
      <c r="G42" s="52"/>
      <c r="H42" s="52"/>
      <c r="I42" s="52"/>
      <c r="J42" s="52"/>
      <c r="K42" s="52"/>
      <c r="L42" s="52"/>
      <c r="M42" s="53"/>
      <c r="N42" s="17"/>
      <c r="O42" s="17"/>
      <c r="P42" s="17"/>
      <c r="Q42" s="17"/>
      <c r="R42" s="17"/>
      <c r="S42" s="17"/>
      <c r="T42" s="17"/>
      <c r="U42" s="17"/>
      <c r="V42" s="17"/>
      <c r="W42" s="17"/>
      <c r="X42" s="17"/>
      <c r="Y42" s="17"/>
      <c r="Z42" s="17"/>
    </row>
    <row r="43" ht="14.25" customHeight="1">
      <c r="A43" s="17"/>
      <c r="B43" s="226" t="s">
        <v>340</v>
      </c>
      <c r="C43" s="52"/>
      <c r="D43" s="52"/>
      <c r="E43" s="52"/>
      <c r="F43" s="52"/>
      <c r="G43" s="52"/>
      <c r="H43" s="52"/>
      <c r="I43" s="52"/>
      <c r="J43" s="52"/>
      <c r="K43" s="52"/>
      <c r="L43" s="52"/>
      <c r="M43" s="53"/>
      <c r="N43" s="17"/>
      <c r="O43" s="17"/>
      <c r="P43" s="17"/>
      <c r="Q43" s="17"/>
      <c r="R43" s="17"/>
      <c r="S43" s="17"/>
      <c r="T43" s="17"/>
      <c r="U43" s="17"/>
      <c r="V43" s="17"/>
      <c r="W43" s="17"/>
      <c r="X43" s="17"/>
      <c r="Y43" s="17"/>
      <c r="Z43" s="17"/>
    </row>
    <row r="44" ht="14.25" customHeight="1">
      <c r="A44" s="17"/>
      <c r="B44" s="227" t="s">
        <v>362</v>
      </c>
      <c r="C44" s="52"/>
      <c r="D44" s="52"/>
      <c r="E44" s="52"/>
      <c r="F44" s="52"/>
      <c r="G44" s="52"/>
      <c r="H44" s="52"/>
      <c r="I44" s="52"/>
      <c r="J44" s="52"/>
      <c r="K44" s="52"/>
      <c r="L44" s="52"/>
      <c r="M44" s="53"/>
      <c r="N44" s="17"/>
      <c r="O44" s="17"/>
      <c r="P44" s="17"/>
      <c r="Q44" s="17"/>
      <c r="R44" s="17"/>
      <c r="S44" s="17"/>
      <c r="T44" s="17"/>
      <c r="U44" s="17"/>
      <c r="V44" s="17"/>
      <c r="W44" s="17"/>
      <c r="X44" s="17"/>
      <c r="Y44" s="17"/>
      <c r="Z44" s="17"/>
    </row>
    <row r="45" ht="14.2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226" t="s">
        <v>363</v>
      </c>
      <c r="C46" s="52"/>
      <c r="D46" s="52"/>
      <c r="E46" s="52"/>
      <c r="F46" s="52"/>
      <c r="G46" s="52"/>
      <c r="H46" s="52"/>
      <c r="I46" s="52"/>
      <c r="J46" s="52"/>
      <c r="K46" s="52"/>
      <c r="L46" s="52"/>
      <c r="M46" s="53"/>
      <c r="N46" s="17"/>
      <c r="O46" s="17"/>
      <c r="P46" s="17"/>
      <c r="Q46" s="17"/>
      <c r="R46" s="17"/>
      <c r="S46" s="17"/>
      <c r="T46" s="17"/>
      <c r="U46" s="17"/>
      <c r="V46" s="17"/>
      <c r="W46" s="17"/>
      <c r="X46" s="17"/>
      <c r="Y46" s="17"/>
      <c r="Z46" s="17"/>
    </row>
    <row r="47" ht="36.0" customHeight="1">
      <c r="A47" s="17"/>
      <c r="B47" s="221" t="s">
        <v>364</v>
      </c>
      <c r="C47" s="52"/>
      <c r="D47" s="52"/>
      <c r="E47" s="52"/>
      <c r="F47" s="52"/>
      <c r="G47" s="52"/>
      <c r="H47" s="52"/>
      <c r="I47" s="52"/>
      <c r="J47" s="52"/>
      <c r="K47" s="52"/>
      <c r="L47" s="52"/>
      <c r="M47" s="53"/>
      <c r="N47" s="17"/>
      <c r="O47" s="17"/>
      <c r="P47" s="17"/>
      <c r="Q47" s="17"/>
      <c r="R47" s="17"/>
      <c r="S47" s="17"/>
      <c r="T47" s="17"/>
      <c r="U47" s="17"/>
      <c r="V47" s="17"/>
      <c r="W47" s="17"/>
      <c r="X47" s="17"/>
      <c r="Y47" s="17"/>
      <c r="Z47" s="17"/>
    </row>
    <row r="48" ht="76.5" customHeight="1">
      <c r="A48" s="17"/>
      <c r="B48" s="221" t="s">
        <v>365</v>
      </c>
      <c r="C48" s="52"/>
      <c r="D48" s="52"/>
      <c r="E48" s="52"/>
      <c r="F48" s="52"/>
      <c r="G48" s="52"/>
      <c r="H48" s="52"/>
      <c r="I48" s="52"/>
      <c r="J48" s="52"/>
      <c r="K48" s="52"/>
      <c r="L48" s="52"/>
      <c r="M48" s="53"/>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32">
    <mergeCell ref="B8:K8"/>
    <mergeCell ref="B9:M9"/>
    <mergeCell ref="B10:M10"/>
    <mergeCell ref="B11:M11"/>
    <mergeCell ref="B13:M13"/>
    <mergeCell ref="B14:M14"/>
    <mergeCell ref="B16:M16"/>
    <mergeCell ref="B18:M18"/>
    <mergeCell ref="B19:M19"/>
    <mergeCell ref="B20:M20"/>
    <mergeCell ref="B21:M21"/>
    <mergeCell ref="B23:M23"/>
    <mergeCell ref="B24:M24"/>
    <mergeCell ref="B25:M25"/>
    <mergeCell ref="B27:M27"/>
    <mergeCell ref="B29:M29"/>
    <mergeCell ref="B30:M30"/>
    <mergeCell ref="B31:M31"/>
    <mergeCell ref="B32:M32"/>
    <mergeCell ref="B34:M34"/>
    <mergeCell ref="B35:M35"/>
    <mergeCell ref="B44:M44"/>
    <mergeCell ref="B46:M46"/>
    <mergeCell ref="B47:M47"/>
    <mergeCell ref="B48:M48"/>
    <mergeCell ref="B36:M36"/>
    <mergeCell ref="B37:M37"/>
    <mergeCell ref="B38:M38"/>
    <mergeCell ref="B39:M39"/>
    <mergeCell ref="B41:M41"/>
    <mergeCell ref="B42:M42"/>
    <mergeCell ref="B43:M43"/>
  </mergeCells>
  <dataValidations>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4" width="8.71"/>
    <col customWidth="1" min="5" max="5" width="112.57"/>
    <col customWidth="1" hidden="1" min="6" max="8" width="8.71"/>
    <col customWidth="1" hidden="1" min="9" max="9" width="11.43"/>
    <col customWidth="1" min="10" max="26" width="8.71"/>
  </cols>
  <sheetData>
    <row r="1" ht="14.25" customHeight="1">
      <c r="F1" s="233"/>
      <c r="G1" s="233"/>
    </row>
    <row r="2" ht="14.25" customHeight="1">
      <c r="F2" s="233"/>
      <c r="G2" s="233"/>
    </row>
    <row r="3" ht="14.25" customHeight="1">
      <c r="D3" s="234" t="s">
        <v>366</v>
      </c>
      <c r="E3" s="234" t="s">
        <v>367</v>
      </c>
      <c r="F3" s="235"/>
      <c r="G3" s="236"/>
    </row>
    <row r="4" ht="30.0" customHeight="1">
      <c r="E4" s="237" t="str">
        <f t="array" ref="E4:G4">'Step 1'!C75:E75</f>
        <v>A contract modification is treated as a separate contract (Prospective treatment) if the modification results in:
- Promise to deliver additional goods or services that are distinct and
- an increase in the price of the contract by an amount of consideration that reflects the entity's standalone selling price of those goods or services.
Statement of Work (“SOW”) dated January 05,  2024 was entered for providing Analytics services ,SOW dated 24th June, 2024 has been entered for Revenue Cycle Management , SOW dated 29th July 2024 has been entered for Finance &amp; Accounting whereas SOW dated 14th November 2024 for Customer Service - Dental Appointments. This is new process and has no effect on old work SOWs. Prices are market price which will be given to any other customer in similar circumstances and geography. This is an additional work given to XYZ by Premier Dental and previous SOW/s are not terminated. Hence, the new SOW dated 14th November 2024 will be accounted for as a separate contract.</v>
      </c>
      <c r="F4" s="238"/>
      <c r="G4" s="239"/>
    </row>
    <row r="5" ht="14.25" customHeight="1">
      <c r="F5" s="233"/>
      <c r="G5" s="233"/>
    </row>
    <row r="6" ht="14.25" customHeight="1">
      <c r="D6" s="234" t="s">
        <v>368</v>
      </c>
      <c r="E6" s="234" t="s">
        <v>367</v>
      </c>
      <c r="F6" s="235"/>
      <c r="G6" s="236"/>
    </row>
    <row r="7" ht="14.25" customHeight="1">
      <c r="E7" s="240" t="str">
        <f t="array" ref="E7:I7">'Step 2'!D29:H29</f>
        <v>As per above evaluation, we conclude that - “Customer Service for Dental Appointments” are single performance obligation by applying series guidance. 
Transition services a merely set-up activities as it is not providing any incremental benefit to the customer as the customer cannot benefit from the transition alone which means that it is not capable of being distinct from the BPM services. Transition services and BPM services are not separately identifiable because the transition services are inputs to the combined output (i.e. the BPM service) for which the customer has contracted, such that the entity is providing a significant integration service of combining those inputs into that combined output.
Technology Services (One time and recurring) cannot benefit the Customer on standalone basis. These are considered as setup activities and are needed to satisfy the main performance obligation. Hence are inputs to the overall combined output of the contract.</v>
      </c>
      <c r="F7" s="238"/>
      <c r="G7" s="239"/>
      <c r="H7" s="2"/>
      <c r="I7" s="2"/>
    </row>
    <row r="8" ht="14.25" customHeight="1">
      <c r="F8" s="233"/>
      <c r="G8" s="233"/>
    </row>
    <row r="9" ht="14.25" customHeight="1">
      <c r="D9" s="234" t="s">
        <v>369</v>
      </c>
      <c r="E9" s="234" t="s">
        <v>367</v>
      </c>
      <c r="F9" s="235"/>
      <c r="G9" s="236"/>
    </row>
    <row r="10" ht="30.0" customHeight="1">
      <c r="E10" s="240" t="str">
        <f t="array" ref="E10:G10">'Step 3'!D65:F65</f>
        <v>Service Credit - Service credits should be recorded as reduction to revenue on monthly basis based on service level default &amp; related percentages stated in the contract.
 The measurement period is not defined in the contract and SLA/KPI to be baselined post BAU Go-Live for a period of 180 days.Once the service credit percentage is determined, Service Credits will be accounted as reduction to revenue on monthly basis in case of service level default. In the given case as the service level credits are measured on monthy basis estimation is not required.</v>
      </c>
      <c r="F10" s="238"/>
      <c r="G10" s="239"/>
    </row>
    <row r="11" ht="30.0" customHeight="1">
      <c r="E11" s="240" t="str">
        <f t="array" ref="E11:G11">'Step 3'!D81:F81</f>
        <v/>
      </c>
      <c r="F11" s="238"/>
      <c r="G11" s="239"/>
    </row>
    <row r="12" ht="30.0" customHeight="1">
      <c r="E12" s="240" t="str">
        <f t="array" ref="E12:G12">'Step 3'!D104:F104</f>
        <v>NA</v>
      </c>
      <c r="F12" s="238"/>
      <c r="G12" s="239"/>
    </row>
    <row r="13" ht="30.0" customHeight="1">
      <c r="E13" s="240" t="str">
        <f t="array" ref="E13:G13">'Step 3'!D117:F117</f>
        <v>No financing component</v>
      </c>
      <c r="F13" s="238"/>
      <c r="G13" s="239"/>
    </row>
    <row r="14" ht="14.25" customHeight="1">
      <c r="F14" s="233"/>
      <c r="G14" s="233"/>
    </row>
    <row r="15" ht="14.25" customHeight="1">
      <c r="D15" s="234" t="s">
        <v>370</v>
      </c>
      <c r="E15" s="234" t="s">
        <v>367</v>
      </c>
      <c r="F15" s="235"/>
      <c r="G15" s="236"/>
    </row>
    <row r="16" ht="30.0" customHeight="1">
      <c r="E16" s="237" t="str">
        <f t="array" ref="E16:G16">'Step 4'!D23:F23</f>
        <v>Since there is only 1 performance obligation, allocation of transaction price is not required</v>
      </c>
      <c r="F16" s="238"/>
      <c r="G16" s="239"/>
    </row>
    <row r="17" ht="30.0" customHeight="1">
      <c r="E17" s="237" t="str">
        <f t="array" ref="E17:G17">'Step 4'!D39:F39</f>
        <v>Not required to be allocated as only 1 performance obligation has been identified in the contract.</v>
      </c>
      <c r="F17" s="241"/>
      <c r="G17" s="241"/>
    </row>
    <row r="18" ht="14.25" customHeight="1">
      <c r="F18" s="233"/>
      <c r="G18" s="233"/>
    </row>
    <row r="19" ht="14.25" customHeight="1">
      <c r="D19" s="234" t="s">
        <v>371</v>
      </c>
      <c r="E19" s="234" t="s">
        <v>367</v>
      </c>
      <c r="F19" s="233"/>
      <c r="G19" s="233"/>
    </row>
    <row r="20" ht="14.25" customHeight="1">
      <c r="E20" s="242" t="str">
        <f>'Step 5'!H17</f>
        <v>Performance obligation is satisfied over time</v>
      </c>
      <c r="F20" s="233"/>
      <c r="G20" s="233"/>
    </row>
    <row r="21" ht="14.25" customHeight="1">
      <c r="E21" s="242" t="str">
        <f>'Step 5'!H18</f>
        <v/>
      </c>
      <c r="F21" s="233"/>
      <c r="G21" s="233"/>
    </row>
    <row r="22" ht="14.25" customHeight="1">
      <c r="E22" s="242" t="str">
        <f>'Step 5'!H19</f>
        <v/>
      </c>
      <c r="F22" s="233"/>
      <c r="G22" s="233"/>
    </row>
    <row r="23" ht="14.25" customHeight="1">
      <c r="E23" s="242" t="str">
        <f>'Step 5'!H20</f>
        <v/>
      </c>
      <c r="F23" s="233"/>
      <c r="G23" s="233"/>
    </row>
    <row r="24" ht="14.25" customHeight="1">
      <c r="F24" s="233"/>
      <c r="G24" s="233"/>
    </row>
    <row r="25" ht="14.25" customHeight="1">
      <c r="F25" s="233"/>
      <c r="G25" s="233"/>
    </row>
    <row r="26" ht="14.25" customHeight="1">
      <c r="F26" s="233"/>
      <c r="G26" s="233"/>
    </row>
    <row r="27" ht="14.25" customHeight="1">
      <c r="F27" s="233"/>
      <c r="G27" s="233"/>
    </row>
    <row r="28" ht="14.25" customHeight="1">
      <c r="F28" s="233"/>
      <c r="G28" s="233"/>
    </row>
    <row r="29" ht="14.25" customHeight="1">
      <c r="F29" s="233"/>
      <c r="G29" s="233"/>
    </row>
    <row r="30" ht="14.25" customHeight="1">
      <c r="F30" s="233"/>
      <c r="G30" s="233"/>
    </row>
    <row r="31" ht="14.25" customHeight="1">
      <c r="F31" s="233"/>
      <c r="G31" s="233"/>
    </row>
    <row r="32" ht="14.25" customHeight="1">
      <c r="F32" s="233"/>
      <c r="G32" s="233"/>
    </row>
    <row r="33" ht="14.25" customHeight="1">
      <c r="F33" s="233"/>
      <c r="G33" s="233"/>
    </row>
    <row r="34" ht="14.25" customHeight="1">
      <c r="F34" s="233"/>
      <c r="G34" s="233"/>
    </row>
    <row r="35" ht="14.25" customHeight="1">
      <c r="F35" s="233"/>
      <c r="G35" s="233"/>
    </row>
    <row r="36" ht="14.25" customHeight="1">
      <c r="F36" s="233"/>
      <c r="G36" s="233"/>
    </row>
    <row r="37" ht="14.25" customHeight="1">
      <c r="F37" s="233"/>
      <c r="G37" s="233"/>
    </row>
    <row r="38" ht="14.25" customHeight="1">
      <c r="F38" s="233"/>
      <c r="G38" s="233"/>
    </row>
    <row r="39" ht="14.25" customHeight="1">
      <c r="F39" s="233"/>
      <c r="G39" s="233"/>
    </row>
    <row r="40" ht="14.25" customHeight="1">
      <c r="F40" s="233"/>
      <c r="G40" s="233"/>
    </row>
    <row r="41" ht="14.25" customHeight="1">
      <c r="F41" s="233"/>
      <c r="G41" s="233"/>
    </row>
    <row r="42" ht="14.25" customHeight="1">
      <c r="F42" s="233"/>
      <c r="G42" s="233"/>
    </row>
    <row r="43" ht="14.25" customHeight="1">
      <c r="F43" s="233"/>
      <c r="G43" s="233"/>
    </row>
    <row r="44" ht="14.25" customHeight="1">
      <c r="F44" s="233"/>
      <c r="G44" s="233"/>
    </row>
    <row r="45" ht="14.25" customHeight="1">
      <c r="F45" s="233"/>
      <c r="G45" s="233"/>
    </row>
    <row r="46" ht="14.25" customHeight="1">
      <c r="F46" s="233"/>
      <c r="G46" s="233"/>
    </row>
    <row r="47" ht="14.25" customHeight="1">
      <c r="F47" s="233"/>
      <c r="G47" s="233"/>
    </row>
    <row r="48" ht="14.25" customHeight="1">
      <c r="F48" s="233"/>
      <c r="G48" s="233"/>
    </row>
    <row r="49" ht="14.25" customHeight="1">
      <c r="F49" s="233"/>
      <c r="G49" s="233"/>
    </row>
    <row r="50" ht="14.25" customHeight="1">
      <c r="F50" s="233"/>
      <c r="G50" s="233"/>
    </row>
    <row r="51" ht="14.25" customHeight="1">
      <c r="F51" s="233"/>
      <c r="G51" s="233"/>
    </row>
    <row r="52" ht="14.25" customHeight="1">
      <c r="F52" s="233"/>
      <c r="G52" s="233"/>
    </row>
    <row r="53" ht="14.25" customHeight="1">
      <c r="F53" s="233"/>
      <c r="G53" s="233"/>
    </row>
    <row r="54" ht="14.25" customHeight="1">
      <c r="F54" s="233"/>
      <c r="G54" s="233"/>
    </row>
    <row r="55" ht="14.25" customHeight="1">
      <c r="F55" s="233"/>
      <c r="G55" s="233"/>
    </row>
    <row r="56" ht="14.25" customHeight="1">
      <c r="F56" s="233"/>
      <c r="G56" s="233"/>
    </row>
    <row r="57" ht="14.25" customHeight="1">
      <c r="F57" s="233"/>
      <c r="G57" s="233"/>
    </row>
    <row r="58" ht="14.25" customHeight="1">
      <c r="F58" s="233"/>
      <c r="G58" s="233"/>
    </row>
    <row r="59" ht="14.25" customHeight="1">
      <c r="F59" s="233"/>
      <c r="G59" s="233"/>
    </row>
    <row r="60" ht="14.25" customHeight="1">
      <c r="F60" s="233"/>
      <c r="G60" s="233"/>
    </row>
    <row r="61" ht="14.25" customHeight="1">
      <c r="F61" s="233"/>
      <c r="G61" s="233"/>
    </row>
    <row r="62" ht="14.25" customHeight="1">
      <c r="F62" s="233"/>
      <c r="G62" s="233"/>
    </row>
    <row r="63" ht="14.25" customHeight="1">
      <c r="F63" s="233"/>
      <c r="G63" s="233"/>
    </row>
    <row r="64" ht="14.25" customHeight="1">
      <c r="F64" s="233"/>
      <c r="G64" s="233"/>
    </row>
    <row r="65" ht="14.25" customHeight="1">
      <c r="F65" s="233"/>
      <c r="G65" s="233"/>
    </row>
    <row r="66" ht="14.25" customHeight="1">
      <c r="F66" s="233"/>
      <c r="G66" s="233"/>
    </row>
    <row r="67" ht="14.25" customHeight="1">
      <c r="F67" s="233"/>
      <c r="G67" s="233"/>
    </row>
    <row r="68" ht="14.25" customHeight="1">
      <c r="F68" s="233"/>
      <c r="G68" s="233"/>
    </row>
    <row r="69" ht="14.25" customHeight="1">
      <c r="F69" s="233"/>
      <c r="G69" s="233"/>
    </row>
    <row r="70" ht="14.25" customHeight="1">
      <c r="F70" s="233"/>
      <c r="G70" s="233"/>
    </row>
    <row r="71" ht="14.25" customHeight="1">
      <c r="F71" s="233"/>
      <c r="G71" s="233"/>
    </row>
    <row r="72" ht="14.25" customHeight="1">
      <c r="F72" s="233"/>
      <c r="G72" s="233"/>
    </row>
    <row r="73" ht="14.25" customHeight="1">
      <c r="F73" s="233"/>
      <c r="G73" s="233"/>
    </row>
    <row r="74" ht="14.25" customHeight="1">
      <c r="F74" s="233"/>
      <c r="G74" s="233"/>
    </row>
    <row r="75" ht="14.25" customHeight="1">
      <c r="F75" s="233"/>
      <c r="G75" s="233"/>
    </row>
    <row r="76" ht="14.25" customHeight="1">
      <c r="F76" s="233"/>
      <c r="G76" s="233"/>
    </row>
    <row r="77" ht="14.25" customHeight="1">
      <c r="F77" s="233"/>
      <c r="G77" s="233"/>
    </row>
    <row r="78" ht="14.25" customHeight="1">
      <c r="F78" s="233"/>
      <c r="G78" s="233"/>
    </row>
    <row r="79" ht="14.25" customHeight="1">
      <c r="F79" s="233"/>
      <c r="G79" s="233"/>
    </row>
    <row r="80" ht="14.25" customHeight="1">
      <c r="F80" s="233"/>
      <c r="G80" s="233"/>
    </row>
    <row r="81" ht="14.25" customHeight="1">
      <c r="F81" s="233"/>
      <c r="G81" s="233"/>
    </row>
    <row r="82" ht="14.25" customHeight="1">
      <c r="F82" s="233"/>
      <c r="G82" s="233"/>
    </row>
    <row r="83" ht="14.25" customHeight="1">
      <c r="F83" s="233"/>
      <c r="G83" s="233"/>
    </row>
    <row r="84" ht="14.25" customHeight="1">
      <c r="F84" s="233"/>
      <c r="G84" s="233"/>
    </row>
    <row r="85" ht="14.25" customHeight="1">
      <c r="F85" s="233"/>
      <c r="G85" s="233"/>
    </row>
    <row r="86" ht="14.25" customHeight="1">
      <c r="F86" s="233"/>
      <c r="G86" s="233"/>
    </row>
    <row r="87" ht="14.25" customHeight="1">
      <c r="F87" s="233"/>
      <c r="G87" s="233"/>
    </row>
    <row r="88" ht="14.25" customHeight="1">
      <c r="F88" s="233"/>
      <c r="G88" s="233"/>
    </row>
    <row r="89" ht="14.25" customHeight="1">
      <c r="F89" s="233"/>
      <c r="G89" s="233"/>
    </row>
    <row r="90" ht="14.25" customHeight="1">
      <c r="F90" s="233"/>
      <c r="G90" s="233"/>
    </row>
    <row r="91" ht="14.25" customHeight="1">
      <c r="F91" s="233"/>
      <c r="G91" s="233"/>
    </row>
    <row r="92" ht="14.25" customHeight="1">
      <c r="F92" s="233"/>
      <c r="G92" s="233"/>
    </row>
    <row r="93" ht="14.25" customHeight="1">
      <c r="F93" s="233"/>
      <c r="G93" s="233"/>
    </row>
    <row r="94" ht="14.25" customHeight="1">
      <c r="F94" s="233"/>
      <c r="G94" s="233"/>
    </row>
    <row r="95" ht="14.25" customHeight="1">
      <c r="F95" s="233"/>
      <c r="G95" s="233"/>
    </row>
    <row r="96" ht="14.25" customHeight="1">
      <c r="F96" s="233"/>
      <c r="G96" s="233"/>
    </row>
    <row r="97" ht="14.25" customHeight="1">
      <c r="F97" s="233"/>
      <c r="G97" s="233"/>
    </row>
    <row r="98" ht="14.25" customHeight="1">
      <c r="F98" s="233"/>
      <c r="G98" s="233"/>
    </row>
    <row r="99" ht="14.25" customHeight="1">
      <c r="F99" s="233"/>
      <c r="G99" s="233"/>
    </row>
    <row r="100" ht="14.25" customHeight="1">
      <c r="F100" s="233"/>
      <c r="G100" s="233"/>
    </row>
    <row r="101" ht="14.25" customHeight="1">
      <c r="F101" s="233"/>
      <c r="G101" s="233"/>
    </row>
    <row r="102" ht="14.25" customHeight="1">
      <c r="F102" s="233"/>
      <c r="G102" s="233"/>
    </row>
    <row r="103" ht="14.25" customHeight="1">
      <c r="F103" s="233"/>
      <c r="G103" s="233"/>
    </row>
    <row r="104" ht="14.25" customHeight="1">
      <c r="F104" s="233"/>
      <c r="G104" s="233"/>
    </row>
    <row r="105" ht="14.25" customHeight="1">
      <c r="F105" s="233"/>
      <c r="G105" s="233"/>
    </row>
    <row r="106" ht="14.25" customHeight="1">
      <c r="F106" s="233"/>
      <c r="G106" s="233"/>
    </row>
    <row r="107" ht="14.25" customHeight="1">
      <c r="F107" s="233"/>
      <c r="G107" s="233"/>
    </row>
    <row r="108" ht="14.25" customHeight="1">
      <c r="F108" s="233"/>
      <c r="G108" s="233"/>
    </row>
    <row r="109" ht="14.25" customHeight="1">
      <c r="F109" s="233"/>
      <c r="G109" s="233"/>
    </row>
    <row r="110" ht="14.25" customHeight="1">
      <c r="F110" s="233"/>
      <c r="G110" s="233"/>
    </row>
    <row r="111" ht="14.25" customHeight="1">
      <c r="F111" s="233"/>
      <c r="G111" s="233"/>
    </row>
    <row r="112" ht="14.25" customHeight="1">
      <c r="F112" s="233"/>
      <c r="G112" s="233"/>
    </row>
    <row r="113" ht="14.25" customHeight="1">
      <c r="F113" s="233"/>
      <c r="G113" s="233"/>
    </row>
    <row r="114" ht="14.25" customHeight="1">
      <c r="F114" s="233"/>
      <c r="G114" s="233"/>
    </row>
    <row r="115" ht="14.25" customHeight="1">
      <c r="F115" s="233"/>
      <c r="G115" s="233"/>
    </row>
    <row r="116" ht="14.25" customHeight="1">
      <c r="F116" s="233"/>
      <c r="G116" s="233"/>
    </row>
    <row r="117" ht="14.25" customHeight="1">
      <c r="F117" s="233"/>
      <c r="G117" s="233"/>
    </row>
    <row r="118" ht="14.25" customHeight="1">
      <c r="F118" s="233"/>
      <c r="G118" s="233"/>
    </row>
    <row r="119" ht="14.25" customHeight="1">
      <c r="F119" s="233"/>
      <c r="G119" s="233"/>
    </row>
    <row r="120" ht="14.25" customHeight="1">
      <c r="F120" s="233"/>
      <c r="G120" s="233"/>
    </row>
    <row r="121" ht="14.25" customHeight="1">
      <c r="F121" s="233"/>
      <c r="G121" s="233"/>
    </row>
    <row r="122" ht="14.25" customHeight="1">
      <c r="F122" s="233"/>
      <c r="G122" s="233"/>
    </row>
    <row r="123" ht="14.25" customHeight="1">
      <c r="F123" s="233"/>
      <c r="G123" s="233"/>
    </row>
    <row r="124" ht="14.25" customHeight="1">
      <c r="F124" s="233"/>
      <c r="G124" s="233"/>
    </row>
    <row r="125" ht="14.25" customHeight="1">
      <c r="F125" s="233"/>
      <c r="G125" s="233"/>
    </row>
    <row r="126" ht="14.25" customHeight="1">
      <c r="F126" s="233"/>
      <c r="G126" s="233"/>
    </row>
    <row r="127" ht="14.25" customHeight="1">
      <c r="F127" s="233"/>
      <c r="G127" s="233"/>
    </row>
    <row r="128" ht="14.25" customHeight="1">
      <c r="F128" s="233"/>
      <c r="G128" s="233"/>
    </row>
    <row r="129" ht="14.25" customHeight="1">
      <c r="F129" s="233"/>
      <c r="G129" s="233"/>
    </row>
    <row r="130" ht="14.25" customHeight="1">
      <c r="F130" s="233"/>
      <c r="G130" s="233"/>
    </row>
    <row r="131" ht="14.25" customHeight="1">
      <c r="F131" s="233"/>
      <c r="G131" s="233"/>
    </row>
    <row r="132" ht="14.25" customHeight="1">
      <c r="F132" s="233"/>
      <c r="G132" s="233"/>
    </row>
    <row r="133" ht="14.25" customHeight="1">
      <c r="F133" s="233"/>
      <c r="G133" s="233"/>
    </row>
    <row r="134" ht="14.25" customHeight="1">
      <c r="F134" s="233"/>
      <c r="G134" s="233"/>
    </row>
    <row r="135" ht="14.25" customHeight="1">
      <c r="F135" s="233"/>
      <c r="G135" s="233"/>
    </row>
    <row r="136" ht="14.25" customHeight="1">
      <c r="F136" s="233"/>
      <c r="G136" s="233"/>
    </row>
    <row r="137" ht="14.25" customHeight="1">
      <c r="F137" s="233"/>
      <c r="G137" s="233"/>
    </row>
    <row r="138" ht="14.25" customHeight="1">
      <c r="F138" s="233"/>
      <c r="G138" s="233"/>
    </row>
    <row r="139" ht="14.25" customHeight="1">
      <c r="F139" s="233"/>
      <c r="G139" s="233"/>
    </row>
    <row r="140" ht="14.25" customHeight="1">
      <c r="F140" s="233"/>
      <c r="G140" s="233"/>
    </row>
    <row r="141" ht="14.25" customHeight="1">
      <c r="F141" s="233"/>
      <c r="G141" s="233"/>
    </row>
    <row r="142" ht="14.25" customHeight="1">
      <c r="F142" s="233"/>
      <c r="G142" s="233"/>
    </row>
    <row r="143" ht="14.25" customHeight="1">
      <c r="F143" s="233"/>
      <c r="G143" s="233"/>
    </row>
    <row r="144" ht="14.25" customHeight="1">
      <c r="F144" s="233"/>
      <c r="G144" s="233"/>
    </row>
    <row r="145" ht="14.25" customHeight="1">
      <c r="F145" s="233"/>
      <c r="G145" s="233"/>
    </row>
    <row r="146" ht="14.25" customHeight="1">
      <c r="F146" s="233"/>
      <c r="G146" s="233"/>
    </row>
    <row r="147" ht="14.25" customHeight="1">
      <c r="F147" s="233"/>
      <c r="G147" s="233"/>
    </row>
    <row r="148" ht="14.25" customHeight="1">
      <c r="F148" s="233"/>
      <c r="G148" s="233"/>
    </row>
    <row r="149" ht="14.25" customHeight="1">
      <c r="F149" s="233"/>
      <c r="G149" s="233"/>
    </row>
    <row r="150" ht="14.25" customHeight="1">
      <c r="F150" s="233"/>
      <c r="G150" s="233"/>
    </row>
    <row r="151" ht="14.25" customHeight="1">
      <c r="F151" s="233"/>
      <c r="G151" s="233"/>
    </row>
    <row r="152" ht="14.25" customHeight="1">
      <c r="F152" s="233"/>
      <c r="G152" s="233"/>
    </row>
    <row r="153" ht="14.25" customHeight="1">
      <c r="F153" s="233"/>
      <c r="G153" s="233"/>
    </row>
    <row r="154" ht="14.25" customHeight="1">
      <c r="F154" s="233"/>
      <c r="G154" s="233"/>
    </row>
    <row r="155" ht="14.25" customHeight="1">
      <c r="F155" s="233"/>
      <c r="G155" s="233"/>
    </row>
    <row r="156" ht="14.25" customHeight="1">
      <c r="F156" s="233"/>
      <c r="G156" s="233"/>
    </row>
    <row r="157" ht="14.25" customHeight="1">
      <c r="F157" s="233"/>
      <c r="G157" s="233"/>
    </row>
    <row r="158" ht="14.25" customHeight="1">
      <c r="F158" s="233"/>
      <c r="G158" s="233"/>
    </row>
    <row r="159" ht="14.25" customHeight="1">
      <c r="F159" s="233"/>
      <c r="G159" s="233"/>
    </row>
    <row r="160" ht="14.25" customHeight="1">
      <c r="F160" s="233"/>
      <c r="G160" s="233"/>
    </row>
    <row r="161" ht="14.25" customHeight="1">
      <c r="F161" s="233"/>
      <c r="G161" s="233"/>
    </row>
    <row r="162" ht="14.25" customHeight="1">
      <c r="F162" s="233"/>
      <c r="G162" s="233"/>
    </row>
    <row r="163" ht="14.25" customHeight="1">
      <c r="F163" s="233"/>
      <c r="G163" s="233"/>
    </row>
    <row r="164" ht="14.25" customHeight="1">
      <c r="F164" s="233"/>
      <c r="G164" s="233"/>
    </row>
    <row r="165" ht="14.25" customHeight="1">
      <c r="F165" s="233"/>
      <c r="G165" s="233"/>
    </row>
    <row r="166" ht="14.25" customHeight="1">
      <c r="F166" s="233"/>
      <c r="G166" s="233"/>
    </row>
    <row r="167" ht="14.25" customHeight="1">
      <c r="F167" s="233"/>
      <c r="G167" s="233"/>
    </row>
    <row r="168" ht="14.25" customHeight="1">
      <c r="F168" s="233"/>
      <c r="G168" s="233"/>
    </row>
    <row r="169" ht="14.25" customHeight="1">
      <c r="F169" s="233"/>
      <c r="G169" s="233"/>
    </row>
    <row r="170" ht="14.25" customHeight="1">
      <c r="F170" s="233"/>
      <c r="G170" s="233"/>
    </row>
    <row r="171" ht="14.25" customHeight="1">
      <c r="F171" s="233"/>
      <c r="G171" s="233"/>
    </row>
    <row r="172" ht="14.25" customHeight="1">
      <c r="F172" s="233"/>
      <c r="G172" s="233"/>
    </row>
    <row r="173" ht="14.25" customHeight="1">
      <c r="F173" s="233"/>
      <c r="G173" s="233"/>
    </row>
    <row r="174" ht="14.25" customHeight="1">
      <c r="F174" s="233"/>
      <c r="G174" s="233"/>
    </row>
    <row r="175" ht="14.25" customHeight="1">
      <c r="F175" s="233"/>
      <c r="G175" s="233"/>
    </row>
    <row r="176" ht="14.25" customHeight="1">
      <c r="F176" s="233"/>
      <c r="G176" s="233"/>
    </row>
    <row r="177" ht="14.25" customHeight="1">
      <c r="F177" s="233"/>
      <c r="G177" s="233"/>
    </row>
    <row r="178" ht="14.25" customHeight="1">
      <c r="F178" s="233"/>
      <c r="G178" s="233"/>
    </row>
    <row r="179" ht="14.25" customHeight="1">
      <c r="F179" s="233"/>
      <c r="G179" s="233"/>
    </row>
    <row r="180" ht="14.25" customHeight="1">
      <c r="F180" s="233"/>
      <c r="G180" s="233"/>
    </row>
    <row r="181" ht="14.25" customHeight="1">
      <c r="F181" s="233"/>
      <c r="G181" s="233"/>
    </row>
    <row r="182" ht="14.25" customHeight="1">
      <c r="F182" s="233"/>
      <c r="G182" s="233"/>
    </row>
    <row r="183" ht="14.25" customHeight="1">
      <c r="F183" s="233"/>
      <c r="G183" s="233"/>
    </row>
    <row r="184" ht="14.25" customHeight="1">
      <c r="F184" s="233"/>
      <c r="G184" s="233"/>
    </row>
    <row r="185" ht="14.25" customHeight="1">
      <c r="F185" s="233"/>
      <c r="G185" s="233"/>
    </row>
    <row r="186" ht="14.25" customHeight="1">
      <c r="F186" s="233"/>
      <c r="G186" s="233"/>
    </row>
    <row r="187" ht="14.25" customHeight="1">
      <c r="F187" s="233"/>
      <c r="G187" s="233"/>
    </row>
    <row r="188" ht="14.25" customHeight="1">
      <c r="F188" s="233"/>
      <c r="G188" s="233"/>
    </row>
    <row r="189" ht="14.25" customHeight="1">
      <c r="F189" s="233"/>
      <c r="G189" s="233"/>
    </row>
    <row r="190" ht="14.25" customHeight="1">
      <c r="F190" s="233"/>
      <c r="G190" s="233"/>
    </row>
    <row r="191" ht="14.25" customHeight="1">
      <c r="F191" s="233"/>
      <c r="G191" s="233"/>
    </row>
    <row r="192" ht="14.25" customHeight="1">
      <c r="F192" s="233"/>
      <c r="G192" s="233"/>
    </row>
    <row r="193" ht="14.25" customHeight="1">
      <c r="F193" s="233"/>
      <c r="G193" s="233"/>
    </row>
    <row r="194" ht="14.25" customHeight="1">
      <c r="F194" s="233"/>
      <c r="G194" s="233"/>
    </row>
    <row r="195" ht="14.25" customHeight="1">
      <c r="F195" s="233"/>
      <c r="G195" s="233"/>
    </row>
    <row r="196" ht="14.25" customHeight="1">
      <c r="F196" s="233"/>
      <c r="G196" s="233"/>
    </row>
    <row r="197" ht="14.25" customHeight="1">
      <c r="F197" s="233"/>
      <c r="G197" s="233"/>
    </row>
    <row r="198" ht="14.25" customHeight="1">
      <c r="F198" s="233"/>
      <c r="G198" s="233"/>
    </row>
    <row r="199" ht="14.25" customHeight="1">
      <c r="F199" s="233"/>
      <c r="G199" s="233"/>
    </row>
    <row r="200" ht="14.25" customHeight="1">
      <c r="F200" s="233"/>
      <c r="G200" s="233"/>
    </row>
    <row r="201" ht="14.25" customHeight="1">
      <c r="F201" s="233"/>
      <c r="G201" s="233"/>
    </row>
    <row r="202" ht="14.25" customHeight="1">
      <c r="F202" s="233"/>
      <c r="G202" s="233"/>
    </row>
    <row r="203" ht="14.25" customHeight="1">
      <c r="F203" s="233"/>
      <c r="G203" s="233"/>
    </row>
    <row r="204" ht="14.25" customHeight="1">
      <c r="F204" s="233"/>
      <c r="G204" s="233"/>
    </row>
    <row r="205" ht="14.25" customHeight="1">
      <c r="F205" s="233"/>
      <c r="G205" s="233"/>
    </row>
    <row r="206" ht="14.25" customHeight="1">
      <c r="F206" s="233"/>
      <c r="G206" s="233"/>
    </row>
    <row r="207" ht="14.25" customHeight="1">
      <c r="F207" s="233"/>
      <c r="G207" s="233"/>
    </row>
    <row r="208" ht="14.25" customHeight="1">
      <c r="F208" s="233"/>
      <c r="G208" s="233"/>
    </row>
    <row r="209" ht="14.25" customHeight="1">
      <c r="F209" s="233"/>
      <c r="G209" s="233"/>
    </row>
    <row r="210" ht="14.25" customHeight="1">
      <c r="F210" s="233"/>
      <c r="G210" s="233"/>
    </row>
    <row r="211" ht="14.25" customHeight="1">
      <c r="F211" s="233"/>
      <c r="G211" s="233"/>
    </row>
    <row r="212" ht="14.25" customHeight="1">
      <c r="F212" s="233"/>
      <c r="G212" s="233"/>
    </row>
    <row r="213" ht="14.25" customHeight="1">
      <c r="F213" s="233"/>
      <c r="G213" s="233"/>
    </row>
    <row r="214" ht="14.25" customHeight="1">
      <c r="F214" s="233"/>
      <c r="G214" s="233"/>
    </row>
    <row r="215" ht="14.25" customHeight="1">
      <c r="F215" s="233"/>
      <c r="G215" s="233"/>
    </row>
    <row r="216" ht="14.25" customHeight="1">
      <c r="F216" s="233"/>
      <c r="G216" s="233"/>
    </row>
    <row r="217" ht="14.25" customHeight="1">
      <c r="F217" s="233"/>
      <c r="G217" s="233"/>
    </row>
    <row r="218" ht="14.25" customHeight="1">
      <c r="F218" s="233"/>
      <c r="G218" s="233"/>
    </row>
    <row r="219" ht="14.25" customHeight="1">
      <c r="F219" s="233"/>
      <c r="G219" s="233"/>
    </row>
    <row r="220" ht="14.25" customHeight="1">
      <c r="F220" s="233"/>
      <c r="G220" s="233"/>
    </row>
    <row r="221" ht="14.25" customHeight="1">
      <c r="F221" s="233"/>
      <c r="G221" s="233"/>
    </row>
    <row r="222" ht="14.25" customHeight="1">
      <c r="F222" s="233"/>
      <c r="G222" s="233"/>
    </row>
    <row r="223" ht="14.25" customHeight="1">
      <c r="F223" s="233"/>
      <c r="G223" s="233"/>
    </row>
    <row r="224" ht="14.25" customHeight="1">
      <c r="F224" s="233"/>
      <c r="G224" s="233"/>
    </row>
    <row r="225" ht="14.25" customHeight="1">
      <c r="F225" s="233"/>
      <c r="G225" s="233"/>
    </row>
    <row r="226" ht="14.25" customHeight="1">
      <c r="F226" s="233"/>
      <c r="G226" s="233"/>
    </row>
    <row r="227" ht="14.25" customHeight="1">
      <c r="F227" s="233"/>
      <c r="G227" s="233"/>
    </row>
    <row r="228" ht="14.25" customHeight="1">
      <c r="F228" s="233"/>
      <c r="G228" s="233"/>
    </row>
    <row r="229" ht="14.25" customHeight="1">
      <c r="F229" s="233"/>
      <c r="G229" s="233"/>
    </row>
    <row r="230" ht="14.25" customHeight="1">
      <c r="F230" s="233"/>
      <c r="G230" s="233"/>
    </row>
    <row r="231" ht="14.25" customHeight="1">
      <c r="F231" s="233"/>
      <c r="G231" s="233"/>
    </row>
    <row r="232" ht="14.25" customHeight="1">
      <c r="F232" s="233"/>
      <c r="G232" s="233"/>
    </row>
    <row r="233" ht="14.25" customHeight="1">
      <c r="F233" s="233"/>
      <c r="G233" s="233"/>
    </row>
    <row r="234" ht="14.25" customHeight="1">
      <c r="F234" s="233"/>
      <c r="G234" s="233"/>
    </row>
    <row r="235" ht="14.25" customHeight="1">
      <c r="F235" s="233"/>
      <c r="G235" s="233"/>
    </row>
    <row r="236" ht="14.25" customHeight="1">
      <c r="F236" s="233"/>
      <c r="G236" s="233"/>
    </row>
    <row r="237" ht="14.25" customHeight="1">
      <c r="F237" s="233"/>
      <c r="G237" s="233"/>
    </row>
    <row r="238" ht="14.25" customHeight="1">
      <c r="F238" s="233"/>
      <c r="G238" s="233"/>
    </row>
    <row r="239" ht="14.25" customHeight="1">
      <c r="F239" s="233"/>
      <c r="G239" s="233"/>
    </row>
    <row r="240" ht="14.25" customHeight="1">
      <c r="F240" s="233"/>
      <c r="G240" s="233"/>
    </row>
    <row r="241" ht="14.25" customHeight="1">
      <c r="F241" s="233"/>
      <c r="G241" s="233"/>
    </row>
    <row r="242" ht="14.25" customHeight="1">
      <c r="F242" s="233"/>
      <c r="G242" s="233"/>
    </row>
    <row r="243" ht="14.25" customHeight="1">
      <c r="F243" s="233"/>
      <c r="G243" s="233"/>
    </row>
    <row r="244" ht="14.25" customHeight="1">
      <c r="F244" s="233"/>
      <c r="G244" s="233"/>
    </row>
    <row r="245" ht="14.25" customHeight="1">
      <c r="F245" s="233"/>
      <c r="G245" s="233"/>
    </row>
    <row r="246" ht="14.25" customHeight="1">
      <c r="F246" s="233"/>
      <c r="G246" s="233"/>
    </row>
    <row r="247" ht="14.25" customHeight="1">
      <c r="F247" s="233"/>
      <c r="G247" s="233"/>
    </row>
    <row r="248" ht="14.25" customHeight="1">
      <c r="F248" s="233"/>
      <c r="G248" s="233"/>
    </row>
    <row r="249" ht="14.25" customHeight="1">
      <c r="F249" s="233"/>
      <c r="G249" s="233"/>
    </row>
    <row r="250" ht="14.25" customHeight="1">
      <c r="F250" s="233"/>
      <c r="G250" s="233"/>
    </row>
    <row r="251" ht="14.25" customHeight="1">
      <c r="F251" s="233"/>
      <c r="G251" s="233"/>
    </row>
    <row r="252" ht="14.25" customHeight="1">
      <c r="F252" s="233"/>
      <c r="G252" s="233"/>
    </row>
    <row r="253" ht="14.25" customHeight="1">
      <c r="F253" s="233"/>
      <c r="G253" s="233"/>
    </row>
    <row r="254" ht="14.25" customHeight="1">
      <c r="F254" s="233"/>
      <c r="G254" s="233"/>
    </row>
    <row r="255" ht="14.25" customHeight="1">
      <c r="F255" s="233"/>
      <c r="G255" s="233"/>
    </row>
    <row r="256" ht="14.25" customHeight="1">
      <c r="F256" s="233"/>
      <c r="G256" s="233"/>
    </row>
    <row r="257" ht="14.25" customHeight="1">
      <c r="F257" s="233"/>
      <c r="G257" s="233"/>
    </row>
    <row r="258" ht="14.25" customHeight="1">
      <c r="F258" s="233"/>
      <c r="G258" s="233"/>
    </row>
    <row r="259" ht="14.25" customHeight="1">
      <c r="F259" s="233"/>
      <c r="G259" s="233"/>
    </row>
    <row r="260" ht="14.25" customHeight="1">
      <c r="F260" s="233"/>
      <c r="G260" s="233"/>
    </row>
    <row r="261" ht="14.25" customHeight="1">
      <c r="F261" s="233"/>
      <c r="G261" s="233"/>
    </row>
    <row r="262" ht="14.25" customHeight="1">
      <c r="F262" s="233"/>
      <c r="G262" s="233"/>
    </row>
    <row r="263" ht="14.25" customHeight="1">
      <c r="F263" s="233"/>
      <c r="G263" s="233"/>
    </row>
    <row r="264" ht="14.25" customHeight="1">
      <c r="F264" s="233"/>
      <c r="G264" s="233"/>
    </row>
    <row r="265" ht="14.25" customHeight="1">
      <c r="F265" s="233"/>
      <c r="G265" s="233"/>
    </row>
    <row r="266" ht="14.25" customHeight="1">
      <c r="F266" s="233"/>
      <c r="G266" s="233"/>
    </row>
    <row r="267" ht="14.25" customHeight="1">
      <c r="F267" s="233"/>
      <c r="G267" s="233"/>
    </row>
    <row r="268" ht="14.25" customHeight="1">
      <c r="F268" s="233"/>
      <c r="G268" s="233"/>
    </row>
    <row r="269" ht="14.25" customHeight="1">
      <c r="F269" s="233"/>
      <c r="G269" s="233"/>
    </row>
    <row r="270" ht="14.25" customHeight="1">
      <c r="F270" s="233"/>
      <c r="G270" s="233"/>
    </row>
    <row r="271" ht="14.25" customHeight="1">
      <c r="F271" s="233"/>
      <c r="G271" s="233"/>
    </row>
    <row r="272" ht="14.25" customHeight="1">
      <c r="F272" s="233"/>
      <c r="G272" s="233"/>
    </row>
    <row r="273" ht="14.25" customHeight="1">
      <c r="F273" s="233"/>
      <c r="G273" s="233"/>
    </row>
    <row r="274" ht="14.25" customHeight="1">
      <c r="F274" s="233"/>
      <c r="G274" s="233"/>
    </row>
    <row r="275" ht="14.25" customHeight="1">
      <c r="F275" s="233"/>
      <c r="G275" s="233"/>
    </row>
    <row r="276" ht="14.25" customHeight="1">
      <c r="F276" s="233"/>
      <c r="G276" s="233"/>
    </row>
    <row r="277" ht="14.25" customHeight="1">
      <c r="F277" s="233"/>
      <c r="G277" s="233"/>
    </row>
    <row r="278" ht="14.25" customHeight="1">
      <c r="F278" s="233"/>
      <c r="G278" s="233"/>
    </row>
    <row r="279" ht="14.25" customHeight="1">
      <c r="F279" s="233"/>
      <c r="G279" s="233"/>
    </row>
    <row r="280" ht="14.25" customHeight="1">
      <c r="F280" s="233"/>
      <c r="G280" s="233"/>
    </row>
    <row r="281" ht="14.25" customHeight="1">
      <c r="F281" s="233"/>
      <c r="G281" s="233"/>
    </row>
    <row r="282" ht="14.25" customHeight="1">
      <c r="F282" s="233"/>
      <c r="G282" s="233"/>
    </row>
    <row r="283" ht="14.25" customHeight="1">
      <c r="F283" s="233"/>
      <c r="G283" s="233"/>
    </row>
    <row r="284" ht="14.25" customHeight="1">
      <c r="F284" s="233"/>
      <c r="G284" s="233"/>
    </row>
    <row r="285" ht="14.25" customHeight="1">
      <c r="F285" s="233"/>
      <c r="G285" s="233"/>
    </row>
    <row r="286" ht="14.25" customHeight="1">
      <c r="F286" s="233"/>
      <c r="G286" s="233"/>
    </row>
    <row r="287" ht="14.25" customHeight="1">
      <c r="F287" s="233"/>
      <c r="G287" s="233"/>
    </row>
    <row r="288" ht="14.25" customHeight="1">
      <c r="F288" s="233"/>
      <c r="G288" s="233"/>
    </row>
    <row r="289" ht="14.25" customHeight="1">
      <c r="F289" s="233"/>
      <c r="G289" s="233"/>
    </row>
    <row r="290" ht="14.25" customHeight="1">
      <c r="F290" s="233"/>
      <c r="G290" s="233"/>
    </row>
    <row r="291" ht="14.25" customHeight="1">
      <c r="F291" s="233"/>
      <c r="G291" s="233"/>
    </row>
    <row r="292" ht="14.25" customHeight="1">
      <c r="F292" s="233"/>
      <c r="G292" s="233"/>
    </row>
    <row r="293" ht="14.25" customHeight="1">
      <c r="F293" s="233"/>
      <c r="G293" s="233"/>
    </row>
    <row r="294" ht="14.25" customHeight="1">
      <c r="F294" s="233"/>
      <c r="G294" s="233"/>
    </row>
    <row r="295" ht="14.25" customHeight="1">
      <c r="F295" s="233"/>
      <c r="G295" s="233"/>
    </row>
    <row r="296" ht="14.25" customHeight="1">
      <c r="F296" s="233"/>
      <c r="G296" s="233"/>
    </row>
    <row r="297" ht="14.25" customHeight="1">
      <c r="F297" s="233"/>
      <c r="G297" s="233"/>
    </row>
    <row r="298" ht="14.25" customHeight="1">
      <c r="F298" s="233"/>
      <c r="G298" s="233"/>
    </row>
    <row r="299" ht="14.25" customHeight="1">
      <c r="F299" s="233"/>
      <c r="G299" s="233"/>
    </row>
    <row r="300" ht="14.25" customHeight="1">
      <c r="F300" s="233"/>
      <c r="G300" s="233"/>
    </row>
    <row r="301" ht="14.25" customHeight="1">
      <c r="F301" s="233"/>
      <c r="G301" s="233"/>
    </row>
    <row r="302" ht="14.25" customHeight="1">
      <c r="F302" s="233"/>
      <c r="G302" s="233"/>
    </row>
    <row r="303" ht="14.25" customHeight="1">
      <c r="F303" s="233"/>
      <c r="G303" s="233"/>
    </row>
    <row r="304" ht="14.25" customHeight="1">
      <c r="F304" s="233"/>
      <c r="G304" s="233"/>
    </row>
    <row r="305" ht="14.25" customHeight="1">
      <c r="F305" s="233"/>
      <c r="G305" s="233"/>
    </row>
    <row r="306" ht="14.25" customHeight="1">
      <c r="F306" s="233"/>
      <c r="G306" s="233"/>
    </row>
    <row r="307" ht="14.25" customHeight="1">
      <c r="F307" s="233"/>
      <c r="G307" s="233"/>
    </row>
    <row r="308" ht="14.25" customHeight="1">
      <c r="F308" s="233"/>
      <c r="G308" s="233"/>
    </row>
    <row r="309" ht="14.25" customHeight="1">
      <c r="F309" s="233"/>
      <c r="G309" s="233"/>
    </row>
    <row r="310" ht="14.25" customHeight="1">
      <c r="F310" s="233"/>
      <c r="G310" s="233"/>
    </row>
    <row r="311" ht="14.25" customHeight="1">
      <c r="F311" s="233"/>
      <c r="G311" s="233"/>
    </row>
    <row r="312" ht="14.25" customHeight="1">
      <c r="F312" s="233"/>
      <c r="G312" s="233"/>
    </row>
    <row r="313" ht="14.25" customHeight="1">
      <c r="F313" s="233"/>
      <c r="G313" s="233"/>
    </row>
    <row r="314" ht="14.25" customHeight="1">
      <c r="F314" s="233"/>
      <c r="G314" s="233"/>
    </row>
    <row r="315" ht="14.25" customHeight="1">
      <c r="F315" s="233"/>
      <c r="G315" s="233"/>
    </row>
    <row r="316" ht="14.25" customHeight="1">
      <c r="F316" s="233"/>
      <c r="G316" s="233"/>
    </row>
    <row r="317" ht="14.25" customHeight="1">
      <c r="F317" s="233"/>
      <c r="G317" s="233"/>
    </row>
    <row r="318" ht="14.25" customHeight="1">
      <c r="F318" s="233"/>
      <c r="G318" s="233"/>
    </row>
    <row r="319" ht="14.25" customHeight="1">
      <c r="F319" s="233"/>
      <c r="G319" s="233"/>
    </row>
    <row r="320" ht="14.25" customHeight="1">
      <c r="F320" s="233"/>
      <c r="G320" s="233"/>
    </row>
    <row r="321" ht="14.25" customHeight="1">
      <c r="F321" s="233"/>
      <c r="G321" s="233"/>
    </row>
    <row r="322" ht="14.25" customHeight="1">
      <c r="F322" s="233"/>
      <c r="G322" s="233"/>
    </row>
    <row r="323" ht="14.25" customHeight="1">
      <c r="F323" s="233"/>
      <c r="G323" s="233"/>
    </row>
    <row r="324" ht="14.25" customHeight="1">
      <c r="F324" s="233"/>
      <c r="G324" s="233"/>
    </row>
    <row r="325" ht="14.25" customHeight="1">
      <c r="F325" s="233"/>
      <c r="G325" s="233"/>
    </row>
    <row r="326" ht="14.25" customHeight="1">
      <c r="F326" s="233"/>
      <c r="G326" s="233"/>
    </row>
    <row r="327" ht="14.25" customHeight="1">
      <c r="F327" s="233"/>
      <c r="G327" s="233"/>
    </row>
    <row r="328" ht="14.25" customHeight="1">
      <c r="F328" s="233"/>
      <c r="G328" s="233"/>
    </row>
    <row r="329" ht="14.25" customHeight="1">
      <c r="F329" s="233"/>
      <c r="G329" s="233"/>
    </row>
    <row r="330" ht="14.25" customHeight="1">
      <c r="F330" s="233"/>
      <c r="G330" s="233"/>
    </row>
    <row r="331" ht="14.25" customHeight="1">
      <c r="F331" s="233"/>
      <c r="G331" s="233"/>
    </row>
    <row r="332" ht="14.25" customHeight="1">
      <c r="F332" s="233"/>
      <c r="G332" s="233"/>
    </row>
    <row r="333" ht="14.25" customHeight="1">
      <c r="F333" s="233"/>
      <c r="G333" s="233"/>
    </row>
    <row r="334" ht="14.25" customHeight="1">
      <c r="F334" s="233"/>
      <c r="G334" s="233"/>
    </row>
    <row r="335" ht="14.25" customHeight="1">
      <c r="F335" s="233"/>
      <c r="G335" s="233"/>
    </row>
    <row r="336" ht="14.25" customHeight="1">
      <c r="F336" s="233"/>
      <c r="G336" s="233"/>
    </row>
    <row r="337" ht="14.25" customHeight="1">
      <c r="F337" s="233"/>
      <c r="G337" s="233"/>
    </row>
    <row r="338" ht="14.25" customHeight="1">
      <c r="F338" s="233"/>
      <c r="G338" s="233"/>
    </row>
    <row r="339" ht="14.25" customHeight="1">
      <c r="F339" s="233"/>
      <c r="G339" s="233"/>
    </row>
    <row r="340" ht="14.25" customHeight="1">
      <c r="F340" s="233"/>
      <c r="G340" s="233"/>
    </row>
    <row r="341" ht="14.25" customHeight="1">
      <c r="F341" s="233"/>
      <c r="G341" s="233"/>
    </row>
    <row r="342" ht="14.25" customHeight="1">
      <c r="F342" s="233"/>
      <c r="G342" s="233"/>
    </row>
    <row r="343" ht="14.25" customHeight="1">
      <c r="F343" s="233"/>
      <c r="G343" s="233"/>
    </row>
    <row r="344" ht="14.25" customHeight="1">
      <c r="F344" s="233"/>
      <c r="G344" s="233"/>
    </row>
    <row r="345" ht="14.25" customHeight="1">
      <c r="F345" s="233"/>
      <c r="G345" s="233"/>
    </row>
    <row r="346" ht="14.25" customHeight="1">
      <c r="F346" s="233"/>
      <c r="G346" s="233"/>
    </row>
    <row r="347" ht="14.25" customHeight="1">
      <c r="F347" s="233"/>
      <c r="G347" s="233"/>
    </row>
    <row r="348" ht="14.25" customHeight="1">
      <c r="F348" s="233"/>
      <c r="G348" s="233"/>
    </row>
    <row r="349" ht="14.25" customHeight="1">
      <c r="F349" s="233"/>
      <c r="G349" s="233"/>
    </row>
    <row r="350" ht="14.25" customHeight="1">
      <c r="F350" s="233"/>
      <c r="G350" s="233"/>
    </row>
    <row r="351" ht="14.25" customHeight="1">
      <c r="F351" s="233"/>
      <c r="G351" s="233"/>
    </row>
    <row r="352" ht="14.25" customHeight="1">
      <c r="F352" s="233"/>
      <c r="G352" s="233"/>
    </row>
    <row r="353" ht="14.25" customHeight="1">
      <c r="F353" s="233"/>
      <c r="G353" s="233"/>
    </row>
    <row r="354" ht="14.25" customHeight="1">
      <c r="F354" s="233"/>
      <c r="G354" s="233"/>
    </row>
    <row r="355" ht="14.25" customHeight="1">
      <c r="F355" s="233"/>
      <c r="G355" s="233"/>
    </row>
    <row r="356" ht="14.25" customHeight="1">
      <c r="F356" s="233"/>
      <c r="G356" s="233"/>
    </row>
    <row r="357" ht="14.25" customHeight="1">
      <c r="F357" s="233"/>
      <c r="G357" s="233"/>
    </row>
    <row r="358" ht="14.25" customHeight="1">
      <c r="F358" s="233"/>
      <c r="G358" s="233"/>
    </row>
    <row r="359" ht="14.25" customHeight="1">
      <c r="F359" s="233"/>
      <c r="G359" s="233"/>
    </row>
    <row r="360" ht="14.25" customHeight="1">
      <c r="F360" s="233"/>
      <c r="G360" s="233"/>
    </row>
    <row r="361" ht="14.25" customHeight="1">
      <c r="F361" s="233"/>
      <c r="G361" s="233"/>
    </row>
    <row r="362" ht="14.25" customHeight="1">
      <c r="F362" s="233"/>
      <c r="G362" s="233"/>
    </row>
    <row r="363" ht="14.25" customHeight="1">
      <c r="F363" s="233"/>
      <c r="G363" s="233"/>
    </row>
    <row r="364" ht="14.25" customHeight="1">
      <c r="F364" s="233"/>
      <c r="G364" s="233"/>
    </row>
    <row r="365" ht="14.25" customHeight="1">
      <c r="F365" s="233"/>
      <c r="G365" s="233"/>
    </row>
    <row r="366" ht="14.25" customHeight="1">
      <c r="F366" s="233"/>
      <c r="G366" s="233"/>
    </row>
    <row r="367" ht="14.25" customHeight="1">
      <c r="F367" s="233"/>
      <c r="G367" s="233"/>
    </row>
    <row r="368" ht="14.25" customHeight="1">
      <c r="F368" s="233"/>
      <c r="G368" s="233"/>
    </row>
    <row r="369" ht="14.25" customHeight="1">
      <c r="F369" s="233"/>
      <c r="G369" s="233"/>
    </row>
    <row r="370" ht="14.25" customHeight="1">
      <c r="F370" s="233"/>
      <c r="G370" s="233"/>
    </row>
    <row r="371" ht="14.25" customHeight="1">
      <c r="F371" s="233"/>
      <c r="G371" s="233"/>
    </row>
    <row r="372" ht="14.25" customHeight="1">
      <c r="F372" s="233"/>
      <c r="G372" s="233"/>
    </row>
    <row r="373" ht="14.25" customHeight="1">
      <c r="F373" s="233"/>
      <c r="G373" s="233"/>
    </row>
    <row r="374" ht="14.25" customHeight="1">
      <c r="F374" s="233"/>
      <c r="G374" s="233"/>
    </row>
    <row r="375" ht="14.25" customHeight="1">
      <c r="F375" s="233"/>
      <c r="G375" s="233"/>
    </row>
    <row r="376" ht="14.25" customHeight="1">
      <c r="F376" s="233"/>
      <c r="G376" s="233"/>
    </row>
    <row r="377" ht="14.25" customHeight="1">
      <c r="F377" s="233"/>
      <c r="G377" s="233"/>
    </row>
    <row r="378" ht="14.25" customHeight="1">
      <c r="F378" s="233"/>
      <c r="G378" s="233"/>
    </row>
    <row r="379" ht="14.25" customHeight="1">
      <c r="F379" s="233"/>
      <c r="G379" s="233"/>
    </row>
    <row r="380" ht="14.25" customHeight="1">
      <c r="F380" s="233"/>
      <c r="G380" s="233"/>
    </row>
    <row r="381" ht="14.25" customHeight="1">
      <c r="F381" s="233"/>
      <c r="G381" s="233"/>
    </row>
    <row r="382" ht="14.25" customHeight="1">
      <c r="F382" s="233"/>
      <c r="G382" s="233"/>
    </row>
    <row r="383" ht="14.25" customHeight="1">
      <c r="F383" s="233"/>
      <c r="G383" s="233"/>
    </row>
    <row r="384" ht="14.25" customHeight="1">
      <c r="F384" s="233"/>
      <c r="G384" s="233"/>
    </row>
    <row r="385" ht="14.25" customHeight="1">
      <c r="F385" s="233"/>
      <c r="G385" s="233"/>
    </row>
    <row r="386" ht="14.25" customHeight="1">
      <c r="F386" s="233"/>
      <c r="G386" s="233"/>
    </row>
    <row r="387" ht="14.25" customHeight="1">
      <c r="F387" s="233"/>
      <c r="G387" s="233"/>
    </row>
    <row r="388" ht="14.25" customHeight="1">
      <c r="F388" s="233"/>
      <c r="G388" s="233"/>
    </row>
    <row r="389" ht="14.25" customHeight="1">
      <c r="F389" s="233"/>
      <c r="G389" s="233"/>
    </row>
    <row r="390" ht="14.25" customHeight="1">
      <c r="F390" s="233"/>
      <c r="G390" s="233"/>
    </row>
    <row r="391" ht="14.25" customHeight="1">
      <c r="F391" s="233"/>
      <c r="G391" s="233"/>
    </row>
    <row r="392" ht="14.25" customHeight="1">
      <c r="F392" s="233"/>
      <c r="G392" s="233"/>
    </row>
    <row r="393" ht="14.25" customHeight="1">
      <c r="F393" s="233"/>
      <c r="G393" s="233"/>
    </row>
    <row r="394" ht="14.25" customHeight="1">
      <c r="F394" s="233"/>
      <c r="G394" s="233"/>
    </row>
    <row r="395" ht="14.25" customHeight="1">
      <c r="F395" s="233"/>
      <c r="G395" s="233"/>
    </row>
    <row r="396" ht="14.25" customHeight="1">
      <c r="F396" s="233"/>
      <c r="G396" s="233"/>
    </row>
    <row r="397" ht="14.25" customHeight="1">
      <c r="F397" s="233"/>
      <c r="G397" s="233"/>
    </row>
    <row r="398" ht="14.25" customHeight="1">
      <c r="F398" s="233"/>
      <c r="G398" s="233"/>
    </row>
    <row r="399" ht="14.25" customHeight="1">
      <c r="F399" s="233"/>
      <c r="G399" s="233"/>
    </row>
    <row r="400" ht="14.25" customHeight="1">
      <c r="F400" s="233"/>
      <c r="G400" s="233"/>
    </row>
    <row r="401" ht="14.25" customHeight="1">
      <c r="F401" s="233"/>
      <c r="G401" s="233"/>
    </row>
    <row r="402" ht="14.25" customHeight="1">
      <c r="F402" s="233"/>
      <c r="G402" s="233"/>
    </row>
    <row r="403" ht="14.25" customHeight="1">
      <c r="F403" s="233"/>
      <c r="G403" s="233"/>
    </row>
    <row r="404" ht="14.25" customHeight="1">
      <c r="F404" s="233"/>
      <c r="G404" s="233"/>
    </row>
    <row r="405" ht="14.25" customHeight="1">
      <c r="F405" s="233"/>
      <c r="G405" s="233"/>
    </row>
    <row r="406" ht="14.25" customHeight="1">
      <c r="F406" s="233"/>
      <c r="G406" s="233"/>
    </row>
    <row r="407" ht="14.25" customHeight="1">
      <c r="F407" s="233"/>
      <c r="G407" s="233"/>
    </row>
    <row r="408" ht="14.25" customHeight="1">
      <c r="F408" s="233"/>
      <c r="G408" s="233"/>
    </row>
    <row r="409" ht="14.25" customHeight="1">
      <c r="F409" s="233"/>
      <c r="G409" s="233"/>
    </row>
    <row r="410" ht="14.25" customHeight="1">
      <c r="F410" s="233"/>
      <c r="G410" s="233"/>
    </row>
    <row r="411" ht="14.25" customHeight="1">
      <c r="F411" s="233"/>
      <c r="G411" s="233"/>
    </row>
    <row r="412" ht="14.25" customHeight="1">
      <c r="F412" s="233"/>
      <c r="G412" s="233"/>
    </row>
    <row r="413" ht="14.25" customHeight="1">
      <c r="F413" s="233"/>
      <c r="G413" s="233"/>
    </row>
    <row r="414" ht="14.25" customHeight="1">
      <c r="F414" s="233"/>
      <c r="G414" s="233"/>
    </row>
    <row r="415" ht="14.25" customHeight="1">
      <c r="F415" s="233"/>
      <c r="G415" s="233"/>
    </row>
    <row r="416" ht="14.25" customHeight="1">
      <c r="F416" s="233"/>
      <c r="G416" s="233"/>
    </row>
    <row r="417" ht="14.25" customHeight="1">
      <c r="F417" s="233"/>
      <c r="G417" s="233"/>
    </row>
    <row r="418" ht="14.25" customHeight="1">
      <c r="F418" s="233"/>
      <c r="G418" s="233"/>
    </row>
    <row r="419" ht="14.25" customHeight="1">
      <c r="F419" s="233"/>
      <c r="G419" s="233"/>
    </row>
    <row r="420" ht="14.25" customHeight="1">
      <c r="F420" s="233"/>
      <c r="G420" s="233"/>
    </row>
    <row r="421" ht="14.25" customHeight="1">
      <c r="F421" s="233"/>
      <c r="G421" s="233"/>
    </row>
    <row r="422" ht="14.25" customHeight="1">
      <c r="F422" s="233"/>
      <c r="G422" s="233"/>
    </row>
    <row r="423" ht="14.25" customHeight="1">
      <c r="F423" s="233"/>
      <c r="G423" s="233"/>
    </row>
    <row r="424" ht="14.25" customHeight="1">
      <c r="F424" s="233"/>
      <c r="G424" s="233"/>
    </row>
    <row r="425" ht="14.25" customHeight="1">
      <c r="F425" s="233"/>
      <c r="G425" s="233"/>
    </row>
    <row r="426" ht="14.25" customHeight="1">
      <c r="F426" s="233"/>
      <c r="G426" s="233"/>
    </row>
    <row r="427" ht="14.25" customHeight="1">
      <c r="F427" s="233"/>
      <c r="G427" s="233"/>
    </row>
    <row r="428" ht="14.25" customHeight="1">
      <c r="F428" s="233"/>
      <c r="G428" s="233"/>
    </row>
    <row r="429" ht="14.25" customHeight="1">
      <c r="F429" s="233"/>
      <c r="G429" s="233"/>
    </row>
    <row r="430" ht="14.25" customHeight="1">
      <c r="F430" s="233"/>
      <c r="G430" s="233"/>
    </row>
    <row r="431" ht="14.25" customHeight="1">
      <c r="F431" s="233"/>
      <c r="G431" s="233"/>
    </row>
    <row r="432" ht="14.25" customHeight="1">
      <c r="F432" s="233"/>
      <c r="G432" s="233"/>
    </row>
    <row r="433" ht="14.25" customHeight="1">
      <c r="F433" s="233"/>
      <c r="G433" s="233"/>
    </row>
    <row r="434" ht="14.25" customHeight="1">
      <c r="F434" s="233"/>
      <c r="G434" s="233"/>
    </row>
    <row r="435" ht="14.25" customHeight="1">
      <c r="F435" s="233"/>
      <c r="G435" s="233"/>
    </row>
    <row r="436" ht="14.25" customHeight="1">
      <c r="F436" s="233"/>
      <c r="G436" s="233"/>
    </row>
    <row r="437" ht="14.25" customHeight="1">
      <c r="F437" s="233"/>
      <c r="G437" s="233"/>
    </row>
    <row r="438" ht="14.25" customHeight="1">
      <c r="F438" s="233"/>
      <c r="G438" s="233"/>
    </row>
    <row r="439" ht="14.25" customHeight="1">
      <c r="F439" s="233"/>
      <c r="G439" s="233"/>
    </row>
    <row r="440" ht="14.25" customHeight="1">
      <c r="F440" s="233"/>
      <c r="G440" s="233"/>
    </row>
    <row r="441" ht="14.25" customHeight="1">
      <c r="F441" s="233"/>
      <c r="G441" s="233"/>
    </row>
    <row r="442" ht="14.25" customHeight="1">
      <c r="F442" s="233"/>
      <c r="G442" s="233"/>
    </row>
    <row r="443" ht="14.25" customHeight="1">
      <c r="F443" s="233"/>
      <c r="G443" s="233"/>
    </row>
    <row r="444" ht="14.25" customHeight="1">
      <c r="F444" s="233"/>
      <c r="G444" s="233"/>
    </row>
    <row r="445" ht="14.25" customHeight="1">
      <c r="F445" s="233"/>
      <c r="G445" s="233"/>
    </row>
    <row r="446" ht="14.25" customHeight="1">
      <c r="F446" s="233"/>
      <c r="G446" s="233"/>
    </row>
    <row r="447" ht="14.25" customHeight="1">
      <c r="F447" s="233"/>
      <c r="G447" s="233"/>
    </row>
    <row r="448" ht="14.25" customHeight="1">
      <c r="F448" s="233"/>
      <c r="G448" s="233"/>
    </row>
    <row r="449" ht="14.25" customHeight="1">
      <c r="F449" s="233"/>
      <c r="G449" s="233"/>
    </row>
    <row r="450" ht="14.25" customHeight="1">
      <c r="F450" s="233"/>
      <c r="G450" s="233"/>
    </row>
    <row r="451" ht="14.25" customHeight="1">
      <c r="F451" s="233"/>
      <c r="G451" s="233"/>
    </row>
    <row r="452" ht="14.25" customHeight="1">
      <c r="F452" s="233"/>
      <c r="G452" s="233"/>
    </row>
    <row r="453" ht="14.25" customHeight="1">
      <c r="F453" s="233"/>
      <c r="G453" s="233"/>
    </row>
    <row r="454" ht="14.25" customHeight="1">
      <c r="F454" s="233"/>
      <c r="G454" s="233"/>
    </row>
    <row r="455" ht="14.25" customHeight="1">
      <c r="F455" s="233"/>
      <c r="G455" s="233"/>
    </row>
    <row r="456" ht="14.25" customHeight="1">
      <c r="F456" s="233"/>
      <c r="G456" s="233"/>
    </row>
    <row r="457" ht="14.25" customHeight="1">
      <c r="F457" s="233"/>
      <c r="G457" s="233"/>
    </row>
    <row r="458" ht="14.25" customHeight="1">
      <c r="F458" s="233"/>
      <c r="G458" s="233"/>
    </row>
    <row r="459" ht="14.25" customHeight="1">
      <c r="F459" s="233"/>
      <c r="G459" s="233"/>
    </row>
    <row r="460" ht="14.25" customHeight="1">
      <c r="F460" s="233"/>
      <c r="G460" s="233"/>
    </row>
    <row r="461" ht="14.25" customHeight="1">
      <c r="F461" s="233"/>
      <c r="G461" s="233"/>
    </row>
    <row r="462" ht="14.25" customHeight="1">
      <c r="F462" s="233"/>
      <c r="G462" s="233"/>
    </row>
    <row r="463" ht="14.25" customHeight="1">
      <c r="F463" s="233"/>
      <c r="G463" s="233"/>
    </row>
    <row r="464" ht="14.25" customHeight="1">
      <c r="F464" s="233"/>
      <c r="G464" s="233"/>
    </row>
    <row r="465" ht="14.25" customHeight="1">
      <c r="F465" s="233"/>
      <c r="G465" s="233"/>
    </row>
    <row r="466" ht="14.25" customHeight="1">
      <c r="F466" s="233"/>
      <c r="G466" s="233"/>
    </row>
    <row r="467" ht="14.25" customHeight="1">
      <c r="F467" s="233"/>
      <c r="G467" s="233"/>
    </row>
    <row r="468" ht="14.25" customHeight="1">
      <c r="F468" s="233"/>
      <c r="G468" s="233"/>
    </row>
    <row r="469" ht="14.25" customHeight="1">
      <c r="F469" s="233"/>
      <c r="G469" s="233"/>
    </row>
    <row r="470" ht="14.25" customHeight="1">
      <c r="F470" s="233"/>
      <c r="G470" s="233"/>
    </row>
    <row r="471" ht="14.25" customHeight="1">
      <c r="F471" s="233"/>
      <c r="G471" s="233"/>
    </row>
    <row r="472" ht="14.25" customHeight="1">
      <c r="F472" s="233"/>
      <c r="G472" s="233"/>
    </row>
    <row r="473" ht="14.25" customHeight="1">
      <c r="F473" s="233"/>
      <c r="G473" s="233"/>
    </row>
    <row r="474" ht="14.25" customHeight="1">
      <c r="F474" s="233"/>
      <c r="G474" s="233"/>
    </row>
    <row r="475" ht="14.25" customHeight="1">
      <c r="F475" s="233"/>
      <c r="G475" s="233"/>
    </row>
    <row r="476" ht="14.25" customHeight="1">
      <c r="F476" s="233"/>
      <c r="G476" s="233"/>
    </row>
    <row r="477" ht="14.25" customHeight="1">
      <c r="F477" s="233"/>
      <c r="G477" s="233"/>
    </row>
    <row r="478" ht="14.25" customHeight="1">
      <c r="F478" s="233"/>
      <c r="G478" s="233"/>
    </row>
    <row r="479" ht="14.25" customHeight="1">
      <c r="F479" s="233"/>
      <c r="G479" s="233"/>
    </row>
    <row r="480" ht="14.25" customHeight="1">
      <c r="F480" s="233"/>
      <c r="G480" s="233"/>
    </row>
    <row r="481" ht="14.25" customHeight="1">
      <c r="F481" s="233"/>
      <c r="G481" s="233"/>
    </row>
    <row r="482" ht="14.25" customHeight="1">
      <c r="F482" s="233"/>
      <c r="G482" s="233"/>
    </row>
    <row r="483" ht="14.25" customHeight="1">
      <c r="F483" s="233"/>
      <c r="G483" s="233"/>
    </row>
    <row r="484" ht="14.25" customHeight="1">
      <c r="F484" s="233"/>
      <c r="G484" s="233"/>
    </row>
    <row r="485" ht="14.25" customHeight="1">
      <c r="F485" s="233"/>
      <c r="G485" s="233"/>
    </row>
    <row r="486" ht="14.25" customHeight="1">
      <c r="F486" s="233"/>
      <c r="G486" s="233"/>
    </row>
    <row r="487" ht="14.25" customHeight="1">
      <c r="F487" s="233"/>
      <c r="G487" s="233"/>
    </row>
    <row r="488" ht="14.25" customHeight="1">
      <c r="F488" s="233"/>
      <c r="G488" s="233"/>
    </row>
    <row r="489" ht="14.25" customHeight="1">
      <c r="F489" s="233"/>
      <c r="G489" s="233"/>
    </row>
    <row r="490" ht="14.25" customHeight="1">
      <c r="F490" s="233"/>
      <c r="G490" s="233"/>
    </row>
    <row r="491" ht="14.25" customHeight="1">
      <c r="F491" s="233"/>
      <c r="G491" s="233"/>
    </row>
    <row r="492" ht="14.25" customHeight="1">
      <c r="F492" s="233"/>
      <c r="G492" s="233"/>
    </row>
    <row r="493" ht="14.25" customHeight="1">
      <c r="F493" s="233"/>
      <c r="G493" s="233"/>
    </row>
    <row r="494" ht="14.25" customHeight="1">
      <c r="F494" s="233"/>
      <c r="G494" s="233"/>
    </row>
    <row r="495" ht="14.25" customHeight="1">
      <c r="F495" s="233"/>
      <c r="G495" s="233"/>
    </row>
    <row r="496" ht="14.25" customHeight="1">
      <c r="F496" s="233"/>
      <c r="G496" s="233"/>
    </row>
    <row r="497" ht="14.25" customHeight="1">
      <c r="F497" s="233"/>
      <c r="G497" s="233"/>
    </row>
    <row r="498" ht="14.25" customHeight="1">
      <c r="F498" s="233"/>
      <c r="G498" s="233"/>
    </row>
    <row r="499" ht="14.25" customHeight="1">
      <c r="F499" s="233"/>
      <c r="G499" s="233"/>
    </row>
    <row r="500" ht="14.25" customHeight="1">
      <c r="F500" s="233"/>
      <c r="G500" s="233"/>
    </row>
    <row r="501" ht="14.25" customHeight="1">
      <c r="F501" s="233"/>
      <c r="G501" s="233"/>
    </row>
    <row r="502" ht="14.25" customHeight="1">
      <c r="F502" s="233"/>
      <c r="G502" s="233"/>
    </row>
    <row r="503" ht="14.25" customHeight="1">
      <c r="F503" s="233"/>
      <c r="G503" s="233"/>
    </row>
    <row r="504" ht="14.25" customHeight="1">
      <c r="F504" s="233"/>
      <c r="G504" s="233"/>
    </row>
    <row r="505" ht="14.25" customHeight="1">
      <c r="F505" s="233"/>
      <c r="G505" s="233"/>
    </row>
    <row r="506" ht="14.25" customHeight="1">
      <c r="F506" s="233"/>
      <c r="G506" s="233"/>
    </row>
    <row r="507" ht="14.25" customHeight="1">
      <c r="F507" s="233"/>
      <c r="G507" s="233"/>
    </row>
    <row r="508" ht="14.25" customHeight="1">
      <c r="F508" s="233"/>
      <c r="G508" s="233"/>
    </row>
    <row r="509" ht="14.25" customHeight="1">
      <c r="F509" s="233"/>
      <c r="G509" s="233"/>
    </row>
    <row r="510" ht="14.25" customHeight="1">
      <c r="F510" s="233"/>
      <c r="G510" s="233"/>
    </row>
    <row r="511" ht="14.25" customHeight="1">
      <c r="F511" s="233"/>
      <c r="G511" s="233"/>
    </row>
    <row r="512" ht="14.25" customHeight="1">
      <c r="F512" s="233"/>
      <c r="G512" s="233"/>
    </row>
    <row r="513" ht="14.25" customHeight="1">
      <c r="F513" s="233"/>
      <c r="G513" s="233"/>
    </row>
    <row r="514" ht="14.25" customHeight="1">
      <c r="F514" s="233"/>
      <c r="G514" s="233"/>
    </row>
    <row r="515" ht="14.25" customHeight="1">
      <c r="F515" s="233"/>
      <c r="G515" s="233"/>
    </row>
    <row r="516" ht="14.25" customHeight="1">
      <c r="F516" s="233"/>
      <c r="G516" s="233"/>
    </row>
    <row r="517" ht="14.25" customHeight="1">
      <c r="F517" s="233"/>
      <c r="G517" s="233"/>
    </row>
    <row r="518" ht="14.25" customHeight="1">
      <c r="F518" s="233"/>
      <c r="G518" s="233"/>
    </row>
    <row r="519" ht="14.25" customHeight="1">
      <c r="F519" s="233"/>
      <c r="G519" s="233"/>
    </row>
    <row r="520" ht="14.25" customHeight="1">
      <c r="F520" s="233"/>
      <c r="G520" s="233"/>
    </row>
    <row r="521" ht="14.25" customHeight="1">
      <c r="F521" s="233"/>
      <c r="G521" s="233"/>
    </row>
    <row r="522" ht="14.25" customHeight="1">
      <c r="F522" s="233"/>
      <c r="G522" s="233"/>
    </row>
    <row r="523" ht="14.25" customHeight="1">
      <c r="F523" s="233"/>
      <c r="G523" s="233"/>
    </row>
    <row r="524" ht="14.25" customHeight="1">
      <c r="F524" s="233"/>
      <c r="G524" s="233"/>
    </row>
    <row r="525" ht="14.25" customHeight="1">
      <c r="F525" s="233"/>
      <c r="G525" s="233"/>
    </row>
    <row r="526" ht="14.25" customHeight="1">
      <c r="F526" s="233"/>
      <c r="G526" s="233"/>
    </row>
    <row r="527" ht="14.25" customHeight="1">
      <c r="F527" s="233"/>
      <c r="G527" s="233"/>
    </row>
    <row r="528" ht="14.25" customHeight="1">
      <c r="F528" s="233"/>
      <c r="G528" s="233"/>
    </row>
    <row r="529" ht="14.25" customHeight="1">
      <c r="F529" s="233"/>
      <c r="G529" s="233"/>
    </row>
    <row r="530" ht="14.25" customHeight="1">
      <c r="F530" s="233"/>
      <c r="G530" s="233"/>
    </row>
    <row r="531" ht="14.25" customHeight="1">
      <c r="F531" s="233"/>
      <c r="G531" s="233"/>
    </row>
    <row r="532" ht="14.25" customHeight="1">
      <c r="F532" s="233"/>
      <c r="G532" s="233"/>
    </row>
    <row r="533" ht="14.25" customHeight="1">
      <c r="F533" s="233"/>
      <c r="G533" s="233"/>
    </row>
    <row r="534" ht="14.25" customHeight="1">
      <c r="F534" s="233"/>
      <c r="G534" s="233"/>
    </row>
    <row r="535" ht="14.25" customHeight="1">
      <c r="F535" s="233"/>
      <c r="G535" s="233"/>
    </row>
    <row r="536" ht="14.25" customHeight="1">
      <c r="F536" s="233"/>
      <c r="G536" s="233"/>
    </row>
    <row r="537" ht="14.25" customHeight="1">
      <c r="F537" s="233"/>
      <c r="G537" s="233"/>
    </row>
    <row r="538" ht="14.25" customHeight="1">
      <c r="F538" s="233"/>
      <c r="G538" s="233"/>
    </row>
    <row r="539" ht="14.25" customHeight="1">
      <c r="F539" s="233"/>
      <c r="G539" s="233"/>
    </row>
    <row r="540" ht="14.25" customHeight="1">
      <c r="F540" s="233"/>
      <c r="G540" s="233"/>
    </row>
    <row r="541" ht="14.25" customHeight="1">
      <c r="F541" s="233"/>
      <c r="G541" s="233"/>
    </row>
    <row r="542" ht="14.25" customHeight="1">
      <c r="F542" s="233"/>
      <c r="G542" s="233"/>
    </row>
    <row r="543" ht="14.25" customHeight="1">
      <c r="F543" s="233"/>
      <c r="G543" s="233"/>
    </row>
    <row r="544" ht="14.25" customHeight="1">
      <c r="F544" s="233"/>
      <c r="G544" s="233"/>
    </row>
    <row r="545" ht="14.25" customHeight="1">
      <c r="F545" s="233"/>
      <c r="G545" s="233"/>
    </row>
    <row r="546" ht="14.25" customHeight="1">
      <c r="F546" s="233"/>
      <c r="G546" s="233"/>
    </row>
    <row r="547" ht="14.25" customHeight="1">
      <c r="F547" s="233"/>
      <c r="G547" s="233"/>
    </row>
    <row r="548" ht="14.25" customHeight="1">
      <c r="F548" s="233"/>
      <c r="G548" s="233"/>
    </row>
    <row r="549" ht="14.25" customHeight="1">
      <c r="F549" s="233"/>
      <c r="G549" s="233"/>
    </row>
    <row r="550" ht="14.25" customHeight="1">
      <c r="F550" s="233"/>
      <c r="G550" s="233"/>
    </row>
    <row r="551" ht="14.25" customHeight="1">
      <c r="F551" s="233"/>
      <c r="G551" s="233"/>
    </row>
    <row r="552" ht="14.25" customHeight="1">
      <c r="F552" s="233"/>
      <c r="G552" s="233"/>
    </row>
    <row r="553" ht="14.25" customHeight="1">
      <c r="F553" s="233"/>
      <c r="G553" s="233"/>
    </row>
    <row r="554" ht="14.25" customHeight="1">
      <c r="F554" s="233"/>
      <c r="G554" s="233"/>
    </row>
    <row r="555" ht="14.25" customHeight="1">
      <c r="F555" s="233"/>
      <c r="G555" s="233"/>
    </row>
    <row r="556" ht="14.25" customHeight="1">
      <c r="F556" s="233"/>
      <c r="G556" s="233"/>
    </row>
    <row r="557" ht="14.25" customHeight="1">
      <c r="F557" s="233"/>
      <c r="G557" s="233"/>
    </row>
    <row r="558" ht="14.25" customHeight="1">
      <c r="F558" s="233"/>
      <c r="G558" s="233"/>
    </row>
    <row r="559" ht="14.25" customHeight="1">
      <c r="F559" s="233"/>
      <c r="G559" s="233"/>
    </row>
    <row r="560" ht="14.25" customHeight="1">
      <c r="F560" s="233"/>
      <c r="G560" s="233"/>
    </row>
    <row r="561" ht="14.25" customHeight="1">
      <c r="F561" s="233"/>
      <c r="G561" s="233"/>
    </row>
    <row r="562" ht="14.25" customHeight="1">
      <c r="F562" s="233"/>
      <c r="G562" s="233"/>
    </row>
    <row r="563" ht="14.25" customHeight="1">
      <c r="F563" s="233"/>
      <c r="G563" s="233"/>
    </row>
    <row r="564" ht="14.25" customHeight="1">
      <c r="F564" s="233"/>
      <c r="G564" s="233"/>
    </row>
    <row r="565" ht="14.25" customHeight="1">
      <c r="F565" s="233"/>
      <c r="G565" s="233"/>
    </row>
    <row r="566" ht="14.25" customHeight="1">
      <c r="F566" s="233"/>
      <c r="G566" s="233"/>
    </row>
    <row r="567" ht="14.25" customHeight="1">
      <c r="F567" s="233"/>
      <c r="G567" s="233"/>
    </row>
    <row r="568" ht="14.25" customHeight="1">
      <c r="F568" s="233"/>
      <c r="G568" s="233"/>
    </row>
    <row r="569" ht="14.25" customHeight="1">
      <c r="F569" s="233"/>
      <c r="G569" s="233"/>
    </row>
    <row r="570" ht="14.25" customHeight="1">
      <c r="F570" s="233"/>
      <c r="G570" s="233"/>
    </row>
    <row r="571" ht="14.25" customHeight="1">
      <c r="F571" s="233"/>
      <c r="G571" s="233"/>
    </row>
    <row r="572" ht="14.25" customHeight="1">
      <c r="F572" s="233"/>
      <c r="G572" s="233"/>
    </row>
    <row r="573" ht="14.25" customHeight="1">
      <c r="F573" s="233"/>
      <c r="G573" s="233"/>
    </row>
    <row r="574" ht="14.25" customHeight="1">
      <c r="F574" s="233"/>
      <c r="G574" s="233"/>
    </row>
    <row r="575" ht="14.25" customHeight="1">
      <c r="F575" s="233"/>
      <c r="G575" s="233"/>
    </row>
    <row r="576" ht="14.25" customHeight="1">
      <c r="F576" s="233"/>
      <c r="G576" s="233"/>
    </row>
    <row r="577" ht="14.25" customHeight="1">
      <c r="F577" s="233"/>
      <c r="G577" s="233"/>
    </row>
    <row r="578" ht="14.25" customHeight="1">
      <c r="F578" s="233"/>
      <c r="G578" s="233"/>
    </row>
    <row r="579" ht="14.25" customHeight="1">
      <c r="F579" s="233"/>
      <c r="G579" s="233"/>
    </row>
    <row r="580" ht="14.25" customHeight="1">
      <c r="F580" s="233"/>
      <c r="G580" s="233"/>
    </row>
    <row r="581" ht="14.25" customHeight="1">
      <c r="F581" s="233"/>
      <c r="G581" s="233"/>
    </row>
    <row r="582" ht="14.25" customHeight="1">
      <c r="F582" s="233"/>
      <c r="G582" s="233"/>
    </row>
    <row r="583" ht="14.25" customHeight="1">
      <c r="F583" s="233"/>
      <c r="G583" s="233"/>
    </row>
    <row r="584" ht="14.25" customHeight="1">
      <c r="F584" s="233"/>
      <c r="G584" s="233"/>
    </row>
    <row r="585" ht="14.25" customHeight="1">
      <c r="F585" s="233"/>
      <c r="G585" s="233"/>
    </row>
    <row r="586" ht="14.25" customHeight="1">
      <c r="F586" s="233"/>
      <c r="G586" s="233"/>
    </row>
    <row r="587" ht="14.25" customHeight="1">
      <c r="F587" s="233"/>
      <c r="G587" s="233"/>
    </row>
    <row r="588" ht="14.25" customHeight="1">
      <c r="F588" s="233"/>
      <c r="G588" s="233"/>
    </row>
    <row r="589" ht="14.25" customHeight="1">
      <c r="F589" s="233"/>
      <c r="G589" s="233"/>
    </row>
    <row r="590" ht="14.25" customHeight="1">
      <c r="F590" s="233"/>
      <c r="G590" s="233"/>
    </row>
    <row r="591" ht="14.25" customHeight="1">
      <c r="F591" s="233"/>
      <c r="G591" s="233"/>
    </row>
    <row r="592" ht="14.25" customHeight="1">
      <c r="F592" s="233"/>
      <c r="G592" s="233"/>
    </row>
    <row r="593" ht="14.25" customHeight="1">
      <c r="F593" s="233"/>
      <c r="G593" s="233"/>
    </row>
    <row r="594" ht="14.25" customHeight="1">
      <c r="F594" s="233"/>
      <c r="G594" s="233"/>
    </row>
    <row r="595" ht="14.25" customHeight="1">
      <c r="F595" s="233"/>
      <c r="G595" s="233"/>
    </row>
    <row r="596" ht="14.25" customHeight="1">
      <c r="F596" s="233"/>
      <c r="G596" s="233"/>
    </row>
    <row r="597" ht="14.25" customHeight="1">
      <c r="F597" s="233"/>
      <c r="G597" s="233"/>
    </row>
    <row r="598" ht="14.25" customHeight="1">
      <c r="F598" s="233"/>
      <c r="G598" s="233"/>
    </row>
    <row r="599" ht="14.25" customHeight="1">
      <c r="F599" s="233"/>
      <c r="G599" s="233"/>
    </row>
    <row r="600" ht="14.25" customHeight="1">
      <c r="F600" s="233"/>
      <c r="G600" s="233"/>
    </row>
    <row r="601" ht="14.25" customHeight="1">
      <c r="F601" s="233"/>
      <c r="G601" s="233"/>
    </row>
    <row r="602" ht="14.25" customHeight="1">
      <c r="F602" s="233"/>
      <c r="G602" s="233"/>
    </row>
    <row r="603" ht="14.25" customHeight="1">
      <c r="F603" s="233"/>
      <c r="G603" s="233"/>
    </row>
    <row r="604" ht="14.25" customHeight="1">
      <c r="F604" s="233"/>
      <c r="G604" s="233"/>
    </row>
    <row r="605" ht="14.25" customHeight="1">
      <c r="F605" s="233"/>
      <c r="G605" s="233"/>
    </row>
    <row r="606" ht="14.25" customHeight="1">
      <c r="F606" s="233"/>
      <c r="G606" s="233"/>
    </row>
    <row r="607" ht="14.25" customHeight="1">
      <c r="F607" s="233"/>
      <c r="G607" s="233"/>
    </row>
    <row r="608" ht="14.25" customHeight="1">
      <c r="F608" s="233"/>
      <c r="G608" s="233"/>
    </row>
    <row r="609" ht="14.25" customHeight="1">
      <c r="F609" s="233"/>
      <c r="G609" s="233"/>
    </row>
    <row r="610" ht="14.25" customHeight="1">
      <c r="F610" s="233"/>
      <c r="G610" s="233"/>
    </row>
    <row r="611" ht="14.25" customHeight="1">
      <c r="F611" s="233"/>
      <c r="G611" s="233"/>
    </row>
    <row r="612" ht="14.25" customHeight="1">
      <c r="F612" s="233"/>
      <c r="G612" s="233"/>
    </row>
    <row r="613" ht="14.25" customHeight="1">
      <c r="F613" s="233"/>
      <c r="G613" s="233"/>
    </row>
    <row r="614" ht="14.25" customHeight="1">
      <c r="F614" s="233"/>
      <c r="G614" s="233"/>
    </row>
    <row r="615" ht="14.25" customHeight="1">
      <c r="F615" s="233"/>
      <c r="G615" s="233"/>
    </row>
    <row r="616" ht="14.25" customHeight="1">
      <c r="F616" s="233"/>
      <c r="G616" s="233"/>
    </row>
    <row r="617" ht="14.25" customHeight="1">
      <c r="F617" s="233"/>
      <c r="G617" s="233"/>
    </row>
    <row r="618" ht="14.25" customHeight="1">
      <c r="F618" s="233"/>
      <c r="G618" s="233"/>
    </row>
    <row r="619" ht="14.25" customHeight="1">
      <c r="F619" s="233"/>
      <c r="G619" s="233"/>
    </row>
    <row r="620" ht="14.25" customHeight="1">
      <c r="F620" s="233"/>
      <c r="G620" s="233"/>
    </row>
    <row r="621" ht="14.25" customHeight="1">
      <c r="F621" s="233"/>
      <c r="G621" s="233"/>
    </row>
    <row r="622" ht="14.25" customHeight="1">
      <c r="F622" s="233"/>
      <c r="G622" s="233"/>
    </row>
    <row r="623" ht="14.25" customHeight="1">
      <c r="F623" s="233"/>
      <c r="G623" s="233"/>
    </row>
    <row r="624" ht="14.25" customHeight="1">
      <c r="F624" s="233"/>
      <c r="G624" s="233"/>
    </row>
    <row r="625" ht="14.25" customHeight="1">
      <c r="F625" s="233"/>
      <c r="G625" s="233"/>
    </row>
    <row r="626" ht="14.25" customHeight="1">
      <c r="F626" s="233"/>
      <c r="G626" s="233"/>
    </row>
    <row r="627" ht="14.25" customHeight="1">
      <c r="F627" s="233"/>
      <c r="G627" s="233"/>
    </row>
    <row r="628" ht="14.25" customHeight="1">
      <c r="F628" s="233"/>
      <c r="G628" s="233"/>
    </row>
    <row r="629" ht="14.25" customHeight="1">
      <c r="F629" s="233"/>
      <c r="G629" s="233"/>
    </row>
    <row r="630" ht="14.25" customHeight="1">
      <c r="F630" s="233"/>
      <c r="G630" s="233"/>
    </row>
    <row r="631" ht="14.25" customHeight="1">
      <c r="F631" s="233"/>
      <c r="G631" s="233"/>
    </row>
    <row r="632" ht="14.25" customHeight="1">
      <c r="F632" s="233"/>
      <c r="G632" s="233"/>
    </row>
    <row r="633" ht="14.25" customHeight="1">
      <c r="F633" s="233"/>
      <c r="G633" s="233"/>
    </row>
    <row r="634" ht="14.25" customHeight="1">
      <c r="F634" s="233"/>
      <c r="G634" s="233"/>
    </row>
    <row r="635" ht="14.25" customHeight="1">
      <c r="F635" s="233"/>
      <c r="G635" s="233"/>
    </row>
    <row r="636" ht="14.25" customHeight="1">
      <c r="F636" s="233"/>
      <c r="G636" s="233"/>
    </row>
    <row r="637" ht="14.25" customHeight="1">
      <c r="F637" s="233"/>
      <c r="G637" s="233"/>
    </row>
    <row r="638" ht="14.25" customHeight="1">
      <c r="F638" s="233"/>
      <c r="G638" s="233"/>
    </row>
    <row r="639" ht="14.25" customHeight="1">
      <c r="F639" s="233"/>
      <c r="G639" s="233"/>
    </row>
    <row r="640" ht="14.25" customHeight="1">
      <c r="F640" s="233"/>
      <c r="G640" s="233"/>
    </row>
    <row r="641" ht="14.25" customHeight="1">
      <c r="F641" s="233"/>
      <c r="G641" s="233"/>
    </row>
    <row r="642" ht="14.25" customHeight="1">
      <c r="F642" s="233"/>
      <c r="G642" s="233"/>
    </row>
    <row r="643" ht="14.25" customHeight="1">
      <c r="F643" s="233"/>
      <c r="G643" s="233"/>
    </row>
    <row r="644" ht="14.25" customHeight="1">
      <c r="F644" s="233"/>
      <c r="G644" s="233"/>
    </row>
    <row r="645" ht="14.25" customHeight="1">
      <c r="F645" s="233"/>
      <c r="G645" s="233"/>
    </row>
    <row r="646" ht="14.25" customHeight="1">
      <c r="F646" s="233"/>
      <c r="G646" s="233"/>
    </row>
    <row r="647" ht="14.25" customHeight="1">
      <c r="F647" s="233"/>
      <c r="G647" s="233"/>
    </row>
    <row r="648" ht="14.25" customHeight="1">
      <c r="F648" s="233"/>
      <c r="G648" s="233"/>
    </row>
    <row r="649" ht="14.25" customHeight="1">
      <c r="F649" s="233"/>
      <c r="G649" s="233"/>
    </row>
    <row r="650" ht="14.25" customHeight="1">
      <c r="F650" s="233"/>
      <c r="G650" s="233"/>
    </row>
    <row r="651" ht="14.25" customHeight="1">
      <c r="F651" s="233"/>
      <c r="G651" s="233"/>
    </row>
    <row r="652" ht="14.25" customHeight="1">
      <c r="F652" s="233"/>
      <c r="G652" s="233"/>
    </row>
    <row r="653" ht="14.25" customHeight="1">
      <c r="F653" s="233"/>
      <c r="G653" s="233"/>
    </row>
    <row r="654" ht="14.25" customHeight="1">
      <c r="F654" s="233"/>
      <c r="G654" s="233"/>
    </row>
    <row r="655" ht="14.25" customHeight="1">
      <c r="F655" s="233"/>
      <c r="G655" s="233"/>
    </row>
    <row r="656" ht="14.25" customHeight="1">
      <c r="F656" s="233"/>
      <c r="G656" s="233"/>
    </row>
    <row r="657" ht="14.25" customHeight="1">
      <c r="F657" s="233"/>
      <c r="G657" s="233"/>
    </row>
    <row r="658" ht="14.25" customHeight="1">
      <c r="F658" s="233"/>
      <c r="G658" s="233"/>
    </row>
    <row r="659" ht="14.25" customHeight="1">
      <c r="F659" s="233"/>
      <c r="G659" s="233"/>
    </row>
    <row r="660" ht="14.25" customHeight="1">
      <c r="F660" s="233"/>
      <c r="G660" s="233"/>
    </row>
    <row r="661" ht="14.25" customHeight="1">
      <c r="F661" s="233"/>
      <c r="G661" s="233"/>
    </row>
    <row r="662" ht="14.25" customHeight="1">
      <c r="F662" s="233"/>
      <c r="G662" s="233"/>
    </row>
    <row r="663" ht="14.25" customHeight="1">
      <c r="F663" s="233"/>
      <c r="G663" s="233"/>
    </row>
    <row r="664" ht="14.25" customHeight="1">
      <c r="F664" s="233"/>
      <c r="G664" s="233"/>
    </row>
    <row r="665" ht="14.25" customHeight="1">
      <c r="F665" s="233"/>
      <c r="G665" s="233"/>
    </row>
    <row r="666" ht="14.25" customHeight="1">
      <c r="F666" s="233"/>
      <c r="G666" s="233"/>
    </row>
    <row r="667" ht="14.25" customHeight="1">
      <c r="F667" s="233"/>
      <c r="G667" s="233"/>
    </row>
    <row r="668" ht="14.25" customHeight="1">
      <c r="F668" s="233"/>
      <c r="G668" s="233"/>
    </row>
    <row r="669" ht="14.25" customHeight="1">
      <c r="F669" s="233"/>
      <c r="G669" s="233"/>
    </row>
    <row r="670" ht="14.25" customHeight="1">
      <c r="F670" s="233"/>
      <c r="G670" s="233"/>
    </row>
    <row r="671" ht="14.25" customHeight="1">
      <c r="F671" s="233"/>
      <c r="G671" s="233"/>
    </row>
    <row r="672" ht="14.25" customHeight="1">
      <c r="F672" s="233"/>
      <c r="G672" s="233"/>
    </row>
    <row r="673" ht="14.25" customHeight="1">
      <c r="F673" s="233"/>
      <c r="G673" s="233"/>
    </row>
    <row r="674" ht="14.25" customHeight="1">
      <c r="F674" s="233"/>
      <c r="G674" s="233"/>
    </row>
    <row r="675" ht="14.25" customHeight="1">
      <c r="F675" s="233"/>
      <c r="G675" s="233"/>
    </row>
    <row r="676" ht="14.25" customHeight="1">
      <c r="F676" s="233"/>
      <c r="G676" s="233"/>
    </row>
    <row r="677" ht="14.25" customHeight="1">
      <c r="F677" s="233"/>
      <c r="G677" s="233"/>
    </row>
    <row r="678" ht="14.25" customHeight="1">
      <c r="F678" s="233"/>
      <c r="G678" s="233"/>
    </row>
    <row r="679" ht="14.25" customHeight="1">
      <c r="F679" s="233"/>
      <c r="G679" s="233"/>
    </row>
    <row r="680" ht="14.25" customHeight="1">
      <c r="F680" s="233"/>
      <c r="G680" s="233"/>
    </row>
    <row r="681" ht="14.25" customHeight="1">
      <c r="F681" s="233"/>
      <c r="G681" s="233"/>
    </row>
    <row r="682" ht="14.25" customHeight="1">
      <c r="F682" s="233"/>
      <c r="G682" s="233"/>
    </row>
    <row r="683" ht="14.25" customHeight="1">
      <c r="F683" s="233"/>
      <c r="G683" s="233"/>
    </row>
    <row r="684" ht="14.25" customHeight="1">
      <c r="F684" s="233"/>
      <c r="G684" s="233"/>
    </row>
    <row r="685" ht="14.25" customHeight="1">
      <c r="F685" s="233"/>
      <c r="G685" s="233"/>
    </row>
    <row r="686" ht="14.25" customHeight="1">
      <c r="F686" s="233"/>
      <c r="G686" s="233"/>
    </row>
    <row r="687" ht="14.25" customHeight="1">
      <c r="F687" s="233"/>
      <c r="G687" s="233"/>
    </row>
    <row r="688" ht="14.25" customHeight="1">
      <c r="F688" s="233"/>
      <c r="G688" s="233"/>
    </row>
    <row r="689" ht="14.25" customHeight="1">
      <c r="F689" s="233"/>
      <c r="G689" s="233"/>
    </row>
    <row r="690" ht="14.25" customHeight="1">
      <c r="F690" s="233"/>
      <c r="G690" s="233"/>
    </row>
    <row r="691" ht="14.25" customHeight="1">
      <c r="F691" s="233"/>
      <c r="G691" s="233"/>
    </row>
    <row r="692" ht="14.25" customHeight="1">
      <c r="F692" s="233"/>
      <c r="G692" s="233"/>
    </row>
    <row r="693" ht="14.25" customHeight="1">
      <c r="F693" s="233"/>
      <c r="G693" s="233"/>
    </row>
    <row r="694" ht="14.25" customHeight="1">
      <c r="F694" s="233"/>
      <c r="G694" s="233"/>
    </row>
    <row r="695" ht="14.25" customHeight="1">
      <c r="F695" s="233"/>
      <c r="G695" s="233"/>
    </row>
    <row r="696" ht="14.25" customHeight="1">
      <c r="F696" s="233"/>
      <c r="G696" s="233"/>
    </row>
    <row r="697" ht="14.25" customHeight="1">
      <c r="F697" s="233"/>
      <c r="G697" s="233"/>
    </row>
    <row r="698" ht="14.25" customHeight="1">
      <c r="F698" s="233"/>
      <c r="G698" s="233"/>
    </row>
    <row r="699" ht="14.25" customHeight="1">
      <c r="F699" s="233"/>
      <c r="G699" s="233"/>
    </row>
    <row r="700" ht="14.25" customHeight="1">
      <c r="F700" s="233"/>
      <c r="G700" s="233"/>
    </row>
    <row r="701" ht="14.25" customHeight="1">
      <c r="F701" s="233"/>
      <c r="G701" s="233"/>
    </row>
    <row r="702" ht="14.25" customHeight="1">
      <c r="F702" s="233"/>
      <c r="G702" s="233"/>
    </row>
    <row r="703" ht="14.25" customHeight="1">
      <c r="F703" s="233"/>
      <c r="G703" s="233"/>
    </row>
    <row r="704" ht="14.25" customHeight="1">
      <c r="F704" s="233"/>
      <c r="G704" s="233"/>
    </row>
    <row r="705" ht="14.25" customHeight="1">
      <c r="F705" s="233"/>
      <c r="G705" s="233"/>
    </row>
    <row r="706" ht="14.25" customHeight="1">
      <c r="F706" s="233"/>
      <c r="G706" s="233"/>
    </row>
    <row r="707" ht="14.25" customHeight="1">
      <c r="F707" s="233"/>
      <c r="G707" s="233"/>
    </row>
    <row r="708" ht="14.25" customHeight="1">
      <c r="F708" s="233"/>
      <c r="G708" s="233"/>
    </row>
    <row r="709" ht="14.25" customHeight="1">
      <c r="F709" s="233"/>
      <c r="G709" s="233"/>
    </row>
    <row r="710" ht="14.25" customHeight="1">
      <c r="F710" s="233"/>
      <c r="G710" s="233"/>
    </row>
    <row r="711" ht="14.25" customHeight="1">
      <c r="F711" s="233"/>
      <c r="G711" s="233"/>
    </row>
    <row r="712" ht="14.25" customHeight="1">
      <c r="F712" s="233"/>
      <c r="G712" s="233"/>
    </row>
    <row r="713" ht="14.25" customHeight="1">
      <c r="F713" s="233"/>
      <c r="G713" s="233"/>
    </row>
    <row r="714" ht="14.25" customHeight="1">
      <c r="F714" s="233"/>
      <c r="G714" s="233"/>
    </row>
    <row r="715" ht="14.25" customHeight="1">
      <c r="F715" s="233"/>
      <c r="G715" s="233"/>
    </row>
    <row r="716" ht="14.25" customHeight="1">
      <c r="F716" s="233"/>
      <c r="G716" s="233"/>
    </row>
    <row r="717" ht="14.25" customHeight="1">
      <c r="F717" s="233"/>
      <c r="G717" s="233"/>
    </row>
    <row r="718" ht="14.25" customHeight="1">
      <c r="F718" s="233"/>
      <c r="G718" s="233"/>
    </row>
    <row r="719" ht="14.25" customHeight="1">
      <c r="F719" s="233"/>
      <c r="G719" s="233"/>
    </row>
    <row r="720" ht="14.25" customHeight="1">
      <c r="F720" s="233"/>
      <c r="G720" s="233"/>
    </row>
    <row r="721" ht="14.25" customHeight="1">
      <c r="F721" s="233"/>
      <c r="G721" s="233"/>
    </row>
    <row r="722" ht="14.25" customHeight="1">
      <c r="F722" s="233"/>
      <c r="G722" s="233"/>
    </row>
    <row r="723" ht="14.25" customHeight="1">
      <c r="F723" s="233"/>
      <c r="G723" s="233"/>
    </row>
    <row r="724" ht="14.25" customHeight="1">
      <c r="F724" s="233"/>
      <c r="G724" s="233"/>
    </row>
    <row r="725" ht="14.25" customHeight="1">
      <c r="F725" s="233"/>
      <c r="G725" s="233"/>
    </row>
    <row r="726" ht="14.25" customHeight="1">
      <c r="F726" s="233"/>
      <c r="G726" s="233"/>
    </row>
    <row r="727" ht="14.25" customHeight="1">
      <c r="F727" s="233"/>
      <c r="G727" s="233"/>
    </row>
    <row r="728" ht="14.25" customHeight="1">
      <c r="F728" s="233"/>
      <c r="G728" s="233"/>
    </row>
    <row r="729" ht="14.25" customHeight="1">
      <c r="F729" s="233"/>
      <c r="G729" s="233"/>
    </row>
    <row r="730" ht="14.25" customHeight="1">
      <c r="F730" s="233"/>
      <c r="G730" s="233"/>
    </row>
    <row r="731" ht="14.25" customHeight="1">
      <c r="F731" s="233"/>
      <c r="G731" s="233"/>
    </row>
    <row r="732" ht="14.25" customHeight="1">
      <c r="F732" s="233"/>
      <c r="G732" s="233"/>
    </row>
    <row r="733" ht="14.25" customHeight="1">
      <c r="F733" s="233"/>
      <c r="G733" s="233"/>
    </row>
    <row r="734" ht="14.25" customHeight="1">
      <c r="F734" s="233"/>
      <c r="G734" s="233"/>
    </row>
    <row r="735" ht="14.25" customHeight="1">
      <c r="F735" s="233"/>
      <c r="G735" s="233"/>
    </row>
    <row r="736" ht="14.25" customHeight="1">
      <c r="F736" s="233"/>
      <c r="G736" s="233"/>
    </row>
    <row r="737" ht="14.25" customHeight="1">
      <c r="F737" s="233"/>
      <c r="G737" s="233"/>
    </row>
    <row r="738" ht="14.25" customHeight="1">
      <c r="F738" s="233"/>
      <c r="G738" s="233"/>
    </row>
    <row r="739" ht="14.25" customHeight="1">
      <c r="F739" s="233"/>
      <c r="G739" s="233"/>
    </row>
    <row r="740" ht="14.25" customHeight="1">
      <c r="F740" s="233"/>
      <c r="G740" s="233"/>
    </row>
    <row r="741" ht="14.25" customHeight="1">
      <c r="F741" s="233"/>
      <c r="G741" s="233"/>
    </row>
    <row r="742" ht="14.25" customHeight="1">
      <c r="F742" s="233"/>
      <c r="G742" s="233"/>
    </row>
    <row r="743" ht="14.25" customHeight="1">
      <c r="F743" s="233"/>
      <c r="G743" s="233"/>
    </row>
    <row r="744" ht="14.25" customHeight="1">
      <c r="F744" s="233"/>
      <c r="G744" s="233"/>
    </row>
    <row r="745" ht="14.25" customHeight="1">
      <c r="F745" s="233"/>
      <c r="G745" s="233"/>
    </row>
    <row r="746" ht="14.25" customHeight="1">
      <c r="F746" s="233"/>
      <c r="G746" s="233"/>
    </row>
    <row r="747" ht="14.25" customHeight="1">
      <c r="F747" s="233"/>
      <c r="G747" s="233"/>
    </row>
    <row r="748" ht="14.25" customHeight="1">
      <c r="F748" s="233"/>
      <c r="G748" s="233"/>
    </row>
    <row r="749" ht="14.25" customHeight="1">
      <c r="F749" s="233"/>
      <c r="G749" s="233"/>
    </row>
    <row r="750" ht="14.25" customHeight="1">
      <c r="F750" s="233"/>
      <c r="G750" s="233"/>
    </row>
    <row r="751" ht="14.25" customHeight="1">
      <c r="F751" s="233"/>
      <c r="G751" s="233"/>
    </row>
    <row r="752" ht="14.25" customHeight="1">
      <c r="F752" s="233"/>
      <c r="G752" s="233"/>
    </row>
    <row r="753" ht="14.25" customHeight="1">
      <c r="F753" s="233"/>
      <c r="G753" s="233"/>
    </row>
    <row r="754" ht="14.25" customHeight="1">
      <c r="F754" s="233"/>
      <c r="G754" s="233"/>
    </row>
    <row r="755" ht="14.25" customHeight="1">
      <c r="F755" s="233"/>
      <c r="G755" s="233"/>
    </row>
    <row r="756" ht="14.25" customHeight="1">
      <c r="F756" s="233"/>
      <c r="G756" s="233"/>
    </row>
    <row r="757" ht="14.25" customHeight="1">
      <c r="F757" s="233"/>
      <c r="G757" s="233"/>
    </row>
    <row r="758" ht="14.25" customHeight="1">
      <c r="F758" s="233"/>
      <c r="G758" s="233"/>
    </row>
    <row r="759" ht="14.25" customHeight="1">
      <c r="F759" s="233"/>
      <c r="G759" s="233"/>
    </row>
    <row r="760" ht="14.25" customHeight="1">
      <c r="F760" s="233"/>
      <c r="G760" s="233"/>
    </row>
    <row r="761" ht="14.25" customHeight="1">
      <c r="F761" s="233"/>
      <c r="G761" s="233"/>
    </row>
    <row r="762" ht="14.25" customHeight="1">
      <c r="F762" s="233"/>
      <c r="G762" s="233"/>
    </row>
    <row r="763" ht="14.25" customHeight="1">
      <c r="F763" s="233"/>
      <c r="G763" s="233"/>
    </row>
    <row r="764" ht="14.25" customHeight="1">
      <c r="F764" s="233"/>
      <c r="G764" s="233"/>
    </row>
    <row r="765" ht="14.25" customHeight="1">
      <c r="F765" s="233"/>
      <c r="G765" s="233"/>
    </row>
    <row r="766" ht="14.25" customHeight="1">
      <c r="F766" s="233"/>
      <c r="G766" s="233"/>
    </row>
    <row r="767" ht="14.25" customHeight="1">
      <c r="F767" s="233"/>
      <c r="G767" s="233"/>
    </row>
    <row r="768" ht="14.25" customHeight="1">
      <c r="F768" s="233"/>
      <c r="G768" s="233"/>
    </row>
    <row r="769" ht="14.25" customHeight="1">
      <c r="F769" s="233"/>
      <c r="G769" s="233"/>
    </row>
    <row r="770" ht="14.25" customHeight="1">
      <c r="F770" s="233"/>
      <c r="G770" s="233"/>
    </row>
    <row r="771" ht="14.25" customHeight="1">
      <c r="F771" s="233"/>
      <c r="G771" s="233"/>
    </row>
    <row r="772" ht="14.25" customHeight="1">
      <c r="F772" s="233"/>
      <c r="G772" s="233"/>
    </row>
    <row r="773" ht="14.25" customHeight="1">
      <c r="F773" s="233"/>
      <c r="G773" s="233"/>
    </row>
    <row r="774" ht="14.25" customHeight="1">
      <c r="F774" s="233"/>
      <c r="G774" s="233"/>
    </row>
    <row r="775" ht="14.25" customHeight="1">
      <c r="F775" s="233"/>
      <c r="G775" s="233"/>
    </row>
    <row r="776" ht="14.25" customHeight="1">
      <c r="F776" s="233"/>
      <c r="G776" s="233"/>
    </row>
    <row r="777" ht="14.25" customHeight="1">
      <c r="F777" s="233"/>
      <c r="G777" s="233"/>
    </row>
    <row r="778" ht="14.25" customHeight="1">
      <c r="F778" s="233"/>
      <c r="G778" s="233"/>
    </row>
    <row r="779" ht="14.25" customHeight="1">
      <c r="F779" s="233"/>
      <c r="G779" s="233"/>
    </row>
    <row r="780" ht="14.25" customHeight="1">
      <c r="F780" s="233"/>
      <c r="G780" s="233"/>
    </row>
    <row r="781" ht="14.25" customHeight="1">
      <c r="F781" s="233"/>
      <c r="G781" s="233"/>
    </row>
    <row r="782" ht="14.25" customHeight="1">
      <c r="F782" s="233"/>
      <c r="G782" s="233"/>
    </row>
    <row r="783" ht="14.25" customHeight="1">
      <c r="F783" s="233"/>
      <c r="G783" s="233"/>
    </row>
    <row r="784" ht="14.25" customHeight="1">
      <c r="F784" s="233"/>
      <c r="G784" s="233"/>
    </row>
    <row r="785" ht="14.25" customHeight="1">
      <c r="F785" s="233"/>
      <c r="G785" s="233"/>
    </row>
    <row r="786" ht="14.25" customHeight="1">
      <c r="F786" s="233"/>
      <c r="G786" s="233"/>
    </row>
    <row r="787" ht="14.25" customHeight="1">
      <c r="F787" s="233"/>
      <c r="G787" s="233"/>
    </row>
    <row r="788" ht="14.25" customHeight="1">
      <c r="F788" s="233"/>
      <c r="G788" s="233"/>
    </row>
    <row r="789" ht="14.25" customHeight="1">
      <c r="F789" s="233"/>
      <c r="G789" s="233"/>
    </row>
    <row r="790" ht="14.25" customHeight="1">
      <c r="F790" s="233"/>
      <c r="G790" s="233"/>
    </row>
    <row r="791" ht="14.25" customHeight="1">
      <c r="F791" s="233"/>
      <c r="G791" s="233"/>
    </row>
    <row r="792" ht="14.25" customHeight="1">
      <c r="F792" s="233"/>
      <c r="G792" s="233"/>
    </row>
    <row r="793" ht="14.25" customHeight="1">
      <c r="F793" s="233"/>
      <c r="G793" s="233"/>
    </row>
    <row r="794" ht="14.25" customHeight="1">
      <c r="F794" s="233"/>
      <c r="G794" s="233"/>
    </row>
    <row r="795" ht="14.25" customHeight="1">
      <c r="F795" s="233"/>
      <c r="G795" s="233"/>
    </row>
    <row r="796" ht="14.25" customHeight="1">
      <c r="F796" s="233"/>
      <c r="G796" s="233"/>
    </row>
    <row r="797" ht="14.25" customHeight="1">
      <c r="F797" s="233"/>
      <c r="G797" s="233"/>
    </row>
    <row r="798" ht="14.25" customHeight="1">
      <c r="F798" s="233"/>
      <c r="G798" s="233"/>
    </row>
    <row r="799" ht="14.25" customHeight="1">
      <c r="F799" s="233"/>
      <c r="G799" s="233"/>
    </row>
    <row r="800" ht="14.25" customHeight="1">
      <c r="F800" s="233"/>
      <c r="G800" s="233"/>
    </row>
    <row r="801" ht="14.25" customHeight="1">
      <c r="F801" s="233"/>
      <c r="G801" s="233"/>
    </row>
    <row r="802" ht="14.25" customHeight="1">
      <c r="F802" s="233"/>
      <c r="G802" s="233"/>
    </row>
    <row r="803" ht="14.25" customHeight="1">
      <c r="F803" s="233"/>
      <c r="G803" s="233"/>
    </row>
    <row r="804" ht="14.25" customHeight="1">
      <c r="F804" s="233"/>
      <c r="G804" s="233"/>
    </row>
    <row r="805" ht="14.25" customHeight="1">
      <c r="F805" s="233"/>
      <c r="G805" s="233"/>
    </row>
    <row r="806" ht="14.25" customHeight="1">
      <c r="F806" s="233"/>
      <c r="G806" s="233"/>
    </row>
    <row r="807" ht="14.25" customHeight="1">
      <c r="F807" s="233"/>
      <c r="G807" s="233"/>
    </row>
    <row r="808" ht="14.25" customHeight="1">
      <c r="F808" s="233"/>
      <c r="G808" s="233"/>
    </row>
    <row r="809" ht="14.25" customHeight="1">
      <c r="F809" s="233"/>
      <c r="G809" s="233"/>
    </row>
    <row r="810" ht="14.25" customHeight="1">
      <c r="F810" s="233"/>
      <c r="G810" s="233"/>
    </row>
    <row r="811" ht="14.25" customHeight="1">
      <c r="F811" s="233"/>
      <c r="G811" s="233"/>
    </row>
    <row r="812" ht="14.25" customHeight="1">
      <c r="F812" s="233"/>
      <c r="G812" s="233"/>
    </row>
    <row r="813" ht="14.25" customHeight="1">
      <c r="F813" s="233"/>
      <c r="G813" s="233"/>
    </row>
    <row r="814" ht="14.25" customHeight="1">
      <c r="F814" s="233"/>
      <c r="G814" s="233"/>
    </row>
    <row r="815" ht="14.25" customHeight="1">
      <c r="F815" s="233"/>
      <c r="G815" s="233"/>
    </row>
    <row r="816" ht="14.25" customHeight="1">
      <c r="F816" s="233"/>
      <c r="G816" s="233"/>
    </row>
    <row r="817" ht="14.25" customHeight="1">
      <c r="F817" s="233"/>
      <c r="G817" s="233"/>
    </row>
    <row r="818" ht="14.25" customHeight="1">
      <c r="F818" s="233"/>
      <c r="G818" s="233"/>
    </row>
    <row r="819" ht="14.25" customHeight="1">
      <c r="F819" s="233"/>
      <c r="G819" s="233"/>
    </row>
    <row r="820" ht="14.25" customHeight="1">
      <c r="F820" s="233"/>
      <c r="G820" s="233"/>
    </row>
    <row r="821" ht="14.25" customHeight="1">
      <c r="F821" s="233"/>
      <c r="G821" s="233"/>
    </row>
    <row r="822" ht="14.25" customHeight="1">
      <c r="F822" s="233"/>
      <c r="G822" s="233"/>
    </row>
    <row r="823" ht="14.25" customHeight="1">
      <c r="F823" s="233"/>
      <c r="G823" s="233"/>
    </row>
    <row r="824" ht="14.25" customHeight="1">
      <c r="F824" s="233"/>
      <c r="G824" s="233"/>
    </row>
    <row r="825" ht="14.25" customHeight="1">
      <c r="F825" s="233"/>
      <c r="G825" s="233"/>
    </row>
    <row r="826" ht="14.25" customHeight="1">
      <c r="F826" s="233"/>
      <c r="G826" s="233"/>
    </row>
    <row r="827" ht="14.25" customHeight="1">
      <c r="F827" s="233"/>
      <c r="G827" s="233"/>
    </row>
    <row r="828" ht="14.25" customHeight="1">
      <c r="F828" s="233"/>
      <c r="G828" s="233"/>
    </row>
    <row r="829" ht="14.25" customHeight="1">
      <c r="F829" s="233"/>
      <c r="G829" s="233"/>
    </row>
    <row r="830" ht="14.25" customHeight="1">
      <c r="F830" s="233"/>
      <c r="G830" s="233"/>
    </row>
    <row r="831" ht="14.25" customHeight="1">
      <c r="F831" s="233"/>
      <c r="G831" s="233"/>
    </row>
    <row r="832" ht="14.25" customHeight="1">
      <c r="F832" s="233"/>
      <c r="G832" s="233"/>
    </row>
    <row r="833" ht="14.25" customHeight="1">
      <c r="F833" s="233"/>
      <c r="G833" s="233"/>
    </row>
    <row r="834" ht="14.25" customHeight="1">
      <c r="F834" s="233"/>
      <c r="G834" s="233"/>
    </row>
    <row r="835" ht="14.25" customHeight="1">
      <c r="F835" s="233"/>
      <c r="G835" s="233"/>
    </row>
    <row r="836" ht="14.25" customHeight="1">
      <c r="F836" s="233"/>
      <c r="G836" s="233"/>
    </row>
    <row r="837" ht="14.25" customHeight="1">
      <c r="F837" s="233"/>
      <c r="G837" s="233"/>
    </row>
    <row r="838" ht="14.25" customHeight="1">
      <c r="F838" s="233"/>
      <c r="G838" s="233"/>
    </row>
    <row r="839" ht="14.25" customHeight="1">
      <c r="F839" s="233"/>
      <c r="G839" s="233"/>
    </row>
    <row r="840" ht="14.25" customHeight="1">
      <c r="F840" s="233"/>
      <c r="G840" s="233"/>
    </row>
    <row r="841" ht="14.25" customHeight="1">
      <c r="F841" s="233"/>
      <c r="G841" s="233"/>
    </row>
    <row r="842" ht="14.25" customHeight="1">
      <c r="F842" s="233"/>
      <c r="G842" s="233"/>
    </row>
    <row r="843" ht="14.25" customHeight="1">
      <c r="F843" s="233"/>
      <c r="G843" s="233"/>
    </row>
    <row r="844" ht="14.25" customHeight="1">
      <c r="F844" s="233"/>
      <c r="G844" s="233"/>
    </row>
    <row r="845" ht="14.25" customHeight="1">
      <c r="F845" s="233"/>
      <c r="G845" s="233"/>
    </row>
    <row r="846" ht="14.25" customHeight="1">
      <c r="F846" s="233"/>
      <c r="G846" s="233"/>
    </row>
    <row r="847" ht="14.25" customHeight="1">
      <c r="F847" s="233"/>
      <c r="G847" s="233"/>
    </row>
    <row r="848" ht="14.25" customHeight="1">
      <c r="F848" s="233"/>
      <c r="G848" s="233"/>
    </row>
    <row r="849" ht="14.25" customHeight="1">
      <c r="F849" s="233"/>
      <c r="G849" s="233"/>
    </row>
    <row r="850" ht="14.25" customHeight="1">
      <c r="F850" s="233"/>
      <c r="G850" s="233"/>
    </row>
    <row r="851" ht="14.25" customHeight="1">
      <c r="F851" s="233"/>
      <c r="G851" s="233"/>
    </row>
    <row r="852" ht="14.25" customHeight="1">
      <c r="F852" s="233"/>
      <c r="G852" s="233"/>
    </row>
    <row r="853" ht="14.25" customHeight="1">
      <c r="F853" s="233"/>
      <c r="G853" s="233"/>
    </row>
    <row r="854" ht="14.25" customHeight="1">
      <c r="F854" s="233"/>
      <c r="G854" s="233"/>
    </row>
    <row r="855" ht="14.25" customHeight="1">
      <c r="F855" s="233"/>
      <c r="G855" s="233"/>
    </row>
    <row r="856" ht="14.25" customHeight="1">
      <c r="F856" s="233"/>
      <c r="G856" s="233"/>
    </row>
    <row r="857" ht="14.25" customHeight="1">
      <c r="F857" s="233"/>
      <c r="G857" s="233"/>
    </row>
    <row r="858" ht="14.25" customHeight="1">
      <c r="F858" s="233"/>
      <c r="G858" s="233"/>
    </row>
    <row r="859" ht="14.25" customHeight="1">
      <c r="F859" s="233"/>
      <c r="G859" s="233"/>
    </row>
    <row r="860" ht="14.25" customHeight="1">
      <c r="F860" s="233"/>
      <c r="G860" s="233"/>
    </row>
    <row r="861" ht="14.25" customHeight="1">
      <c r="F861" s="233"/>
      <c r="G861" s="233"/>
    </row>
    <row r="862" ht="14.25" customHeight="1">
      <c r="F862" s="233"/>
      <c r="G862" s="233"/>
    </row>
    <row r="863" ht="14.25" customHeight="1">
      <c r="F863" s="233"/>
      <c r="G863" s="233"/>
    </row>
    <row r="864" ht="14.25" customHeight="1">
      <c r="F864" s="233"/>
      <c r="G864" s="233"/>
    </row>
    <row r="865" ht="14.25" customHeight="1">
      <c r="F865" s="233"/>
      <c r="G865" s="233"/>
    </row>
    <row r="866" ht="14.25" customHeight="1">
      <c r="F866" s="233"/>
      <c r="G866" s="233"/>
    </row>
    <row r="867" ht="14.25" customHeight="1">
      <c r="F867" s="233"/>
      <c r="G867" s="233"/>
    </row>
    <row r="868" ht="14.25" customHeight="1">
      <c r="F868" s="233"/>
      <c r="G868" s="233"/>
    </row>
    <row r="869" ht="14.25" customHeight="1">
      <c r="F869" s="233"/>
      <c r="G869" s="233"/>
    </row>
    <row r="870" ht="14.25" customHeight="1">
      <c r="F870" s="233"/>
      <c r="G870" s="233"/>
    </row>
    <row r="871" ht="14.25" customHeight="1">
      <c r="F871" s="233"/>
      <c r="G871" s="233"/>
    </row>
    <row r="872" ht="14.25" customHeight="1">
      <c r="F872" s="233"/>
      <c r="G872" s="233"/>
    </row>
    <row r="873" ht="14.25" customHeight="1">
      <c r="F873" s="233"/>
      <c r="G873" s="233"/>
    </row>
    <row r="874" ht="14.25" customHeight="1">
      <c r="F874" s="233"/>
      <c r="G874" s="233"/>
    </row>
    <row r="875" ht="14.25" customHeight="1">
      <c r="F875" s="233"/>
      <c r="G875" s="233"/>
    </row>
    <row r="876" ht="14.25" customHeight="1">
      <c r="F876" s="233"/>
      <c r="G876" s="233"/>
    </row>
    <row r="877" ht="14.25" customHeight="1">
      <c r="F877" s="233"/>
      <c r="G877" s="233"/>
    </row>
    <row r="878" ht="14.25" customHeight="1">
      <c r="F878" s="233"/>
      <c r="G878" s="233"/>
    </row>
    <row r="879" ht="14.25" customHeight="1">
      <c r="F879" s="233"/>
      <c r="G879" s="233"/>
    </row>
    <row r="880" ht="14.25" customHeight="1">
      <c r="F880" s="233"/>
      <c r="G880" s="233"/>
    </row>
    <row r="881" ht="14.25" customHeight="1">
      <c r="F881" s="233"/>
      <c r="G881" s="233"/>
    </row>
    <row r="882" ht="14.25" customHeight="1">
      <c r="F882" s="233"/>
      <c r="G882" s="233"/>
    </row>
    <row r="883" ht="14.25" customHeight="1">
      <c r="F883" s="233"/>
      <c r="G883" s="233"/>
    </row>
    <row r="884" ht="14.25" customHeight="1">
      <c r="F884" s="233"/>
      <c r="G884" s="233"/>
    </row>
    <row r="885" ht="14.25" customHeight="1">
      <c r="F885" s="233"/>
      <c r="G885" s="233"/>
    </row>
    <row r="886" ht="14.25" customHeight="1">
      <c r="F886" s="233"/>
      <c r="G886" s="233"/>
    </row>
    <row r="887" ht="14.25" customHeight="1">
      <c r="F887" s="233"/>
      <c r="G887" s="233"/>
    </row>
    <row r="888" ht="14.25" customHeight="1">
      <c r="F888" s="233"/>
      <c r="G888" s="233"/>
    </row>
    <row r="889" ht="14.25" customHeight="1">
      <c r="F889" s="233"/>
      <c r="G889" s="233"/>
    </row>
    <row r="890" ht="14.25" customHeight="1">
      <c r="F890" s="233"/>
      <c r="G890" s="233"/>
    </row>
    <row r="891" ht="14.25" customHeight="1">
      <c r="F891" s="233"/>
      <c r="G891" s="233"/>
    </row>
    <row r="892" ht="14.25" customHeight="1">
      <c r="F892" s="233"/>
      <c r="G892" s="233"/>
    </row>
    <row r="893" ht="14.25" customHeight="1">
      <c r="F893" s="233"/>
      <c r="G893" s="233"/>
    </row>
    <row r="894" ht="14.25" customHeight="1">
      <c r="F894" s="233"/>
      <c r="G894" s="233"/>
    </row>
    <row r="895" ht="14.25" customHeight="1">
      <c r="F895" s="233"/>
      <c r="G895" s="233"/>
    </row>
    <row r="896" ht="14.25" customHeight="1">
      <c r="F896" s="233"/>
      <c r="G896" s="233"/>
    </row>
    <row r="897" ht="14.25" customHeight="1">
      <c r="F897" s="233"/>
      <c r="G897" s="233"/>
    </row>
    <row r="898" ht="14.25" customHeight="1">
      <c r="F898" s="233"/>
      <c r="G898" s="233"/>
    </row>
    <row r="899" ht="14.25" customHeight="1">
      <c r="F899" s="233"/>
      <c r="G899" s="233"/>
    </row>
    <row r="900" ht="14.25" customHeight="1">
      <c r="F900" s="233"/>
      <c r="G900" s="233"/>
    </row>
    <row r="901" ht="14.25" customHeight="1">
      <c r="F901" s="233"/>
      <c r="G901" s="233"/>
    </row>
    <row r="902" ht="14.25" customHeight="1">
      <c r="F902" s="233"/>
      <c r="G902" s="233"/>
    </row>
    <row r="903" ht="14.25" customHeight="1">
      <c r="F903" s="233"/>
      <c r="G903" s="233"/>
    </row>
    <row r="904" ht="14.25" customHeight="1">
      <c r="F904" s="233"/>
      <c r="G904" s="233"/>
    </row>
    <row r="905" ht="14.25" customHeight="1">
      <c r="F905" s="233"/>
      <c r="G905" s="233"/>
    </row>
    <row r="906" ht="14.25" customHeight="1">
      <c r="F906" s="233"/>
      <c r="G906" s="233"/>
    </row>
    <row r="907" ht="14.25" customHeight="1">
      <c r="F907" s="233"/>
      <c r="G907" s="233"/>
    </row>
    <row r="908" ht="14.25" customHeight="1">
      <c r="F908" s="233"/>
      <c r="G908" s="233"/>
    </row>
    <row r="909" ht="14.25" customHeight="1">
      <c r="F909" s="233"/>
      <c r="G909" s="233"/>
    </row>
    <row r="910" ht="14.25" customHeight="1">
      <c r="F910" s="233"/>
      <c r="G910" s="233"/>
    </row>
    <row r="911" ht="14.25" customHeight="1">
      <c r="F911" s="233"/>
      <c r="G911" s="233"/>
    </row>
    <row r="912" ht="14.25" customHeight="1">
      <c r="F912" s="233"/>
      <c r="G912" s="233"/>
    </row>
    <row r="913" ht="14.25" customHeight="1">
      <c r="F913" s="233"/>
      <c r="G913" s="233"/>
    </row>
    <row r="914" ht="14.25" customHeight="1">
      <c r="F914" s="233"/>
      <c r="G914" s="233"/>
    </row>
    <row r="915" ht="14.25" customHeight="1">
      <c r="F915" s="233"/>
      <c r="G915" s="233"/>
    </row>
    <row r="916" ht="14.25" customHeight="1">
      <c r="F916" s="233"/>
      <c r="G916" s="233"/>
    </row>
    <row r="917" ht="14.25" customHeight="1">
      <c r="F917" s="233"/>
      <c r="G917" s="233"/>
    </row>
    <row r="918" ht="14.25" customHeight="1">
      <c r="F918" s="233"/>
      <c r="G918" s="233"/>
    </row>
    <row r="919" ht="14.25" customHeight="1">
      <c r="F919" s="233"/>
      <c r="G919" s="233"/>
    </row>
    <row r="920" ht="14.25" customHeight="1">
      <c r="F920" s="233"/>
      <c r="G920" s="233"/>
    </row>
    <row r="921" ht="14.25" customHeight="1">
      <c r="F921" s="233"/>
      <c r="G921" s="233"/>
    </row>
    <row r="922" ht="14.25" customHeight="1">
      <c r="F922" s="233"/>
      <c r="G922" s="233"/>
    </row>
    <row r="923" ht="14.25" customHeight="1">
      <c r="F923" s="233"/>
      <c r="G923" s="233"/>
    </row>
    <row r="924" ht="14.25" customHeight="1">
      <c r="F924" s="233"/>
      <c r="G924" s="233"/>
    </row>
    <row r="925" ht="14.25" customHeight="1">
      <c r="F925" s="233"/>
      <c r="G925" s="233"/>
    </row>
    <row r="926" ht="14.25" customHeight="1">
      <c r="F926" s="233"/>
      <c r="G926" s="233"/>
    </row>
    <row r="927" ht="14.25" customHeight="1">
      <c r="F927" s="233"/>
      <c r="G927" s="233"/>
    </row>
    <row r="928" ht="14.25" customHeight="1">
      <c r="F928" s="233"/>
      <c r="G928" s="233"/>
    </row>
    <row r="929" ht="14.25" customHeight="1">
      <c r="F929" s="233"/>
      <c r="G929" s="233"/>
    </row>
    <row r="930" ht="14.25" customHeight="1">
      <c r="F930" s="233"/>
      <c r="G930" s="233"/>
    </row>
    <row r="931" ht="14.25" customHeight="1">
      <c r="F931" s="233"/>
      <c r="G931" s="233"/>
    </row>
    <row r="932" ht="14.25" customHeight="1">
      <c r="F932" s="233"/>
      <c r="G932" s="233"/>
    </row>
    <row r="933" ht="14.25" customHeight="1">
      <c r="F933" s="233"/>
      <c r="G933" s="233"/>
    </row>
    <row r="934" ht="14.25" customHeight="1">
      <c r="F934" s="233"/>
      <c r="G934" s="233"/>
    </row>
    <row r="935" ht="14.25" customHeight="1">
      <c r="F935" s="233"/>
      <c r="G935" s="233"/>
    </row>
    <row r="936" ht="14.25" customHeight="1">
      <c r="F936" s="233"/>
      <c r="G936" s="233"/>
    </row>
    <row r="937" ht="14.25" customHeight="1">
      <c r="F937" s="233"/>
      <c r="G937" s="233"/>
    </row>
    <row r="938" ht="14.25" customHeight="1">
      <c r="F938" s="233"/>
      <c r="G938" s="233"/>
    </row>
    <row r="939" ht="14.25" customHeight="1">
      <c r="F939" s="233"/>
      <c r="G939" s="233"/>
    </row>
    <row r="940" ht="14.25" customHeight="1">
      <c r="F940" s="233"/>
      <c r="G940" s="233"/>
    </row>
    <row r="941" ht="14.25" customHeight="1">
      <c r="F941" s="233"/>
      <c r="G941" s="233"/>
    </row>
    <row r="942" ht="14.25" customHeight="1">
      <c r="F942" s="233"/>
      <c r="G942" s="233"/>
    </row>
    <row r="943" ht="14.25" customHeight="1">
      <c r="F943" s="233"/>
      <c r="G943" s="233"/>
    </row>
    <row r="944" ht="14.25" customHeight="1">
      <c r="F944" s="233"/>
      <c r="G944" s="233"/>
    </row>
    <row r="945" ht="14.25" customHeight="1">
      <c r="F945" s="233"/>
      <c r="G945" s="233"/>
    </row>
    <row r="946" ht="14.25" customHeight="1">
      <c r="F946" s="233"/>
      <c r="G946" s="233"/>
    </row>
    <row r="947" ht="14.25" customHeight="1">
      <c r="F947" s="233"/>
      <c r="G947" s="233"/>
    </row>
    <row r="948" ht="14.25" customHeight="1">
      <c r="F948" s="233"/>
      <c r="G948" s="233"/>
    </row>
    <row r="949" ht="14.25" customHeight="1">
      <c r="F949" s="233"/>
      <c r="G949" s="233"/>
    </row>
    <row r="950" ht="14.25" customHeight="1">
      <c r="F950" s="233"/>
      <c r="G950" s="233"/>
    </row>
    <row r="951" ht="14.25" customHeight="1">
      <c r="F951" s="233"/>
      <c r="G951" s="233"/>
    </row>
    <row r="952" ht="14.25" customHeight="1">
      <c r="F952" s="233"/>
      <c r="G952" s="233"/>
    </row>
    <row r="953" ht="14.25" customHeight="1">
      <c r="F953" s="233"/>
      <c r="G953" s="233"/>
    </row>
    <row r="954" ht="14.25" customHeight="1">
      <c r="F954" s="233"/>
      <c r="G954" s="233"/>
    </row>
    <row r="955" ht="14.25" customHeight="1">
      <c r="F955" s="233"/>
      <c r="G955" s="233"/>
    </row>
    <row r="956" ht="14.25" customHeight="1">
      <c r="F956" s="233"/>
      <c r="G956" s="233"/>
    </row>
    <row r="957" ht="14.25" customHeight="1">
      <c r="F957" s="233"/>
      <c r="G957" s="233"/>
    </row>
    <row r="958" ht="14.25" customHeight="1">
      <c r="F958" s="233"/>
      <c r="G958" s="233"/>
    </row>
    <row r="959" ht="14.25" customHeight="1">
      <c r="F959" s="233"/>
      <c r="G959" s="233"/>
    </row>
    <row r="960" ht="14.25" customHeight="1">
      <c r="F960" s="233"/>
      <c r="G960" s="233"/>
    </row>
    <row r="961" ht="14.25" customHeight="1">
      <c r="F961" s="233"/>
      <c r="G961" s="233"/>
    </row>
    <row r="962" ht="14.25" customHeight="1">
      <c r="F962" s="233"/>
      <c r="G962" s="233"/>
    </row>
    <row r="963" ht="14.25" customHeight="1">
      <c r="F963" s="233"/>
      <c r="G963" s="233"/>
    </row>
    <row r="964" ht="14.25" customHeight="1">
      <c r="F964" s="233"/>
      <c r="G964" s="233"/>
    </row>
    <row r="965" ht="14.25" customHeight="1">
      <c r="F965" s="233"/>
      <c r="G965" s="233"/>
    </row>
    <row r="966" ht="14.25" customHeight="1">
      <c r="F966" s="233"/>
      <c r="G966" s="233"/>
    </row>
    <row r="967" ht="14.25" customHeight="1">
      <c r="F967" s="233"/>
      <c r="G967" s="233"/>
    </row>
    <row r="968" ht="14.25" customHeight="1">
      <c r="F968" s="233"/>
      <c r="G968" s="233"/>
    </row>
    <row r="969" ht="14.25" customHeight="1">
      <c r="F969" s="233"/>
      <c r="G969" s="233"/>
    </row>
    <row r="970" ht="14.25" customHeight="1">
      <c r="F970" s="233"/>
      <c r="G970" s="233"/>
    </row>
    <row r="971" ht="14.25" customHeight="1">
      <c r="F971" s="233"/>
      <c r="G971" s="233"/>
    </row>
    <row r="972" ht="14.25" customHeight="1">
      <c r="F972" s="233"/>
      <c r="G972" s="233"/>
    </row>
    <row r="973" ht="14.25" customHeight="1">
      <c r="F973" s="233"/>
      <c r="G973" s="233"/>
    </row>
    <row r="974" ht="14.25" customHeight="1">
      <c r="F974" s="233"/>
      <c r="G974" s="233"/>
    </row>
    <row r="975" ht="14.25" customHeight="1">
      <c r="F975" s="233"/>
      <c r="G975" s="233"/>
    </row>
    <row r="976" ht="14.25" customHeight="1">
      <c r="F976" s="233"/>
      <c r="G976" s="233"/>
    </row>
    <row r="977" ht="14.25" customHeight="1">
      <c r="F977" s="233"/>
      <c r="G977" s="233"/>
    </row>
    <row r="978" ht="14.25" customHeight="1">
      <c r="F978" s="233"/>
      <c r="G978" s="233"/>
    </row>
    <row r="979" ht="14.25" customHeight="1">
      <c r="F979" s="233"/>
      <c r="G979" s="233"/>
    </row>
    <row r="980" ht="14.25" customHeight="1">
      <c r="F980" s="233"/>
      <c r="G980" s="233"/>
    </row>
    <row r="981" ht="14.25" customHeight="1">
      <c r="F981" s="233"/>
      <c r="G981" s="233"/>
    </row>
    <row r="982" ht="14.25" customHeight="1">
      <c r="F982" s="233"/>
      <c r="G982" s="233"/>
    </row>
    <row r="983" ht="14.25" customHeight="1">
      <c r="F983" s="233"/>
      <c r="G983" s="233"/>
    </row>
    <row r="984" ht="14.25" customHeight="1">
      <c r="F984" s="233"/>
      <c r="G984" s="233"/>
    </row>
    <row r="985" ht="14.25" customHeight="1">
      <c r="F985" s="233"/>
      <c r="G985" s="233"/>
    </row>
    <row r="986" ht="14.25" customHeight="1">
      <c r="F986" s="233"/>
      <c r="G986" s="233"/>
    </row>
    <row r="987" ht="14.25" customHeight="1">
      <c r="F987" s="233"/>
      <c r="G987" s="233"/>
    </row>
    <row r="988" ht="14.25" customHeight="1">
      <c r="F988" s="233"/>
      <c r="G988" s="233"/>
    </row>
    <row r="989" ht="14.25" customHeight="1">
      <c r="F989" s="233"/>
      <c r="G989" s="233"/>
    </row>
    <row r="990" ht="14.25" customHeight="1">
      <c r="F990" s="233"/>
      <c r="G990" s="233"/>
    </row>
    <row r="991" ht="14.25" customHeight="1">
      <c r="F991" s="233"/>
      <c r="G991" s="233"/>
    </row>
    <row r="992" ht="14.25" customHeight="1">
      <c r="F992" s="233"/>
      <c r="G992" s="233"/>
    </row>
    <row r="993" ht="14.25" customHeight="1">
      <c r="F993" s="233"/>
      <c r="G993" s="233"/>
    </row>
    <row r="994" ht="14.25" customHeight="1">
      <c r="F994" s="233"/>
      <c r="G994" s="233"/>
    </row>
    <row r="995" ht="14.25" customHeight="1">
      <c r="F995" s="233"/>
      <c r="G995" s="233"/>
    </row>
    <row r="996" ht="14.25" customHeight="1">
      <c r="F996" s="233"/>
      <c r="G996" s="233"/>
    </row>
    <row r="997" ht="14.25" customHeight="1">
      <c r="F997" s="233"/>
      <c r="G997" s="233"/>
    </row>
    <row r="998" ht="14.25" customHeight="1">
      <c r="F998" s="233"/>
      <c r="G998" s="233"/>
    </row>
    <row r="999" ht="14.25" customHeight="1">
      <c r="F999" s="233"/>
      <c r="G999" s="233"/>
    </row>
    <row r="1000" ht="14.25" customHeight="1">
      <c r="F1000" s="233"/>
      <c r="G1000" s="233"/>
    </row>
  </sheetData>
  <printOptions/>
  <pageMargins bottom="0.75" footer="0.0" header="0.0" left="0.7" right="0.7" top="0.75"/>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showGridLines="0" workbookViewId="0">
      <pane ySplit="1.0" topLeftCell="A2" activePane="bottomLeft" state="frozen"/>
      <selection activeCell="B3" sqref="B3" pane="bottomLeft"/>
    </sheetView>
  </sheetViews>
  <sheetFormatPr customHeight="1" defaultColWidth="14.43" defaultRowHeight="15.0" outlineLevelCol="1"/>
  <cols>
    <col customWidth="1" min="1" max="2" width="15.71"/>
    <col customWidth="1" hidden="1" min="3" max="5" width="15.71" outlineLevel="1"/>
    <col collapsed="1" customWidth="1" min="6" max="6" width="15.71"/>
    <col customWidth="1" min="7" max="10" width="15.71"/>
    <col customWidth="1" min="11" max="26" width="8.71"/>
  </cols>
  <sheetData>
    <row r="1" ht="15.0" customHeight="1">
      <c r="A1" s="243" t="s">
        <v>372</v>
      </c>
      <c r="B1" s="243" t="s">
        <v>373</v>
      </c>
      <c r="C1" s="243" t="s">
        <v>374</v>
      </c>
      <c r="D1" s="243" t="s">
        <v>375</v>
      </c>
      <c r="E1" s="243" t="s">
        <v>376</v>
      </c>
      <c r="F1" s="243" t="s">
        <v>377</v>
      </c>
      <c r="G1" s="243" t="s">
        <v>378</v>
      </c>
      <c r="H1" s="243" t="s">
        <v>379</v>
      </c>
      <c r="I1" s="243" t="s">
        <v>380</v>
      </c>
      <c r="J1" s="244" t="s">
        <v>381</v>
      </c>
    </row>
    <row r="2" ht="15.0" customHeight="1">
      <c r="A2" s="245" t="s">
        <v>382</v>
      </c>
      <c r="B2" s="245" t="s">
        <v>383</v>
      </c>
      <c r="C2" s="245"/>
      <c r="D2" s="245"/>
      <c r="E2" s="245"/>
      <c r="F2" s="246">
        <v>43466.0</v>
      </c>
      <c r="G2" s="246">
        <v>43471.0</v>
      </c>
      <c r="H2" s="245" t="s">
        <v>384</v>
      </c>
      <c r="I2" s="247">
        <v>0.2</v>
      </c>
      <c r="J2" s="248" t="str">
        <f t="shared" ref="J2:J73" si="1">IF(H2="Completed","G",IF(H2="In Progress",IF(TODAY()&gt;G2,"A","G"),IF(H2="Pending",IF(TODAY()&gt;F2,"R",""),"")))</f>
        <v>G</v>
      </c>
    </row>
    <row r="3" ht="15.0" customHeight="1">
      <c r="A3" s="245" t="s">
        <v>385</v>
      </c>
      <c r="B3" s="245" t="s">
        <v>383</v>
      </c>
      <c r="C3" s="245"/>
      <c r="D3" s="245"/>
      <c r="E3" s="245"/>
      <c r="F3" s="246">
        <v>43469.0</v>
      </c>
      <c r="G3" s="246">
        <v>43474.0</v>
      </c>
      <c r="H3" s="245" t="s">
        <v>384</v>
      </c>
      <c r="I3" s="247">
        <v>0.62</v>
      </c>
      <c r="J3" s="248" t="str">
        <f t="shared" si="1"/>
        <v>G</v>
      </c>
    </row>
    <row r="4" ht="15.0" customHeight="1">
      <c r="A4" s="245" t="s">
        <v>386</v>
      </c>
      <c r="B4" s="245" t="s">
        <v>387</v>
      </c>
      <c r="C4" s="245"/>
      <c r="D4" s="245"/>
      <c r="E4" s="245"/>
      <c r="F4" s="246">
        <v>43472.0</v>
      </c>
      <c r="G4" s="246">
        <v>43476.0</v>
      </c>
      <c r="H4" s="245" t="s">
        <v>384</v>
      </c>
      <c r="I4" s="247">
        <v>0.0</v>
      </c>
      <c r="J4" s="248" t="str">
        <f t="shared" si="1"/>
        <v>G</v>
      </c>
    </row>
    <row r="5" ht="15.0" customHeight="1">
      <c r="A5" s="245" t="s">
        <v>388</v>
      </c>
      <c r="B5" s="245" t="s">
        <v>389</v>
      </c>
      <c r="C5" s="245"/>
      <c r="D5" s="245"/>
      <c r="E5" s="245"/>
      <c r="F5" s="246">
        <v>43475.0</v>
      </c>
      <c r="G5" s="246">
        <v>43477.0</v>
      </c>
      <c r="H5" s="245" t="s">
        <v>390</v>
      </c>
      <c r="I5" s="247">
        <v>0.42</v>
      </c>
      <c r="J5" s="248" t="str">
        <f t="shared" si="1"/>
        <v>A</v>
      </c>
    </row>
    <row r="6" ht="15.0" customHeight="1">
      <c r="A6" s="245" t="s">
        <v>391</v>
      </c>
      <c r="B6" s="245" t="s">
        <v>389</v>
      </c>
      <c r="C6" s="245"/>
      <c r="D6" s="245"/>
      <c r="E6" s="245"/>
      <c r="F6" s="246">
        <v>43476.0</v>
      </c>
      <c r="G6" s="246">
        <v>43485.0</v>
      </c>
      <c r="H6" s="245" t="s">
        <v>384</v>
      </c>
      <c r="I6" s="247">
        <v>0.33</v>
      </c>
      <c r="J6" s="248" t="str">
        <f t="shared" si="1"/>
        <v>G</v>
      </c>
    </row>
    <row r="7" ht="15.0" customHeight="1">
      <c r="A7" s="245" t="s">
        <v>392</v>
      </c>
      <c r="B7" s="245" t="s">
        <v>393</v>
      </c>
      <c r="C7" s="245"/>
      <c r="D7" s="245"/>
      <c r="E7" s="245"/>
      <c r="F7" s="246">
        <v>43486.0</v>
      </c>
      <c r="G7" s="246">
        <v>43490.0</v>
      </c>
      <c r="H7" s="245" t="s">
        <v>384</v>
      </c>
      <c r="I7" s="247">
        <v>0.78</v>
      </c>
      <c r="J7" s="248" t="str">
        <f t="shared" si="1"/>
        <v>G</v>
      </c>
    </row>
    <row r="8" ht="15.0" customHeight="1">
      <c r="A8" s="245" t="s">
        <v>394</v>
      </c>
      <c r="B8" s="245" t="s">
        <v>395</v>
      </c>
      <c r="C8" s="245"/>
      <c r="D8" s="245"/>
      <c r="E8" s="245"/>
      <c r="F8" s="246">
        <v>43489.0</v>
      </c>
      <c r="G8" s="246">
        <v>43495.0</v>
      </c>
      <c r="H8" s="245" t="s">
        <v>384</v>
      </c>
      <c r="I8" s="247">
        <v>1.0</v>
      </c>
      <c r="J8" s="248" t="str">
        <f t="shared" si="1"/>
        <v>G</v>
      </c>
    </row>
    <row r="9" ht="15.0" customHeight="1">
      <c r="A9" s="245" t="s">
        <v>396</v>
      </c>
      <c r="B9" s="245" t="s">
        <v>397</v>
      </c>
      <c r="C9" s="245"/>
      <c r="D9" s="245"/>
      <c r="E9" s="245"/>
      <c r="F9" s="246">
        <v>43495.0</v>
      </c>
      <c r="G9" s="246">
        <v>43499.0</v>
      </c>
      <c r="H9" s="245" t="s">
        <v>384</v>
      </c>
      <c r="I9" s="247">
        <v>0.0</v>
      </c>
      <c r="J9" s="248" t="str">
        <f t="shared" si="1"/>
        <v>G</v>
      </c>
    </row>
    <row r="10" ht="15.0" customHeight="1">
      <c r="A10" s="245" t="s">
        <v>398</v>
      </c>
      <c r="B10" s="245" t="s">
        <v>399</v>
      </c>
      <c r="C10" s="245"/>
      <c r="D10" s="245"/>
      <c r="E10" s="245"/>
      <c r="F10" s="246">
        <v>43504.0</v>
      </c>
      <c r="G10" s="246">
        <v>43508.0</v>
      </c>
      <c r="H10" s="245" t="s">
        <v>384</v>
      </c>
      <c r="I10" s="247">
        <v>0.0</v>
      </c>
      <c r="J10" s="248" t="str">
        <f t="shared" si="1"/>
        <v>G</v>
      </c>
    </row>
    <row r="11" ht="15.0" customHeight="1">
      <c r="A11" s="245" t="s">
        <v>400</v>
      </c>
      <c r="B11" s="245" t="s">
        <v>401</v>
      </c>
      <c r="C11" s="245"/>
      <c r="D11" s="245"/>
      <c r="E11" s="245"/>
      <c r="F11" s="246">
        <v>43506.0</v>
      </c>
      <c r="G11" s="246">
        <v>43513.0</v>
      </c>
      <c r="H11" s="245" t="s">
        <v>384</v>
      </c>
      <c r="I11" s="247">
        <v>0.0</v>
      </c>
      <c r="J11" s="248" t="str">
        <f t="shared" si="1"/>
        <v>G</v>
      </c>
    </row>
    <row r="12" ht="15.0" customHeight="1">
      <c r="A12" s="245" t="s">
        <v>402</v>
      </c>
      <c r="B12" s="245" t="s">
        <v>387</v>
      </c>
      <c r="C12" s="245"/>
      <c r="D12" s="245"/>
      <c r="E12" s="245"/>
      <c r="F12" s="246">
        <v>43512.0</v>
      </c>
      <c r="G12" s="246">
        <v>43520.0</v>
      </c>
      <c r="H12" s="245" t="s">
        <v>390</v>
      </c>
      <c r="I12" s="247">
        <v>1.0</v>
      </c>
      <c r="J12" s="248" t="str">
        <f t="shared" si="1"/>
        <v>A</v>
      </c>
    </row>
    <row r="13" ht="15.0" customHeight="1">
      <c r="A13" s="245" t="s">
        <v>403</v>
      </c>
      <c r="B13" s="245" t="s">
        <v>404</v>
      </c>
      <c r="C13" s="245"/>
      <c r="D13" s="245"/>
      <c r="E13" s="245"/>
      <c r="F13" s="246">
        <v>43519.0</v>
      </c>
      <c r="G13" s="246">
        <v>43529.0</v>
      </c>
      <c r="H13" s="245" t="s">
        <v>390</v>
      </c>
      <c r="I13" s="247">
        <v>0.0</v>
      </c>
      <c r="J13" s="248" t="str">
        <f t="shared" si="1"/>
        <v>A</v>
      </c>
    </row>
    <row r="14" ht="15.0" customHeight="1">
      <c r="A14" s="245" t="s">
        <v>405</v>
      </c>
      <c r="B14" s="245" t="s">
        <v>406</v>
      </c>
      <c r="C14" s="245"/>
      <c r="D14" s="245"/>
      <c r="E14" s="245"/>
      <c r="F14" s="246">
        <v>43530.0</v>
      </c>
      <c r="G14" s="246">
        <v>43533.0</v>
      </c>
      <c r="H14" s="245" t="s">
        <v>390</v>
      </c>
      <c r="I14" s="247">
        <v>0.0</v>
      </c>
      <c r="J14" s="248" t="str">
        <f t="shared" si="1"/>
        <v>A</v>
      </c>
    </row>
    <row r="15" ht="15.0" customHeight="1">
      <c r="A15" s="245" t="s">
        <v>407</v>
      </c>
      <c r="B15" s="245" t="s">
        <v>395</v>
      </c>
      <c r="C15" s="245"/>
      <c r="D15" s="245"/>
      <c r="E15" s="245"/>
      <c r="F15" s="246">
        <v>43531.0</v>
      </c>
      <c r="G15" s="246">
        <v>43536.0</v>
      </c>
      <c r="H15" s="245" t="s">
        <v>390</v>
      </c>
      <c r="I15" s="247">
        <v>0.0</v>
      </c>
      <c r="J15" s="248" t="str">
        <f t="shared" si="1"/>
        <v>A</v>
      </c>
    </row>
    <row r="16" ht="15.0" customHeight="1">
      <c r="A16" s="245" t="s">
        <v>408</v>
      </c>
      <c r="B16" s="245" t="s">
        <v>409</v>
      </c>
      <c r="C16" s="245"/>
      <c r="D16" s="245"/>
      <c r="E16" s="245"/>
      <c r="F16" s="246">
        <v>43537.0</v>
      </c>
      <c r="G16" s="246">
        <v>43540.0</v>
      </c>
      <c r="H16" s="245" t="s">
        <v>390</v>
      </c>
      <c r="I16" s="247">
        <v>1.0</v>
      </c>
      <c r="J16" s="248" t="str">
        <f t="shared" si="1"/>
        <v>A</v>
      </c>
    </row>
    <row r="17" ht="15.0" customHeight="1">
      <c r="A17" s="245" t="s">
        <v>410</v>
      </c>
      <c r="B17" s="245" t="s">
        <v>411</v>
      </c>
      <c r="C17" s="245"/>
      <c r="D17" s="245"/>
      <c r="E17" s="245"/>
      <c r="F17" s="246">
        <v>43539.0</v>
      </c>
      <c r="G17" s="246">
        <v>43547.0</v>
      </c>
      <c r="H17" s="245" t="s">
        <v>390</v>
      </c>
      <c r="I17" s="247">
        <v>1.0</v>
      </c>
      <c r="J17" s="248" t="str">
        <f t="shared" si="1"/>
        <v>A</v>
      </c>
    </row>
    <row r="18" ht="15.0" customHeight="1">
      <c r="A18" s="245" t="s">
        <v>412</v>
      </c>
      <c r="B18" s="245" t="s">
        <v>411</v>
      </c>
      <c r="C18" s="245"/>
      <c r="D18" s="245"/>
      <c r="E18" s="245"/>
      <c r="F18" s="246">
        <v>43546.0</v>
      </c>
      <c r="G18" s="246">
        <v>43550.0</v>
      </c>
      <c r="H18" s="245" t="s">
        <v>390</v>
      </c>
      <c r="I18" s="247">
        <v>0.58</v>
      </c>
      <c r="J18" s="248" t="str">
        <f t="shared" si="1"/>
        <v>A</v>
      </c>
    </row>
    <row r="19" ht="15.0" customHeight="1">
      <c r="A19" s="245" t="s">
        <v>413</v>
      </c>
      <c r="B19" s="245" t="s">
        <v>414</v>
      </c>
      <c r="C19" s="245"/>
      <c r="D19" s="245"/>
      <c r="E19" s="245"/>
      <c r="F19" s="246">
        <v>43550.0</v>
      </c>
      <c r="G19" s="246">
        <v>43554.0</v>
      </c>
      <c r="H19" s="245" t="s">
        <v>390</v>
      </c>
      <c r="I19" s="247">
        <v>0.3</v>
      </c>
      <c r="J19" s="248" t="str">
        <f t="shared" si="1"/>
        <v>A</v>
      </c>
    </row>
    <row r="20" ht="15.0" customHeight="1">
      <c r="A20" s="245" t="s">
        <v>415</v>
      </c>
      <c r="B20" s="245" t="s">
        <v>411</v>
      </c>
      <c r="C20" s="245"/>
      <c r="D20" s="245"/>
      <c r="E20" s="245"/>
      <c r="F20" s="246">
        <v>43554.0</v>
      </c>
      <c r="G20" s="246">
        <v>43562.0</v>
      </c>
      <c r="H20" s="245" t="s">
        <v>390</v>
      </c>
      <c r="I20" s="247">
        <v>0.0</v>
      </c>
      <c r="J20" s="248" t="str">
        <f t="shared" si="1"/>
        <v>A</v>
      </c>
    </row>
    <row r="21" ht="15.0" customHeight="1">
      <c r="A21" s="245" t="s">
        <v>416</v>
      </c>
      <c r="B21" s="245" t="s">
        <v>395</v>
      </c>
      <c r="C21" s="245"/>
      <c r="D21" s="245"/>
      <c r="E21" s="245"/>
      <c r="F21" s="246">
        <v>43560.0</v>
      </c>
      <c r="G21" s="246">
        <v>43563.0</v>
      </c>
      <c r="H21" s="245" t="s">
        <v>384</v>
      </c>
      <c r="I21" s="247">
        <v>0.0</v>
      </c>
      <c r="J21" s="248" t="str">
        <f t="shared" si="1"/>
        <v>G</v>
      </c>
    </row>
    <row r="22" ht="15.0" customHeight="1">
      <c r="A22" s="245" t="s">
        <v>417</v>
      </c>
      <c r="B22" s="245" t="s">
        <v>399</v>
      </c>
      <c r="C22" s="245"/>
      <c r="D22" s="245"/>
      <c r="E22" s="245"/>
      <c r="F22" s="246">
        <v>43562.0</v>
      </c>
      <c r="G22" s="246">
        <v>43569.0</v>
      </c>
      <c r="H22" s="245" t="s">
        <v>384</v>
      </c>
      <c r="I22" s="247">
        <v>1.0</v>
      </c>
      <c r="J22" s="248" t="str">
        <f t="shared" si="1"/>
        <v>G</v>
      </c>
    </row>
    <row r="23" ht="15.0" customHeight="1">
      <c r="A23" s="245" t="s">
        <v>418</v>
      </c>
      <c r="B23" s="245" t="s">
        <v>419</v>
      </c>
      <c r="C23" s="245"/>
      <c r="D23" s="245"/>
      <c r="E23" s="245"/>
      <c r="F23" s="246">
        <v>43570.0</v>
      </c>
      <c r="G23" s="246">
        <v>43577.0</v>
      </c>
      <c r="H23" s="245" t="s">
        <v>420</v>
      </c>
      <c r="I23" s="247">
        <v>0.0</v>
      </c>
      <c r="J23" s="248" t="str">
        <f t="shared" si="1"/>
        <v>R</v>
      </c>
    </row>
    <row r="24" ht="15.0" customHeight="1">
      <c r="A24" s="245" t="s">
        <v>421</v>
      </c>
      <c r="B24" s="245" t="s">
        <v>422</v>
      </c>
      <c r="C24" s="245"/>
      <c r="D24" s="245"/>
      <c r="E24" s="245"/>
      <c r="F24" s="246">
        <v>43576.0</v>
      </c>
      <c r="G24" s="246">
        <v>43579.0</v>
      </c>
      <c r="H24" s="245" t="s">
        <v>420</v>
      </c>
      <c r="I24" s="247">
        <v>0.69</v>
      </c>
      <c r="J24" s="248" t="str">
        <f t="shared" si="1"/>
        <v>R</v>
      </c>
    </row>
    <row r="25" ht="15.0" customHeight="1">
      <c r="A25" s="245" t="s">
        <v>423</v>
      </c>
      <c r="B25" s="245" t="s">
        <v>424</v>
      </c>
      <c r="C25" s="245"/>
      <c r="D25" s="245"/>
      <c r="E25" s="245"/>
      <c r="F25" s="246">
        <v>43578.0</v>
      </c>
      <c r="G25" s="246">
        <v>43580.0</v>
      </c>
      <c r="H25" s="245" t="s">
        <v>420</v>
      </c>
      <c r="I25" s="247">
        <v>1.0</v>
      </c>
      <c r="J25" s="248" t="str">
        <f t="shared" si="1"/>
        <v>R</v>
      </c>
    </row>
    <row r="26" ht="15.0" customHeight="1">
      <c r="A26" s="245" t="s">
        <v>425</v>
      </c>
      <c r="B26" s="245" t="s">
        <v>426</v>
      </c>
      <c r="C26" s="245"/>
      <c r="D26" s="245"/>
      <c r="E26" s="245"/>
      <c r="F26" s="246">
        <v>43579.0</v>
      </c>
      <c r="G26" s="246">
        <v>43586.0</v>
      </c>
      <c r="H26" s="245" t="s">
        <v>420</v>
      </c>
      <c r="I26" s="247">
        <v>0.28</v>
      </c>
      <c r="J26" s="248" t="str">
        <f t="shared" si="1"/>
        <v>R</v>
      </c>
    </row>
    <row r="27" ht="15.0" customHeight="1">
      <c r="A27" s="245" t="s">
        <v>427</v>
      </c>
      <c r="B27" s="245" t="s">
        <v>426</v>
      </c>
      <c r="C27" s="245"/>
      <c r="D27" s="245"/>
      <c r="E27" s="245"/>
      <c r="F27" s="246">
        <v>43585.0</v>
      </c>
      <c r="G27" s="246">
        <v>43591.0</v>
      </c>
      <c r="H27" s="245" t="s">
        <v>420</v>
      </c>
      <c r="I27" s="247">
        <v>0.42</v>
      </c>
      <c r="J27" s="248" t="str">
        <f t="shared" si="1"/>
        <v>R</v>
      </c>
    </row>
    <row r="28" ht="15.0" customHeight="1">
      <c r="A28" s="245" t="s">
        <v>428</v>
      </c>
      <c r="B28" s="245" t="s">
        <v>429</v>
      </c>
      <c r="C28" s="245"/>
      <c r="D28" s="245"/>
      <c r="E28" s="245"/>
      <c r="F28" s="246">
        <v>43591.0</v>
      </c>
      <c r="G28" s="246">
        <v>43597.0</v>
      </c>
      <c r="H28" s="245" t="s">
        <v>420</v>
      </c>
      <c r="I28" s="247">
        <v>0.0</v>
      </c>
      <c r="J28" s="248" t="str">
        <f t="shared" si="1"/>
        <v>R</v>
      </c>
    </row>
    <row r="29" ht="15.0" customHeight="1">
      <c r="A29" s="245" t="s">
        <v>430</v>
      </c>
      <c r="B29" s="245" t="s">
        <v>411</v>
      </c>
      <c r="C29" s="245"/>
      <c r="D29" s="245"/>
      <c r="E29" s="245"/>
      <c r="F29" s="246">
        <v>43596.0</v>
      </c>
      <c r="G29" s="246">
        <v>43599.0</v>
      </c>
      <c r="H29" s="245" t="s">
        <v>420</v>
      </c>
      <c r="I29" s="247">
        <v>0.77</v>
      </c>
      <c r="J29" s="248" t="str">
        <f t="shared" si="1"/>
        <v>R</v>
      </c>
    </row>
    <row r="30" ht="15.0" customHeight="1">
      <c r="A30" s="245" t="s">
        <v>431</v>
      </c>
      <c r="B30" s="245" t="s">
        <v>432</v>
      </c>
      <c r="C30" s="245"/>
      <c r="D30" s="245"/>
      <c r="E30" s="245"/>
      <c r="F30" s="246">
        <v>43598.0</v>
      </c>
      <c r="G30" s="246">
        <v>43608.0</v>
      </c>
      <c r="H30" s="245" t="s">
        <v>420</v>
      </c>
      <c r="I30" s="247">
        <v>0.0</v>
      </c>
      <c r="J30" s="248" t="str">
        <f t="shared" si="1"/>
        <v>R</v>
      </c>
    </row>
    <row r="31" ht="15.0" customHeight="1">
      <c r="A31" s="245" t="s">
        <v>433</v>
      </c>
      <c r="B31" s="245" t="s">
        <v>387</v>
      </c>
      <c r="C31" s="245"/>
      <c r="D31" s="245"/>
      <c r="E31" s="245"/>
      <c r="F31" s="246">
        <v>43609.0</v>
      </c>
      <c r="G31" s="246">
        <v>43615.0</v>
      </c>
      <c r="H31" s="245" t="s">
        <v>420</v>
      </c>
      <c r="I31" s="247">
        <v>1.0</v>
      </c>
      <c r="J31" s="248" t="str">
        <f t="shared" si="1"/>
        <v>R</v>
      </c>
    </row>
    <row r="32" ht="15.0" customHeight="1">
      <c r="A32" s="245" t="s">
        <v>434</v>
      </c>
      <c r="B32" s="245" t="s">
        <v>387</v>
      </c>
      <c r="C32" s="245"/>
      <c r="D32" s="245"/>
      <c r="E32" s="245"/>
      <c r="F32" s="246">
        <v>43615.0</v>
      </c>
      <c r="G32" s="246">
        <v>43618.0</v>
      </c>
      <c r="H32" s="245" t="s">
        <v>420</v>
      </c>
      <c r="I32" s="247">
        <v>1.0</v>
      </c>
      <c r="J32" s="248" t="str">
        <f t="shared" si="1"/>
        <v>R</v>
      </c>
    </row>
    <row r="33" ht="15.0" customHeight="1">
      <c r="A33" s="245" t="s">
        <v>435</v>
      </c>
      <c r="B33" s="245" t="s">
        <v>395</v>
      </c>
      <c r="C33" s="245"/>
      <c r="D33" s="245"/>
      <c r="E33" s="245"/>
      <c r="F33" s="246">
        <v>43618.0</v>
      </c>
      <c r="G33" s="246">
        <v>43628.0</v>
      </c>
      <c r="H33" s="245" t="s">
        <v>420</v>
      </c>
      <c r="I33" s="247">
        <v>1.0</v>
      </c>
      <c r="J33" s="248" t="str">
        <f t="shared" si="1"/>
        <v>R</v>
      </c>
    </row>
    <row r="34" ht="15.0" customHeight="1">
      <c r="A34" s="245" t="s">
        <v>436</v>
      </c>
      <c r="B34" s="245" t="s">
        <v>404</v>
      </c>
      <c r="C34" s="245"/>
      <c r="D34" s="245"/>
      <c r="E34" s="245"/>
      <c r="F34" s="246">
        <v>43628.0</v>
      </c>
      <c r="G34" s="246">
        <v>43637.0</v>
      </c>
      <c r="H34" s="245" t="s">
        <v>420</v>
      </c>
      <c r="I34" s="247">
        <v>0.46</v>
      </c>
      <c r="J34" s="248" t="str">
        <f t="shared" si="1"/>
        <v>R</v>
      </c>
    </row>
    <row r="35" ht="15.0" customHeight="1">
      <c r="A35" s="245" t="s">
        <v>437</v>
      </c>
      <c r="B35" s="245" t="s">
        <v>389</v>
      </c>
      <c r="C35" s="245"/>
      <c r="D35" s="245"/>
      <c r="E35" s="245"/>
      <c r="F35" s="246">
        <v>43636.0</v>
      </c>
      <c r="G35" s="246">
        <v>43639.0</v>
      </c>
      <c r="H35" s="245" t="s">
        <v>420</v>
      </c>
      <c r="I35" s="247">
        <v>0.0</v>
      </c>
      <c r="J35" s="248" t="str">
        <f t="shared" si="1"/>
        <v>R</v>
      </c>
    </row>
    <row r="36" ht="15.0" customHeight="1">
      <c r="A36" s="245" t="s">
        <v>438</v>
      </c>
      <c r="B36" s="245" t="s">
        <v>439</v>
      </c>
      <c r="C36" s="245"/>
      <c r="D36" s="245"/>
      <c r="E36" s="245"/>
      <c r="F36" s="246">
        <v>43640.0</v>
      </c>
      <c r="G36" s="246">
        <v>43646.0</v>
      </c>
      <c r="H36" s="245" t="s">
        <v>420</v>
      </c>
      <c r="I36" s="247">
        <v>0.0</v>
      </c>
      <c r="J36" s="248" t="str">
        <f t="shared" si="1"/>
        <v>R</v>
      </c>
    </row>
    <row r="37" ht="15.0" customHeight="1">
      <c r="A37" s="245" t="s">
        <v>440</v>
      </c>
      <c r="B37" s="245" t="s">
        <v>387</v>
      </c>
      <c r="C37" s="245"/>
      <c r="D37" s="245"/>
      <c r="E37" s="245"/>
      <c r="F37" s="246">
        <v>43647.0</v>
      </c>
      <c r="G37" s="246">
        <v>43651.0</v>
      </c>
      <c r="H37" s="245" t="s">
        <v>420</v>
      </c>
      <c r="I37" s="247">
        <v>0.27</v>
      </c>
      <c r="J37" s="248" t="str">
        <f t="shared" si="1"/>
        <v>R</v>
      </c>
    </row>
    <row r="38" ht="15.0" customHeight="1">
      <c r="A38" s="245" t="s">
        <v>441</v>
      </c>
      <c r="B38" s="245" t="s">
        <v>439</v>
      </c>
      <c r="C38" s="245"/>
      <c r="D38" s="245"/>
      <c r="E38" s="245"/>
      <c r="F38" s="246">
        <v>43649.0</v>
      </c>
      <c r="G38" s="246">
        <v>43655.0</v>
      </c>
      <c r="H38" s="245" t="s">
        <v>420</v>
      </c>
      <c r="I38" s="247">
        <v>0.0</v>
      </c>
      <c r="J38" s="248" t="str">
        <f t="shared" si="1"/>
        <v>R</v>
      </c>
    </row>
    <row r="39" ht="15.0" customHeight="1">
      <c r="A39" s="245" t="s">
        <v>442</v>
      </c>
      <c r="B39" s="245" t="s">
        <v>397</v>
      </c>
      <c r="C39" s="245"/>
      <c r="D39" s="245"/>
      <c r="E39" s="245"/>
      <c r="F39" s="246">
        <v>43656.0</v>
      </c>
      <c r="G39" s="246">
        <v>43658.0</v>
      </c>
      <c r="H39" s="245" t="s">
        <v>420</v>
      </c>
      <c r="I39" s="247">
        <v>0.0</v>
      </c>
      <c r="J39" s="248" t="str">
        <f t="shared" si="1"/>
        <v>R</v>
      </c>
    </row>
    <row r="40" ht="15.0" customHeight="1">
      <c r="A40" s="245" t="s">
        <v>443</v>
      </c>
      <c r="B40" s="245" t="s">
        <v>414</v>
      </c>
      <c r="C40" s="245"/>
      <c r="D40" s="245"/>
      <c r="E40" s="245"/>
      <c r="F40" s="246">
        <v>43657.0</v>
      </c>
      <c r="G40" s="246">
        <v>43659.0</v>
      </c>
      <c r="H40" s="245" t="s">
        <v>420</v>
      </c>
      <c r="I40" s="247">
        <v>0.72</v>
      </c>
      <c r="J40" s="248" t="str">
        <f t="shared" si="1"/>
        <v>R</v>
      </c>
    </row>
    <row r="41" ht="15.0" customHeight="1">
      <c r="A41" s="245" t="s">
        <v>444</v>
      </c>
      <c r="B41" s="245" t="s">
        <v>409</v>
      </c>
      <c r="C41" s="245"/>
      <c r="D41" s="245"/>
      <c r="E41" s="245"/>
      <c r="F41" s="246">
        <v>43657.0</v>
      </c>
      <c r="G41" s="246">
        <v>43664.0</v>
      </c>
      <c r="H41" s="245" t="s">
        <v>420</v>
      </c>
      <c r="I41" s="247">
        <v>0.0</v>
      </c>
      <c r="J41" s="248" t="str">
        <f t="shared" si="1"/>
        <v>R</v>
      </c>
    </row>
    <row r="42" ht="15.0" customHeight="1">
      <c r="A42" s="245" t="s">
        <v>445</v>
      </c>
      <c r="B42" s="245" t="s">
        <v>401</v>
      </c>
      <c r="C42" s="245"/>
      <c r="D42" s="245"/>
      <c r="E42" s="245"/>
      <c r="F42" s="246">
        <v>43662.0</v>
      </c>
      <c r="G42" s="246">
        <v>43672.0</v>
      </c>
      <c r="H42" s="245" t="s">
        <v>420</v>
      </c>
      <c r="I42" s="247">
        <v>1.0</v>
      </c>
      <c r="J42" s="248" t="str">
        <f t="shared" si="1"/>
        <v>R</v>
      </c>
    </row>
    <row r="43" ht="15.0" customHeight="1">
      <c r="A43" s="245" t="s">
        <v>446</v>
      </c>
      <c r="B43" s="245" t="s">
        <v>439</v>
      </c>
      <c r="C43" s="245"/>
      <c r="D43" s="245"/>
      <c r="E43" s="245"/>
      <c r="F43" s="246">
        <v>43673.0</v>
      </c>
      <c r="G43" s="246">
        <v>43681.0</v>
      </c>
      <c r="H43" s="245" t="s">
        <v>420</v>
      </c>
      <c r="I43" s="247">
        <v>0.72</v>
      </c>
      <c r="J43" s="248" t="str">
        <f t="shared" si="1"/>
        <v>R</v>
      </c>
    </row>
    <row r="44" ht="15.0" customHeight="1">
      <c r="A44" s="245" t="s">
        <v>447</v>
      </c>
      <c r="B44" s="245" t="s">
        <v>387</v>
      </c>
      <c r="C44" s="245"/>
      <c r="D44" s="245"/>
      <c r="E44" s="245"/>
      <c r="F44" s="246">
        <v>43681.0</v>
      </c>
      <c r="G44" s="246">
        <v>43684.0</v>
      </c>
      <c r="H44" s="245" t="s">
        <v>420</v>
      </c>
      <c r="I44" s="247">
        <v>0.29</v>
      </c>
      <c r="J44" s="248" t="str">
        <f t="shared" si="1"/>
        <v>R</v>
      </c>
    </row>
    <row r="45" ht="15.0" customHeight="1">
      <c r="A45" s="245" t="s">
        <v>448</v>
      </c>
      <c r="B45" s="245" t="s">
        <v>432</v>
      </c>
      <c r="C45" s="245"/>
      <c r="D45" s="245"/>
      <c r="E45" s="245"/>
      <c r="F45" s="246">
        <v>43684.0</v>
      </c>
      <c r="G45" s="246">
        <v>43689.0</v>
      </c>
      <c r="H45" s="245" t="s">
        <v>420</v>
      </c>
      <c r="I45" s="247">
        <v>0.0</v>
      </c>
      <c r="J45" s="248" t="str">
        <f t="shared" si="1"/>
        <v>R</v>
      </c>
    </row>
    <row r="46" ht="15.0" customHeight="1">
      <c r="A46" s="245" t="s">
        <v>449</v>
      </c>
      <c r="B46" s="245" t="s">
        <v>406</v>
      </c>
      <c r="C46" s="245"/>
      <c r="D46" s="245"/>
      <c r="E46" s="245"/>
      <c r="F46" s="246">
        <v>43689.0</v>
      </c>
      <c r="G46" s="246">
        <v>43696.0</v>
      </c>
      <c r="H46" s="245" t="s">
        <v>420</v>
      </c>
      <c r="I46" s="247">
        <v>0.85</v>
      </c>
      <c r="J46" s="248" t="str">
        <f t="shared" si="1"/>
        <v>R</v>
      </c>
    </row>
    <row r="47" ht="15.0" customHeight="1">
      <c r="A47" s="245" t="s">
        <v>450</v>
      </c>
      <c r="B47" s="245" t="s">
        <v>439</v>
      </c>
      <c r="C47" s="245"/>
      <c r="D47" s="245"/>
      <c r="E47" s="245"/>
      <c r="F47" s="246">
        <v>43697.0</v>
      </c>
      <c r="G47" s="246">
        <v>43703.0</v>
      </c>
      <c r="H47" s="245" t="s">
        <v>420</v>
      </c>
      <c r="I47" s="247">
        <v>1.0</v>
      </c>
      <c r="J47" s="248" t="str">
        <f t="shared" si="1"/>
        <v>R</v>
      </c>
    </row>
    <row r="48" ht="15.0" customHeight="1">
      <c r="A48" s="245" t="s">
        <v>451</v>
      </c>
      <c r="B48" s="245" t="s">
        <v>387</v>
      </c>
      <c r="C48" s="245"/>
      <c r="D48" s="245"/>
      <c r="E48" s="245"/>
      <c r="F48" s="246">
        <v>43704.0</v>
      </c>
      <c r="G48" s="246">
        <v>43713.0</v>
      </c>
      <c r="H48" s="245" t="s">
        <v>420</v>
      </c>
      <c r="I48" s="247">
        <v>1.0</v>
      </c>
      <c r="J48" s="248" t="str">
        <f t="shared" si="1"/>
        <v>R</v>
      </c>
    </row>
    <row r="49" ht="15.0" customHeight="1">
      <c r="A49" s="245" t="s">
        <v>452</v>
      </c>
      <c r="B49" s="245" t="s">
        <v>426</v>
      </c>
      <c r="C49" s="245"/>
      <c r="D49" s="245"/>
      <c r="E49" s="245"/>
      <c r="F49" s="246">
        <v>43713.0</v>
      </c>
      <c r="G49" s="246">
        <v>43719.0</v>
      </c>
      <c r="H49" s="245" t="s">
        <v>420</v>
      </c>
      <c r="I49" s="247">
        <v>0.0</v>
      </c>
      <c r="J49" s="248" t="str">
        <f t="shared" si="1"/>
        <v>R</v>
      </c>
    </row>
    <row r="50" ht="15.0" customHeight="1">
      <c r="A50" s="245" t="s">
        <v>453</v>
      </c>
      <c r="B50" s="245" t="s">
        <v>397</v>
      </c>
      <c r="C50" s="245"/>
      <c r="D50" s="245"/>
      <c r="E50" s="245"/>
      <c r="F50" s="246">
        <v>43720.0</v>
      </c>
      <c r="G50" s="246">
        <v>43724.0</v>
      </c>
      <c r="H50" s="245" t="s">
        <v>420</v>
      </c>
      <c r="I50" s="247">
        <v>0.65</v>
      </c>
      <c r="J50" s="248" t="str">
        <f t="shared" si="1"/>
        <v>R</v>
      </c>
    </row>
    <row r="51" ht="15.0" customHeight="1">
      <c r="A51" s="245" t="s">
        <v>454</v>
      </c>
      <c r="B51" s="245" t="s">
        <v>393</v>
      </c>
      <c r="C51" s="245"/>
      <c r="D51" s="245"/>
      <c r="E51" s="245"/>
      <c r="F51" s="246">
        <v>43722.0</v>
      </c>
      <c r="G51" s="246">
        <v>43730.0</v>
      </c>
      <c r="H51" s="245" t="s">
        <v>420</v>
      </c>
      <c r="I51" s="247">
        <v>1.0</v>
      </c>
      <c r="J51" s="248" t="str">
        <f t="shared" si="1"/>
        <v>R</v>
      </c>
    </row>
    <row r="52" ht="15.0" customHeight="1">
      <c r="A52" s="245" t="s">
        <v>455</v>
      </c>
      <c r="B52" s="245" t="s">
        <v>424</v>
      </c>
      <c r="C52" s="245"/>
      <c r="D52" s="245"/>
      <c r="E52" s="245"/>
      <c r="F52" s="246">
        <v>43728.0</v>
      </c>
      <c r="G52" s="246">
        <v>43737.0</v>
      </c>
      <c r="H52" s="245" t="s">
        <v>420</v>
      </c>
      <c r="I52" s="247">
        <v>0.0</v>
      </c>
      <c r="J52" s="248" t="str">
        <f t="shared" si="1"/>
        <v>R</v>
      </c>
    </row>
    <row r="53" ht="15.0" customHeight="1">
      <c r="A53" s="245" t="s">
        <v>456</v>
      </c>
      <c r="B53" s="245" t="s">
        <v>404</v>
      </c>
      <c r="C53" s="245"/>
      <c r="D53" s="245"/>
      <c r="E53" s="245"/>
      <c r="F53" s="246">
        <v>43736.0</v>
      </c>
      <c r="G53" s="246">
        <v>43738.0</v>
      </c>
      <c r="H53" s="245" t="s">
        <v>420</v>
      </c>
      <c r="I53" s="247">
        <v>0.71</v>
      </c>
      <c r="J53" s="248" t="str">
        <f t="shared" si="1"/>
        <v>R</v>
      </c>
    </row>
    <row r="54" ht="15.0" customHeight="1">
      <c r="A54" s="245" t="s">
        <v>457</v>
      </c>
      <c r="B54" s="245" t="s">
        <v>397</v>
      </c>
      <c r="C54" s="245"/>
      <c r="D54" s="245"/>
      <c r="E54" s="245"/>
      <c r="F54" s="246">
        <v>43737.0</v>
      </c>
      <c r="G54" s="246">
        <v>43742.0</v>
      </c>
      <c r="H54" s="245" t="s">
        <v>420</v>
      </c>
      <c r="I54" s="247">
        <v>0.44</v>
      </c>
      <c r="J54" s="248" t="str">
        <f t="shared" si="1"/>
        <v>R</v>
      </c>
    </row>
    <row r="55" ht="15.0" customHeight="1">
      <c r="A55" s="245" t="s">
        <v>458</v>
      </c>
      <c r="B55" s="245" t="s">
        <v>406</v>
      </c>
      <c r="C55" s="245"/>
      <c r="D55" s="245"/>
      <c r="E55" s="245"/>
      <c r="F55" s="246">
        <v>43742.0</v>
      </c>
      <c r="G55" s="246">
        <v>43746.0</v>
      </c>
      <c r="H55" s="245" t="s">
        <v>420</v>
      </c>
      <c r="I55" s="247">
        <v>1.0</v>
      </c>
      <c r="J55" s="248" t="str">
        <f t="shared" si="1"/>
        <v>R</v>
      </c>
    </row>
    <row r="56" ht="15.0" customHeight="1">
      <c r="A56" s="245" t="s">
        <v>459</v>
      </c>
      <c r="B56" s="245" t="s">
        <v>387</v>
      </c>
      <c r="C56" s="245"/>
      <c r="D56" s="245"/>
      <c r="E56" s="245"/>
      <c r="F56" s="246">
        <v>43746.0</v>
      </c>
      <c r="G56" s="246">
        <v>43752.0</v>
      </c>
      <c r="H56" s="245" t="s">
        <v>420</v>
      </c>
      <c r="I56" s="247">
        <v>0.0</v>
      </c>
      <c r="J56" s="248" t="str">
        <f t="shared" si="1"/>
        <v>R</v>
      </c>
    </row>
    <row r="57" ht="15.0" customHeight="1">
      <c r="A57" s="245" t="s">
        <v>460</v>
      </c>
      <c r="B57" s="245" t="s">
        <v>426</v>
      </c>
      <c r="C57" s="245"/>
      <c r="D57" s="245"/>
      <c r="E57" s="245"/>
      <c r="F57" s="246">
        <v>43752.0</v>
      </c>
      <c r="G57" s="246">
        <v>43754.0</v>
      </c>
      <c r="H57" s="245" t="s">
        <v>420</v>
      </c>
      <c r="I57" s="247">
        <v>1.0</v>
      </c>
      <c r="J57" s="248" t="str">
        <f t="shared" si="1"/>
        <v>R</v>
      </c>
    </row>
    <row r="58" ht="15.0" customHeight="1">
      <c r="A58" s="245" t="s">
        <v>461</v>
      </c>
      <c r="B58" s="245" t="s">
        <v>404</v>
      </c>
      <c r="C58" s="245"/>
      <c r="D58" s="245"/>
      <c r="E58" s="245"/>
      <c r="F58" s="246">
        <v>43752.0</v>
      </c>
      <c r="G58" s="246">
        <v>43757.0</v>
      </c>
      <c r="H58" s="245" t="s">
        <v>420</v>
      </c>
      <c r="I58" s="247">
        <v>0.61</v>
      </c>
      <c r="J58" s="248" t="str">
        <f t="shared" si="1"/>
        <v>R</v>
      </c>
    </row>
    <row r="59" ht="15.0" customHeight="1">
      <c r="A59" s="245" t="s">
        <v>462</v>
      </c>
      <c r="B59" s="245" t="s">
        <v>406</v>
      </c>
      <c r="C59" s="245"/>
      <c r="D59" s="245"/>
      <c r="E59" s="245"/>
      <c r="F59" s="246">
        <v>43757.0</v>
      </c>
      <c r="G59" s="246">
        <v>43763.0</v>
      </c>
      <c r="H59" s="245" t="s">
        <v>420</v>
      </c>
      <c r="I59" s="247">
        <v>1.0</v>
      </c>
      <c r="J59" s="248" t="str">
        <f t="shared" si="1"/>
        <v>R</v>
      </c>
    </row>
    <row r="60" ht="15.0" customHeight="1">
      <c r="A60" s="245" t="s">
        <v>463</v>
      </c>
      <c r="B60" s="245" t="s">
        <v>397</v>
      </c>
      <c r="C60" s="245"/>
      <c r="D60" s="245"/>
      <c r="E60" s="245"/>
      <c r="F60" s="246">
        <v>43763.0</v>
      </c>
      <c r="G60" s="246">
        <v>43773.0</v>
      </c>
      <c r="H60" s="245" t="s">
        <v>420</v>
      </c>
      <c r="I60" s="247">
        <v>0.0</v>
      </c>
      <c r="J60" s="248" t="str">
        <f t="shared" si="1"/>
        <v>R</v>
      </c>
    </row>
    <row r="61" ht="15.0" customHeight="1">
      <c r="A61" s="245" t="s">
        <v>464</v>
      </c>
      <c r="B61" s="245" t="s">
        <v>401</v>
      </c>
      <c r="C61" s="245"/>
      <c r="D61" s="245"/>
      <c r="E61" s="245"/>
      <c r="F61" s="246">
        <v>43771.0</v>
      </c>
      <c r="G61" s="246">
        <v>43781.0</v>
      </c>
      <c r="H61" s="245" t="s">
        <v>420</v>
      </c>
      <c r="I61" s="247">
        <v>1.0</v>
      </c>
      <c r="J61" s="248" t="str">
        <f t="shared" si="1"/>
        <v>R</v>
      </c>
    </row>
    <row r="62" ht="15.0" customHeight="1">
      <c r="A62" s="245" t="s">
        <v>465</v>
      </c>
      <c r="B62" s="245" t="s">
        <v>409</v>
      </c>
      <c r="C62" s="245"/>
      <c r="D62" s="245"/>
      <c r="E62" s="245"/>
      <c r="F62" s="246">
        <v>43779.0</v>
      </c>
      <c r="G62" s="246">
        <v>43782.0</v>
      </c>
      <c r="H62" s="245" t="s">
        <v>420</v>
      </c>
      <c r="I62" s="247">
        <v>1.0</v>
      </c>
      <c r="J62" s="248" t="str">
        <f t="shared" si="1"/>
        <v>R</v>
      </c>
    </row>
    <row r="63" ht="15.0" customHeight="1">
      <c r="A63" s="245" t="s">
        <v>466</v>
      </c>
      <c r="B63" s="245" t="s">
        <v>429</v>
      </c>
      <c r="C63" s="245"/>
      <c r="D63" s="245"/>
      <c r="E63" s="245"/>
      <c r="F63" s="246">
        <v>43783.0</v>
      </c>
      <c r="G63" s="246">
        <v>43789.0</v>
      </c>
      <c r="H63" s="245" t="s">
        <v>420</v>
      </c>
      <c r="I63" s="247">
        <v>0.59</v>
      </c>
      <c r="J63" s="248" t="str">
        <f t="shared" si="1"/>
        <v>R</v>
      </c>
    </row>
    <row r="64" ht="15.0" customHeight="1">
      <c r="A64" s="245" t="s">
        <v>467</v>
      </c>
      <c r="B64" s="245" t="s">
        <v>395</v>
      </c>
      <c r="C64" s="245"/>
      <c r="D64" s="245"/>
      <c r="E64" s="245"/>
      <c r="F64" s="246">
        <v>43789.0</v>
      </c>
      <c r="G64" s="246">
        <v>43791.0</v>
      </c>
      <c r="H64" s="245" t="s">
        <v>420</v>
      </c>
      <c r="I64" s="247">
        <v>0.74</v>
      </c>
      <c r="J64" s="248" t="str">
        <f t="shared" si="1"/>
        <v>R</v>
      </c>
    </row>
    <row r="65" ht="15.0" customHeight="1">
      <c r="A65" s="245" t="s">
        <v>468</v>
      </c>
      <c r="B65" s="245" t="s">
        <v>399</v>
      </c>
      <c r="C65" s="245"/>
      <c r="D65" s="245"/>
      <c r="E65" s="245"/>
      <c r="F65" s="246">
        <v>43792.0</v>
      </c>
      <c r="G65" s="246">
        <v>43802.0</v>
      </c>
      <c r="H65" s="245" t="s">
        <v>420</v>
      </c>
      <c r="I65" s="247">
        <v>0.0</v>
      </c>
      <c r="J65" s="248" t="str">
        <f t="shared" si="1"/>
        <v>R</v>
      </c>
    </row>
    <row r="66" ht="15.0" customHeight="1">
      <c r="A66" s="245" t="s">
        <v>469</v>
      </c>
      <c r="B66" s="245" t="s">
        <v>397</v>
      </c>
      <c r="C66" s="245"/>
      <c r="D66" s="245"/>
      <c r="E66" s="245"/>
      <c r="F66" s="246">
        <v>43801.0</v>
      </c>
      <c r="G66" s="246">
        <v>43808.0</v>
      </c>
      <c r="H66" s="245" t="s">
        <v>420</v>
      </c>
      <c r="I66" s="247">
        <v>1.0</v>
      </c>
      <c r="J66" s="248" t="str">
        <f t="shared" si="1"/>
        <v>R</v>
      </c>
    </row>
    <row r="67" ht="15.0" customHeight="1">
      <c r="A67" s="245" t="s">
        <v>470</v>
      </c>
      <c r="B67" s="245" t="s">
        <v>426</v>
      </c>
      <c r="C67" s="245"/>
      <c r="D67" s="245"/>
      <c r="E67" s="245"/>
      <c r="F67" s="246">
        <v>43807.0</v>
      </c>
      <c r="G67" s="246">
        <v>43810.0</v>
      </c>
      <c r="H67" s="245" t="s">
        <v>420</v>
      </c>
      <c r="I67" s="247">
        <v>0.61</v>
      </c>
      <c r="J67" s="248" t="str">
        <f t="shared" si="1"/>
        <v>R</v>
      </c>
    </row>
    <row r="68" ht="15.0" customHeight="1">
      <c r="A68" s="245" t="s">
        <v>471</v>
      </c>
      <c r="B68" s="245" t="s">
        <v>387</v>
      </c>
      <c r="C68" s="245"/>
      <c r="D68" s="245"/>
      <c r="E68" s="245"/>
      <c r="F68" s="246">
        <v>43808.0</v>
      </c>
      <c r="G68" s="246">
        <v>43818.0</v>
      </c>
      <c r="H68" s="245" t="s">
        <v>420</v>
      </c>
      <c r="I68" s="247">
        <v>0.53</v>
      </c>
      <c r="J68" s="248" t="str">
        <f t="shared" si="1"/>
        <v>R</v>
      </c>
    </row>
    <row r="69" ht="15.0" customHeight="1">
      <c r="A69" s="245" t="s">
        <v>472</v>
      </c>
      <c r="B69" s="245" t="s">
        <v>383</v>
      </c>
      <c r="C69" s="245"/>
      <c r="D69" s="245"/>
      <c r="E69" s="245"/>
      <c r="F69" s="246">
        <v>43818.0</v>
      </c>
      <c r="G69" s="246">
        <v>43823.0</v>
      </c>
      <c r="H69" s="245" t="s">
        <v>420</v>
      </c>
      <c r="I69" s="247">
        <v>0.0</v>
      </c>
      <c r="J69" s="248" t="str">
        <f t="shared" si="1"/>
        <v>R</v>
      </c>
    </row>
    <row r="70" ht="15.0" customHeight="1">
      <c r="A70" s="245" t="s">
        <v>473</v>
      </c>
      <c r="B70" s="245" t="s">
        <v>406</v>
      </c>
      <c r="C70" s="245"/>
      <c r="D70" s="245"/>
      <c r="E70" s="245"/>
      <c r="F70" s="246">
        <v>43823.0</v>
      </c>
      <c r="G70" s="246">
        <v>43830.0</v>
      </c>
      <c r="H70" s="245" t="s">
        <v>420</v>
      </c>
      <c r="I70" s="247">
        <v>0.46</v>
      </c>
      <c r="J70" s="248" t="str">
        <f t="shared" si="1"/>
        <v>R</v>
      </c>
    </row>
    <row r="71" ht="15.0" customHeight="1">
      <c r="A71" s="245" t="s">
        <v>474</v>
      </c>
      <c r="B71" s="245" t="s">
        <v>411</v>
      </c>
      <c r="C71" s="245"/>
      <c r="D71" s="245"/>
      <c r="E71" s="245"/>
      <c r="F71" s="246">
        <v>43829.0</v>
      </c>
      <c r="G71" s="246">
        <v>43834.0</v>
      </c>
      <c r="H71" s="245" t="s">
        <v>420</v>
      </c>
      <c r="I71" s="247">
        <v>0.0</v>
      </c>
      <c r="J71" s="248" t="str">
        <f t="shared" si="1"/>
        <v>R</v>
      </c>
    </row>
    <row r="72" ht="15.0" customHeight="1">
      <c r="A72" s="245" t="s">
        <v>475</v>
      </c>
      <c r="B72" s="245" t="s">
        <v>387</v>
      </c>
      <c r="C72" s="245"/>
      <c r="D72" s="245"/>
      <c r="E72" s="245"/>
      <c r="F72" s="246">
        <v>43835.0</v>
      </c>
      <c r="G72" s="246">
        <v>43841.0</v>
      </c>
      <c r="H72" s="245" t="s">
        <v>420</v>
      </c>
      <c r="I72" s="247">
        <v>1.0</v>
      </c>
      <c r="J72" s="248" t="str">
        <f t="shared" si="1"/>
        <v>R</v>
      </c>
    </row>
    <row r="73" ht="15.0" customHeight="1">
      <c r="A73" s="245" t="s">
        <v>476</v>
      </c>
      <c r="B73" s="245" t="s">
        <v>389</v>
      </c>
      <c r="C73" s="245"/>
      <c r="D73" s="245"/>
      <c r="E73" s="245"/>
      <c r="F73" s="246">
        <v>43842.0</v>
      </c>
      <c r="G73" s="246">
        <v>43850.0</v>
      </c>
      <c r="H73" s="245" t="s">
        <v>420</v>
      </c>
      <c r="I73" s="247">
        <v>0.0</v>
      </c>
      <c r="J73" s="248" t="str">
        <f t="shared" si="1"/>
        <v>R</v>
      </c>
    </row>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H2:H73">
      <formula1>Settings!$J$3:$J$6</formula1>
    </dataValidation>
  </dataValidations>
  <printOptions/>
  <pageMargins bottom="0.75" footer="0.0" header="0.0" left="0.7" right="0.7" top="0.75"/>
  <pageSetup paperSize="9" orientation="portrait"/>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4.43" defaultRowHeight="15.0"/>
  <cols>
    <col customWidth="1" min="1" max="1" width="6.14"/>
    <col customWidth="1" min="2" max="3" width="15.71"/>
    <col customWidth="1" min="4" max="4" width="4.0"/>
    <col customWidth="1" min="5" max="6" width="15.71"/>
    <col customWidth="1" min="7" max="7" width="3.43"/>
    <col customWidth="1" min="8" max="8" width="14.29"/>
    <col customWidth="1" min="9" max="9" width="2.43"/>
    <col customWidth="1" min="10" max="10" width="14.29"/>
    <col customWidth="1" min="11" max="26" width="8.71"/>
  </cols>
  <sheetData>
    <row r="1" ht="14.25" customHeight="1"/>
    <row r="2" ht="15.0" customHeight="1">
      <c r="B2" s="243" t="s">
        <v>477</v>
      </c>
      <c r="C2" s="243" t="s">
        <v>478</v>
      </c>
      <c r="E2" s="243" t="s">
        <v>478</v>
      </c>
      <c r="F2" s="243" t="s">
        <v>479</v>
      </c>
      <c r="H2" s="243" t="s">
        <v>480</v>
      </c>
      <c r="J2" s="243" t="s">
        <v>379</v>
      </c>
    </row>
    <row r="3" ht="15.0" customHeight="1">
      <c r="B3" s="245" t="s">
        <v>481</v>
      </c>
      <c r="C3" s="245" t="s">
        <v>482</v>
      </c>
      <c r="E3" s="249" t="s">
        <v>483</v>
      </c>
      <c r="F3" s="246">
        <v>43766.0</v>
      </c>
      <c r="H3" s="245" t="s">
        <v>404</v>
      </c>
      <c r="J3" s="245" t="s">
        <v>384</v>
      </c>
    </row>
    <row r="4" ht="15.0" customHeight="1">
      <c r="B4" s="245" t="s">
        <v>484</v>
      </c>
      <c r="C4" s="245" t="s">
        <v>485</v>
      </c>
      <c r="E4" s="245" t="s">
        <v>486</v>
      </c>
      <c r="F4" s="246">
        <v>43814.0</v>
      </c>
      <c r="H4" s="245" t="s">
        <v>397</v>
      </c>
      <c r="J4" s="245" t="s">
        <v>420</v>
      </c>
    </row>
    <row r="5" ht="15.0" customHeight="1">
      <c r="B5" s="245" t="s">
        <v>487</v>
      </c>
      <c r="C5" s="245" t="s">
        <v>485</v>
      </c>
      <c r="E5" s="245"/>
      <c r="F5" s="246">
        <v>43475.0</v>
      </c>
      <c r="H5" s="245" t="s">
        <v>395</v>
      </c>
      <c r="J5" s="245" t="s">
        <v>390</v>
      </c>
    </row>
    <row r="6" ht="15.0" customHeight="1">
      <c r="B6" s="245" t="s">
        <v>488</v>
      </c>
      <c r="C6" s="245" t="s">
        <v>485</v>
      </c>
      <c r="E6" s="245"/>
      <c r="F6" s="246">
        <v>43500.0</v>
      </c>
      <c r="H6" s="245" t="s">
        <v>429</v>
      </c>
      <c r="J6" s="245"/>
    </row>
    <row r="7" ht="15.0" customHeight="1">
      <c r="B7" s="245" t="s">
        <v>489</v>
      </c>
      <c r="C7" s="245" t="s">
        <v>485</v>
      </c>
      <c r="E7" s="245"/>
      <c r="F7" s="246"/>
      <c r="H7" s="245" t="s">
        <v>439</v>
      </c>
      <c r="J7" s="245"/>
    </row>
    <row r="8" ht="15.0" customHeight="1">
      <c r="B8" s="245" t="s">
        <v>490</v>
      </c>
      <c r="C8" s="245" t="s">
        <v>485</v>
      </c>
      <c r="E8" s="245"/>
      <c r="F8" s="246"/>
      <c r="H8" s="245" t="s">
        <v>411</v>
      </c>
      <c r="J8" s="245"/>
    </row>
    <row r="9" ht="15.0" customHeight="1">
      <c r="B9" s="245" t="s">
        <v>491</v>
      </c>
      <c r="C9" s="245" t="s">
        <v>482</v>
      </c>
      <c r="E9" s="245"/>
      <c r="F9" s="246"/>
      <c r="H9" s="245" t="s">
        <v>383</v>
      </c>
    </row>
    <row r="10" ht="14.25" customHeight="1">
      <c r="H10" s="245" t="s">
        <v>424</v>
      </c>
    </row>
    <row r="11" ht="14.25" customHeight="1">
      <c r="H11" s="245" t="s">
        <v>393</v>
      </c>
    </row>
    <row r="12" ht="14.25" customHeight="1">
      <c r="H12" s="245" t="s">
        <v>399</v>
      </c>
    </row>
    <row r="13" ht="14.25" customHeight="1">
      <c r="H13" s="245" t="s">
        <v>419</v>
      </c>
    </row>
    <row r="14" ht="14.25" customHeight="1">
      <c r="H14" s="245" t="s">
        <v>426</v>
      </c>
    </row>
    <row r="15" ht="14.25" customHeight="1">
      <c r="H15" s="245" t="s">
        <v>401</v>
      </c>
    </row>
    <row r="16" ht="14.25" customHeight="1">
      <c r="H16" s="245" t="s">
        <v>422</v>
      </c>
    </row>
    <row r="17" ht="14.25" customHeight="1">
      <c r="H17" s="245" t="s">
        <v>406</v>
      </c>
    </row>
    <row r="18" ht="14.25" customHeight="1">
      <c r="H18" s="245" t="s">
        <v>432</v>
      </c>
    </row>
    <row r="19" ht="14.25" customHeight="1">
      <c r="H19" s="245" t="s">
        <v>409</v>
      </c>
    </row>
    <row r="20" ht="14.25" customHeight="1">
      <c r="H20" s="245" t="s">
        <v>414</v>
      </c>
    </row>
    <row r="21" ht="14.25" customHeight="1">
      <c r="H21" s="245" t="s">
        <v>389</v>
      </c>
    </row>
    <row r="22" ht="14.25" customHeight="1">
      <c r="H22" s="245" t="s">
        <v>387</v>
      </c>
    </row>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C3:C9">
      <formula1>"Y,N"</formula1>
    </dataValidation>
  </dataValidations>
  <printOptions/>
  <pageMargins bottom="0.75" footer="0.0" header="0.0" left="0.7" right="0.7" top="0.75"/>
  <pageSetup paperSize="9" orientation="portrait"/>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sheetPr>
  <sheetViews>
    <sheetView workbookViewId="0"/>
  </sheetViews>
  <sheetFormatPr customHeight="1" defaultColWidth="14.43" defaultRowHeight="15.0"/>
  <cols>
    <col customWidth="1" min="1" max="1" width="9.71"/>
    <col customWidth="1" min="2" max="2" width="9.14"/>
    <col customWidth="1" min="3" max="3" width="10.86"/>
    <col customWidth="1" min="4" max="4" width="8.71"/>
    <col customWidth="1" min="5" max="5" width="11.0"/>
    <col customWidth="1" min="6" max="6" width="10.86"/>
    <col customWidth="1" min="7" max="12" width="8.71"/>
    <col customWidth="1" min="13" max="13" width="38.71"/>
    <col customWidth="1" min="14" max="26" width="8.71"/>
  </cols>
  <sheetData>
    <row r="1" ht="14.25" customHeight="1">
      <c r="A1" s="2">
        <v>84.0</v>
      </c>
      <c r="B1" s="250" t="s">
        <v>492</v>
      </c>
      <c r="M1" s="1" t="s">
        <v>493</v>
      </c>
    </row>
    <row r="2" ht="14.25" customHeight="1">
      <c r="A2" s="251" t="s">
        <v>377</v>
      </c>
      <c r="B2" s="252" t="s">
        <v>494</v>
      </c>
      <c r="C2" s="2" t="s">
        <v>379</v>
      </c>
      <c r="D2" s="2" t="s">
        <v>420</v>
      </c>
      <c r="E2" s="2" t="s">
        <v>390</v>
      </c>
      <c r="F2" s="2" t="s">
        <v>384</v>
      </c>
      <c r="G2" s="2" t="s">
        <v>495</v>
      </c>
    </row>
    <row r="3" ht="14.25" customHeight="1">
      <c r="A3" s="251">
        <f>EOMONTH(Data!$F$2,-1)+1+$A$1</f>
        <v>43550</v>
      </c>
      <c r="B3" s="252" t="str">
        <f t="array" ref="B3">IFERROR(INDEX(Data!A:A,MATCH(Support!A3,Data!F:F,0)),"")</f>
        <v>Task 18</v>
      </c>
      <c r="C3" s="2" t="str">
        <f t="array" ref="C3">IFERROR(INDEX(Data!H:H,MATCH(Support!A3,Data!F:F,0)),"")</f>
        <v>In Progress</v>
      </c>
      <c r="D3" s="2">
        <f t="shared" ref="D3:F3" si="1">COUNTIF($C3,D$2)*(MOD(ROW(),2)+1)</f>
        <v>0</v>
      </c>
      <c r="E3" s="2">
        <f t="shared" si="1"/>
        <v>2</v>
      </c>
      <c r="F3" s="2">
        <f t="shared" si="1"/>
        <v>0</v>
      </c>
      <c r="G3" s="2">
        <f t="shared" ref="G3:G32" si="3">SUM(D3:F3)</f>
        <v>2</v>
      </c>
      <c r="M3" s="2" t="s">
        <v>495</v>
      </c>
      <c r="N3" s="2" t="str">
        <f>SUM(N4:N6)</f>
        <v>#REF!</v>
      </c>
      <c r="O3" s="2" t="str">
        <f>M3&amp;CHAR(10)&amp;N3</f>
        <v>#REF!</v>
      </c>
    </row>
    <row r="4" ht="14.25" customHeight="1">
      <c r="A4" s="251">
        <f t="shared" ref="A4:A32" si="4">A3+1</f>
        <v>43551</v>
      </c>
      <c r="B4" s="252" t="str">
        <f t="array" ref="B4">IFERROR(INDEX(Data!A:A,MATCH(Support!A4,Data!F:F,0)),"")</f>
        <v/>
      </c>
      <c r="C4" s="2" t="str">
        <f t="array" ref="C4">IFERROR(INDEX(Data!H:H,MATCH(Support!A4,Data!F:F,0)),"")</f>
        <v/>
      </c>
      <c r="D4" s="2">
        <f t="shared" ref="D4:F4" si="2">COUNTIF($C4,D$2)*(MOD(ROW(),2)+1)</f>
        <v>0</v>
      </c>
      <c r="E4" s="2">
        <f t="shared" si="2"/>
        <v>0</v>
      </c>
      <c r="F4" s="2">
        <f t="shared" si="2"/>
        <v>0</v>
      </c>
      <c r="G4" s="2">
        <f t="shared" si="3"/>
        <v>0</v>
      </c>
      <c r="M4" s="2" t="s">
        <v>496</v>
      </c>
      <c r="N4" s="2" t="str">
        <f t="shared" ref="N4:N6" si="6">COUNTIF(#REF!,M4)</f>
        <v>#REF!</v>
      </c>
      <c r="O4" s="253" t="str">
        <f t="shared" ref="O4:O6" si="7">N4/$N$3</f>
        <v>#REF!</v>
      </c>
    </row>
    <row r="5" ht="14.25" customHeight="1">
      <c r="A5" s="251">
        <f t="shared" si="4"/>
        <v>43552</v>
      </c>
      <c r="B5" s="252" t="str">
        <f t="array" ref="B5">IFERROR(INDEX(Data!A:A,MATCH(Support!A5,Data!F:F,0)),"")</f>
        <v/>
      </c>
      <c r="C5" s="2" t="str">
        <f t="array" ref="C5">IFERROR(INDEX(Data!H:H,MATCH(Support!A5,Data!F:F,0)),"")</f>
        <v/>
      </c>
      <c r="D5" s="2">
        <f t="shared" ref="D5:F5" si="5">COUNTIF($C5,D$2)*(MOD(ROW(),2)+1)</f>
        <v>0</v>
      </c>
      <c r="E5" s="2">
        <f t="shared" si="5"/>
        <v>0</v>
      </c>
      <c r="F5" s="2">
        <f t="shared" si="5"/>
        <v>0</v>
      </c>
      <c r="G5" s="2">
        <f t="shared" si="3"/>
        <v>0</v>
      </c>
      <c r="M5" s="2" t="s">
        <v>497</v>
      </c>
      <c r="N5" s="2" t="str">
        <f t="shared" si="6"/>
        <v>#REF!</v>
      </c>
      <c r="O5" s="253" t="str">
        <f t="shared" si="7"/>
        <v>#REF!</v>
      </c>
    </row>
    <row r="6" ht="14.25" customHeight="1">
      <c r="A6" s="251">
        <f t="shared" si="4"/>
        <v>43553</v>
      </c>
      <c r="B6" s="252" t="str">
        <f t="array" ref="B6">IFERROR(INDEX(Data!A:A,MATCH(Support!A6,Data!F:F,0)),"")</f>
        <v/>
      </c>
      <c r="C6" s="2" t="str">
        <f t="array" ref="C6">IFERROR(INDEX(Data!H:H,MATCH(Support!A6,Data!F:F,0)),"")</f>
        <v/>
      </c>
      <c r="D6" s="2">
        <f t="shared" ref="D6:F6" si="8">COUNTIF($C6,D$2)*(MOD(ROW(),2)+1)</f>
        <v>0</v>
      </c>
      <c r="E6" s="2">
        <f t="shared" si="8"/>
        <v>0</v>
      </c>
      <c r="F6" s="2">
        <f t="shared" si="8"/>
        <v>0</v>
      </c>
      <c r="G6" s="2">
        <f t="shared" si="3"/>
        <v>0</v>
      </c>
      <c r="M6" s="2" t="s">
        <v>498</v>
      </c>
      <c r="N6" s="2" t="str">
        <f t="shared" si="6"/>
        <v>#REF!</v>
      </c>
      <c r="O6" s="253" t="str">
        <f t="shared" si="7"/>
        <v>#REF!</v>
      </c>
    </row>
    <row r="7" ht="14.25" customHeight="1">
      <c r="A7" s="251">
        <f t="shared" si="4"/>
        <v>43554</v>
      </c>
      <c r="B7" s="252" t="str">
        <f t="array" ref="B7">IFERROR(INDEX(Data!A:A,MATCH(Support!A7,Data!F:F,0)),"")</f>
        <v>Task 19</v>
      </c>
      <c r="C7" s="2" t="str">
        <f t="array" ref="C7">IFERROR(INDEX(Data!H:H,MATCH(Support!A7,Data!F:F,0)),"")</f>
        <v>In Progress</v>
      </c>
      <c r="D7" s="2">
        <f t="shared" ref="D7:F7" si="9">COUNTIF($C7,D$2)*(MOD(ROW(),2)+1)</f>
        <v>0</v>
      </c>
      <c r="E7" s="2">
        <f t="shared" si="9"/>
        <v>2</v>
      </c>
      <c r="F7" s="2">
        <f t="shared" si="9"/>
        <v>0</v>
      </c>
      <c r="G7" s="2">
        <f t="shared" si="3"/>
        <v>2</v>
      </c>
    </row>
    <row r="8" ht="14.25" customHeight="1">
      <c r="A8" s="251">
        <f t="shared" si="4"/>
        <v>43555</v>
      </c>
      <c r="B8" s="252" t="str">
        <f t="array" ref="B8">IFERROR(INDEX(Data!A:A,MATCH(Support!A8,Data!F:F,0)),"")</f>
        <v/>
      </c>
      <c r="C8" s="2" t="str">
        <f t="array" ref="C8">IFERROR(INDEX(Data!H:H,MATCH(Support!A8,Data!F:F,0)),"")</f>
        <v/>
      </c>
      <c r="D8" s="2">
        <f t="shared" ref="D8:F8" si="10">COUNTIF($C8,D$2)*(MOD(ROW(),2)+1)</f>
        <v>0</v>
      </c>
      <c r="E8" s="2">
        <f t="shared" si="10"/>
        <v>0</v>
      </c>
      <c r="F8" s="2">
        <f t="shared" si="10"/>
        <v>0</v>
      </c>
      <c r="G8" s="2">
        <f t="shared" si="3"/>
        <v>0</v>
      </c>
    </row>
    <row r="9" ht="14.25" customHeight="1">
      <c r="A9" s="251">
        <f t="shared" si="4"/>
        <v>43556</v>
      </c>
      <c r="B9" s="252" t="str">
        <f t="array" ref="B9">IFERROR(INDEX(Data!A:A,MATCH(Support!A9,Data!F:F,0)),"")</f>
        <v/>
      </c>
      <c r="C9" s="2" t="str">
        <f t="array" ref="C9">IFERROR(INDEX(Data!H:H,MATCH(Support!A9,Data!F:F,0)),"")</f>
        <v/>
      </c>
      <c r="D9" s="2">
        <f t="shared" ref="D9:F9" si="11">COUNTIF($C9,D$2)*(MOD(ROW(),2)+1)</f>
        <v>0</v>
      </c>
      <c r="E9" s="2">
        <f t="shared" si="11"/>
        <v>0</v>
      </c>
      <c r="F9" s="2">
        <f t="shared" si="11"/>
        <v>0</v>
      </c>
      <c r="G9" s="2">
        <f t="shared" si="3"/>
        <v>0</v>
      </c>
    </row>
    <row r="10" ht="14.25" customHeight="1">
      <c r="A10" s="251">
        <f t="shared" si="4"/>
        <v>43557</v>
      </c>
      <c r="B10" s="252" t="str">
        <f t="array" ref="B10">IFERROR(INDEX(Data!A:A,MATCH(Support!A10,Data!F:F,0)),"")</f>
        <v/>
      </c>
      <c r="C10" s="2" t="str">
        <f t="array" ref="C10">IFERROR(INDEX(Data!H:H,MATCH(Support!A10,Data!F:F,0)),"")</f>
        <v/>
      </c>
      <c r="D10" s="2">
        <f t="shared" ref="D10:F10" si="12">COUNTIF($C10,D$2)*(MOD(ROW(),2)+1)</f>
        <v>0</v>
      </c>
      <c r="E10" s="2">
        <f t="shared" si="12"/>
        <v>0</v>
      </c>
      <c r="F10" s="2">
        <f t="shared" si="12"/>
        <v>0</v>
      </c>
      <c r="G10" s="2">
        <f t="shared" si="3"/>
        <v>0</v>
      </c>
      <c r="M10" s="1" t="s">
        <v>494</v>
      </c>
    </row>
    <row r="11" ht="14.25" customHeight="1">
      <c r="A11" s="251">
        <f t="shared" si="4"/>
        <v>43558</v>
      </c>
      <c r="B11" s="252" t="str">
        <f t="array" ref="B11">IFERROR(INDEX(Data!A:A,MATCH(Support!A11,Data!F:F,0)),"")</f>
        <v/>
      </c>
      <c r="C11" s="2" t="str">
        <f t="array" ref="C11">IFERROR(INDEX(Data!H:H,MATCH(Support!A11,Data!F:F,0)),"")</f>
        <v/>
      </c>
      <c r="D11" s="2">
        <f t="shared" ref="D11:F11" si="13">COUNTIF($C11,D$2)*(MOD(ROW(),2)+1)</f>
        <v>0</v>
      </c>
      <c r="E11" s="2">
        <f t="shared" si="13"/>
        <v>0</v>
      </c>
      <c r="F11" s="2">
        <f t="shared" si="13"/>
        <v>0</v>
      </c>
      <c r="G11" s="2">
        <f t="shared" si="3"/>
        <v>0</v>
      </c>
      <c r="M11" s="2" t="s">
        <v>495</v>
      </c>
      <c r="N11" s="2">
        <f>SUM(N12:N14)</f>
        <v>72</v>
      </c>
      <c r="O11" s="2" t="str">
        <f>M11&amp;CHAR(10)&amp;N11</f>
        <v>Total
72</v>
      </c>
    </row>
    <row r="12" ht="14.25" customHeight="1">
      <c r="A12" s="251">
        <f t="shared" si="4"/>
        <v>43559</v>
      </c>
      <c r="B12" s="252" t="str">
        <f t="array" ref="B12">IFERROR(INDEX(Data!A:A,MATCH(Support!A12,Data!F:F,0)),"")</f>
        <v/>
      </c>
      <c r="C12" s="2" t="str">
        <f t="array" ref="C12">IFERROR(INDEX(Data!H:H,MATCH(Support!A12,Data!F:F,0)),"")</f>
        <v/>
      </c>
      <c r="D12" s="2">
        <f t="shared" ref="D12:F12" si="14">COUNTIF($C12,D$2)*(MOD(ROW(),2)+1)</f>
        <v>0</v>
      </c>
      <c r="E12" s="2">
        <f t="shared" si="14"/>
        <v>0</v>
      </c>
      <c r="F12" s="2">
        <f t="shared" si="14"/>
        <v>0</v>
      </c>
      <c r="G12" s="2">
        <f t="shared" si="3"/>
        <v>0</v>
      </c>
      <c r="M12" s="2" t="s">
        <v>420</v>
      </c>
      <c r="N12" s="2">
        <f>COUNTIF(Data!$H:$H,M12)</f>
        <v>51</v>
      </c>
      <c r="O12" s="253">
        <f t="shared" ref="O12:O14" si="16">N12/$N$11</f>
        <v>0.7083333333</v>
      </c>
      <c r="P12" s="253">
        <f t="shared" ref="P12:P14" si="17">1-O12</f>
        <v>0.2916666667</v>
      </c>
    </row>
    <row r="13" ht="14.25" customHeight="1">
      <c r="A13" s="251">
        <f t="shared" si="4"/>
        <v>43560</v>
      </c>
      <c r="B13" s="252" t="str">
        <f t="array" ref="B13">IFERROR(INDEX(Data!A:A,MATCH(Support!A13,Data!F:F,0)),"")</f>
        <v>Task 20</v>
      </c>
      <c r="C13" s="2" t="str">
        <f t="array" ref="C13">IFERROR(INDEX(Data!H:H,MATCH(Support!A13,Data!F:F,0)),"")</f>
        <v>Completed</v>
      </c>
      <c r="D13" s="2">
        <f t="shared" ref="D13:F13" si="15">COUNTIF($C13,D$2)*(MOD(ROW(),2)+1)</f>
        <v>0</v>
      </c>
      <c r="E13" s="2">
        <f t="shared" si="15"/>
        <v>0</v>
      </c>
      <c r="F13" s="2">
        <f t="shared" si="15"/>
        <v>2</v>
      </c>
      <c r="G13" s="2">
        <f t="shared" si="3"/>
        <v>2</v>
      </c>
      <c r="M13" s="2" t="s">
        <v>390</v>
      </c>
      <c r="N13" s="2">
        <f>COUNTIF(Data!$H:$H,M13)</f>
        <v>10</v>
      </c>
      <c r="O13" s="253">
        <f t="shared" si="16"/>
        <v>0.1388888889</v>
      </c>
      <c r="P13" s="253">
        <f t="shared" si="17"/>
        <v>0.8611111111</v>
      </c>
    </row>
    <row r="14" ht="14.25" customHeight="1">
      <c r="A14" s="251">
        <f t="shared" si="4"/>
        <v>43561</v>
      </c>
      <c r="B14" s="252" t="str">
        <f t="array" ref="B14">IFERROR(INDEX(Data!A:A,MATCH(Support!A14,Data!F:F,0)),"")</f>
        <v/>
      </c>
      <c r="C14" s="2" t="str">
        <f t="array" ref="C14">IFERROR(INDEX(Data!H:H,MATCH(Support!A14,Data!F:F,0)),"")</f>
        <v/>
      </c>
      <c r="D14" s="2">
        <f t="shared" ref="D14:F14" si="18">COUNTIF($C14,D$2)*(MOD(ROW(),2)+1)</f>
        <v>0</v>
      </c>
      <c r="E14" s="2">
        <f t="shared" si="18"/>
        <v>0</v>
      </c>
      <c r="F14" s="2">
        <f t="shared" si="18"/>
        <v>0</v>
      </c>
      <c r="G14" s="2">
        <f t="shared" si="3"/>
        <v>0</v>
      </c>
      <c r="M14" s="2" t="s">
        <v>384</v>
      </c>
      <c r="N14" s="2">
        <f>COUNTIF(Data!$H:$H,M14)</f>
        <v>11</v>
      </c>
      <c r="O14" s="253">
        <f t="shared" si="16"/>
        <v>0.1527777778</v>
      </c>
      <c r="P14" s="253">
        <f t="shared" si="17"/>
        <v>0.8472222222</v>
      </c>
    </row>
    <row r="15" ht="14.25" customHeight="1">
      <c r="A15" s="251">
        <f t="shared" si="4"/>
        <v>43562</v>
      </c>
      <c r="B15" s="252" t="str">
        <f t="array" ref="B15">IFERROR(INDEX(Data!A:A,MATCH(Support!A15,Data!F:F,0)),"")</f>
        <v>Task 21</v>
      </c>
      <c r="C15" s="2" t="str">
        <f t="array" ref="C15">IFERROR(INDEX(Data!H:H,MATCH(Support!A15,Data!F:F,0)),"")</f>
        <v>Completed</v>
      </c>
      <c r="D15" s="2">
        <f t="shared" ref="D15:F15" si="19">COUNTIF($C15,D$2)*(MOD(ROW(),2)+1)</f>
        <v>0</v>
      </c>
      <c r="E15" s="2">
        <f t="shared" si="19"/>
        <v>0</v>
      </c>
      <c r="F15" s="2">
        <f t="shared" si="19"/>
        <v>2</v>
      </c>
      <c r="G15" s="2">
        <f t="shared" si="3"/>
        <v>2</v>
      </c>
    </row>
    <row r="16" ht="14.25" customHeight="1">
      <c r="A16" s="251">
        <f t="shared" si="4"/>
        <v>43563</v>
      </c>
      <c r="B16" s="252" t="str">
        <f t="array" ref="B16">IFERROR(INDEX(Data!A:A,MATCH(Support!A16,Data!F:F,0)),"")</f>
        <v/>
      </c>
      <c r="C16" s="2" t="str">
        <f t="array" ref="C16">IFERROR(INDEX(Data!H:H,MATCH(Support!A16,Data!F:F,0)),"")</f>
        <v/>
      </c>
      <c r="D16" s="2">
        <f t="shared" ref="D16:F16" si="20">COUNTIF($C16,D$2)*(MOD(ROW(),2)+1)</f>
        <v>0</v>
      </c>
      <c r="E16" s="2">
        <f t="shared" si="20"/>
        <v>0</v>
      </c>
      <c r="F16" s="2">
        <f t="shared" si="20"/>
        <v>0</v>
      </c>
      <c r="G16" s="2">
        <f t="shared" si="3"/>
        <v>0</v>
      </c>
    </row>
    <row r="17" ht="14.25" customHeight="1">
      <c r="A17" s="251">
        <f t="shared" si="4"/>
        <v>43564</v>
      </c>
      <c r="B17" s="252" t="str">
        <f t="array" ref="B17">IFERROR(INDEX(Data!A:A,MATCH(Support!A17,Data!F:F,0)),"")</f>
        <v/>
      </c>
      <c r="C17" s="2" t="str">
        <f t="array" ref="C17">IFERROR(INDEX(Data!H:H,MATCH(Support!A17,Data!F:F,0)),"")</f>
        <v/>
      </c>
      <c r="D17" s="2">
        <f t="shared" ref="D17:F17" si="21">COUNTIF($C17,D$2)*(MOD(ROW(),2)+1)</f>
        <v>0</v>
      </c>
      <c r="E17" s="2">
        <f t="shared" si="21"/>
        <v>0</v>
      </c>
      <c r="F17" s="2">
        <f t="shared" si="21"/>
        <v>0</v>
      </c>
      <c r="G17" s="2">
        <f t="shared" si="3"/>
        <v>0</v>
      </c>
      <c r="M17" s="2" t="s">
        <v>499</v>
      </c>
      <c r="N17" s="252" t="str">
        <f>IF(COUNTIF(Data!J:J,"R")&gt;0,"R",IF(COUNTIF(Data!J:J,"A")&gt;0,"A","G"))</f>
        <v>R</v>
      </c>
    </row>
    <row r="18" ht="14.25" customHeight="1">
      <c r="A18" s="251">
        <f t="shared" si="4"/>
        <v>43565</v>
      </c>
      <c r="B18" s="252" t="str">
        <f t="array" ref="B18">IFERROR(INDEX(Data!A:A,MATCH(Support!A18,Data!F:F,0)),"")</f>
        <v/>
      </c>
      <c r="C18" s="2" t="str">
        <f t="array" ref="C18">IFERROR(INDEX(Data!H:H,MATCH(Support!A18,Data!F:F,0)),"")</f>
        <v/>
      </c>
      <c r="D18" s="2">
        <f t="shared" ref="D18:F18" si="22">COUNTIF($C18,D$2)*(MOD(ROW(),2)+1)</f>
        <v>0</v>
      </c>
      <c r="E18" s="2">
        <f t="shared" si="22"/>
        <v>0</v>
      </c>
      <c r="F18" s="2">
        <f t="shared" si="22"/>
        <v>0</v>
      </c>
      <c r="G18" s="2">
        <f t="shared" si="3"/>
        <v>0</v>
      </c>
      <c r="M18" s="2" t="s">
        <v>500</v>
      </c>
      <c r="N18" s="252">
        <f>COUNTIF(Data!J:J,"R")</f>
        <v>51</v>
      </c>
      <c r="O18" s="253">
        <f t="shared" ref="O18:O19" si="24">N18/$N$11</f>
        <v>0.7083333333</v>
      </c>
    </row>
    <row r="19" ht="14.25" customHeight="1">
      <c r="A19" s="251">
        <f t="shared" si="4"/>
        <v>43566</v>
      </c>
      <c r="B19" s="252" t="str">
        <f t="array" ref="B19">IFERROR(INDEX(Data!A:A,MATCH(Support!A19,Data!F:F,0)),"")</f>
        <v/>
      </c>
      <c r="C19" s="2" t="str">
        <f t="array" ref="C19">IFERROR(INDEX(Data!H:H,MATCH(Support!A19,Data!F:F,0)),"")</f>
        <v/>
      </c>
      <c r="D19" s="2">
        <f t="shared" ref="D19:F19" si="23">COUNTIF($C19,D$2)*(MOD(ROW(),2)+1)</f>
        <v>0</v>
      </c>
      <c r="E19" s="2">
        <f t="shared" si="23"/>
        <v>0</v>
      </c>
      <c r="F19" s="2">
        <f t="shared" si="23"/>
        <v>0</v>
      </c>
      <c r="G19" s="2">
        <f t="shared" si="3"/>
        <v>0</v>
      </c>
      <c r="M19" s="2" t="s">
        <v>501</v>
      </c>
      <c r="N19" s="252">
        <f>COUNTIF(Data!J:J,"A")</f>
        <v>10</v>
      </c>
      <c r="O19" s="253">
        <f t="shared" si="24"/>
        <v>0.1388888889</v>
      </c>
    </row>
    <row r="20" ht="14.25" customHeight="1">
      <c r="A20" s="251">
        <f t="shared" si="4"/>
        <v>43567</v>
      </c>
      <c r="B20" s="252" t="str">
        <f t="array" ref="B20">IFERROR(INDEX(Data!A:A,MATCH(Support!A20,Data!F:F,0)),"")</f>
        <v/>
      </c>
      <c r="C20" s="2" t="str">
        <f t="array" ref="C20">IFERROR(INDEX(Data!H:H,MATCH(Support!A20,Data!F:F,0)),"")</f>
        <v/>
      </c>
      <c r="D20" s="2">
        <f t="shared" ref="D20:F20" si="25">COUNTIF($C20,D$2)*(MOD(ROW(),2)+1)</f>
        <v>0</v>
      </c>
      <c r="E20" s="2">
        <f t="shared" si="25"/>
        <v>0</v>
      </c>
      <c r="F20" s="2">
        <f t="shared" si="25"/>
        <v>0</v>
      </c>
      <c r="G20" s="2">
        <f t="shared" si="3"/>
        <v>0</v>
      </c>
    </row>
    <row r="21" ht="14.25" customHeight="1">
      <c r="A21" s="251">
        <f t="shared" si="4"/>
        <v>43568</v>
      </c>
      <c r="B21" s="252" t="str">
        <f t="array" ref="B21">IFERROR(INDEX(Data!A:A,MATCH(Support!A21,Data!F:F,0)),"")</f>
        <v/>
      </c>
      <c r="C21" s="2" t="str">
        <f t="array" ref="C21">IFERROR(INDEX(Data!H:H,MATCH(Support!A21,Data!F:F,0)),"")</f>
        <v/>
      </c>
      <c r="D21" s="2">
        <f t="shared" ref="D21:F21" si="26">COUNTIF($C21,D$2)*(MOD(ROW(),2)+1)</f>
        <v>0</v>
      </c>
      <c r="E21" s="2">
        <f t="shared" si="26"/>
        <v>0</v>
      </c>
      <c r="F21" s="2">
        <f t="shared" si="26"/>
        <v>0</v>
      </c>
      <c r="G21" s="2">
        <f t="shared" si="3"/>
        <v>0</v>
      </c>
    </row>
    <row r="22" ht="14.25" customHeight="1">
      <c r="A22" s="251">
        <f t="shared" si="4"/>
        <v>43569</v>
      </c>
      <c r="B22" s="252" t="str">
        <f t="array" ref="B22">IFERROR(INDEX(Data!A:A,MATCH(Support!A22,Data!F:F,0)),"")</f>
        <v/>
      </c>
      <c r="C22" s="2" t="str">
        <f t="array" ref="C22">IFERROR(INDEX(Data!H:H,MATCH(Support!A22,Data!F:F,0)),"")</f>
        <v/>
      </c>
      <c r="D22" s="2">
        <f t="shared" ref="D22:F22" si="27">COUNTIF($C22,D$2)*(MOD(ROW(),2)+1)</f>
        <v>0</v>
      </c>
      <c r="E22" s="2">
        <f t="shared" si="27"/>
        <v>0</v>
      </c>
      <c r="F22" s="2">
        <f t="shared" si="27"/>
        <v>0</v>
      </c>
      <c r="G22" s="2">
        <f t="shared" si="3"/>
        <v>0</v>
      </c>
    </row>
    <row r="23" ht="14.25" customHeight="1">
      <c r="A23" s="251">
        <f t="shared" si="4"/>
        <v>43570</v>
      </c>
      <c r="B23" s="252" t="str">
        <f t="array" ref="B23">IFERROR(INDEX(Data!A:A,MATCH(Support!A23,Data!F:F,0)),"")</f>
        <v>Task 22</v>
      </c>
      <c r="C23" s="2" t="str">
        <f t="array" ref="C23">IFERROR(INDEX(Data!H:H,MATCH(Support!A23,Data!F:F,0)),"")</f>
        <v>Pending</v>
      </c>
      <c r="D23" s="2">
        <f t="shared" ref="D23:F23" si="28">COUNTIF($C23,D$2)*(MOD(ROW(),2)+1)</f>
        <v>2</v>
      </c>
      <c r="E23" s="2">
        <f t="shared" si="28"/>
        <v>0</v>
      </c>
      <c r="F23" s="2">
        <f t="shared" si="28"/>
        <v>0</v>
      </c>
      <c r="G23" s="2">
        <f t="shared" si="3"/>
        <v>2</v>
      </c>
      <c r="N23" s="254" t="str">
        <f>N17</f>
        <v>R</v>
      </c>
    </row>
    <row r="24" ht="14.25" customHeight="1">
      <c r="A24" s="251">
        <f t="shared" si="4"/>
        <v>43571</v>
      </c>
      <c r="B24" s="252" t="str">
        <f t="array" ref="B24">IFERROR(INDEX(Data!A:A,MATCH(Support!A24,Data!F:F,0)),"")</f>
        <v/>
      </c>
      <c r="C24" s="2" t="str">
        <f t="array" ref="C24">IFERROR(INDEX(Data!H:H,MATCH(Support!A24,Data!F:F,0)),"")</f>
        <v/>
      </c>
      <c r="D24" s="2">
        <f t="shared" ref="D24:F24" si="29">COUNTIF($C24,D$2)*(MOD(ROW(),2)+1)</f>
        <v>0</v>
      </c>
      <c r="E24" s="2">
        <f t="shared" si="29"/>
        <v>0</v>
      </c>
      <c r="F24" s="2">
        <f t="shared" si="29"/>
        <v>0</v>
      </c>
      <c r="G24" s="2">
        <f t="shared" si="3"/>
        <v>0</v>
      </c>
    </row>
    <row r="25" ht="14.25" customHeight="1">
      <c r="A25" s="251">
        <f t="shared" si="4"/>
        <v>43572</v>
      </c>
      <c r="B25" s="252" t="str">
        <f t="array" ref="B25">IFERROR(INDEX(Data!A:A,MATCH(Support!A25,Data!F:F,0)),"")</f>
        <v/>
      </c>
      <c r="C25" s="2" t="str">
        <f t="array" ref="C25">IFERROR(INDEX(Data!H:H,MATCH(Support!A25,Data!F:F,0)),"")</f>
        <v/>
      </c>
      <c r="D25" s="2">
        <f t="shared" ref="D25:F25" si="30">COUNTIF($C25,D$2)*(MOD(ROW(),2)+1)</f>
        <v>0</v>
      </c>
      <c r="E25" s="2">
        <f t="shared" si="30"/>
        <v>0</v>
      </c>
      <c r="F25" s="2">
        <f t="shared" si="30"/>
        <v>0</v>
      </c>
      <c r="G25" s="2">
        <f t="shared" si="3"/>
        <v>0</v>
      </c>
    </row>
    <row r="26" ht="14.25" customHeight="1">
      <c r="A26" s="251">
        <f t="shared" si="4"/>
        <v>43573</v>
      </c>
      <c r="B26" s="252" t="str">
        <f t="array" ref="B26">IFERROR(INDEX(Data!A:A,MATCH(Support!A26,Data!F:F,0)),"")</f>
        <v/>
      </c>
      <c r="C26" s="2" t="str">
        <f t="array" ref="C26">IFERROR(INDEX(Data!H:H,MATCH(Support!A26,Data!F:F,0)),"")</f>
        <v/>
      </c>
      <c r="D26" s="2">
        <f t="shared" ref="D26:F26" si="31">COUNTIF($C26,D$2)*(MOD(ROW(),2)+1)</f>
        <v>0</v>
      </c>
      <c r="E26" s="2">
        <f t="shared" si="31"/>
        <v>0</v>
      </c>
      <c r="F26" s="2">
        <f t="shared" si="31"/>
        <v>0</v>
      </c>
      <c r="G26" s="2">
        <f t="shared" si="3"/>
        <v>0</v>
      </c>
    </row>
    <row r="27" ht="14.25" customHeight="1">
      <c r="A27" s="251">
        <f t="shared" si="4"/>
        <v>43574</v>
      </c>
      <c r="B27" s="252" t="str">
        <f t="array" ref="B27">IFERROR(INDEX(Data!A:A,MATCH(Support!A27,Data!F:F,0)),"")</f>
        <v/>
      </c>
      <c r="C27" s="2" t="str">
        <f t="array" ref="C27">IFERROR(INDEX(Data!H:H,MATCH(Support!A27,Data!F:F,0)),"")</f>
        <v/>
      </c>
      <c r="D27" s="2">
        <f t="shared" ref="D27:F27" si="32">COUNTIF($C27,D$2)*(MOD(ROW(),2)+1)</f>
        <v>0</v>
      </c>
      <c r="E27" s="2">
        <f t="shared" si="32"/>
        <v>0</v>
      </c>
      <c r="F27" s="2">
        <f t="shared" si="32"/>
        <v>0</v>
      </c>
      <c r="G27" s="2">
        <f t="shared" si="3"/>
        <v>0</v>
      </c>
    </row>
    <row r="28" ht="14.25" customHeight="1">
      <c r="A28" s="251">
        <f t="shared" si="4"/>
        <v>43575</v>
      </c>
      <c r="B28" s="252" t="str">
        <f t="array" ref="B28">IFERROR(INDEX(Data!A:A,MATCH(Support!A28,Data!F:F,0)),"")</f>
        <v/>
      </c>
      <c r="C28" s="2" t="str">
        <f t="array" ref="C28">IFERROR(INDEX(Data!H:H,MATCH(Support!A28,Data!F:F,0)),"")</f>
        <v/>
      </c>
      <c r="D28" s="2">
        <f t="shared" ref="D28:F28" si="33">COUNTIF($C28,D$2)*(MOD(ROW(),2)+1)</f>
        <v>0</v>
      </c>
      <c r="E28" s="2">
        <f t="shared" si="33"/>
        <v>0</v>
      </c>
      <c r="F28" s="2">
        <f t="shared" si="33"/>
        <v>0</v>
      </c>
      <c r="G28" s="2">
        <f t="shared" si="3"/>
        <v>0</v>
      </c>
    </row>
    <row r="29" ht="14.25" customHeight="1">
      <c r="A29" s="251">
        <f t="shared" si="4"/>
        <v>43576</v>
      </c>
      <c r="B29" s="252" t="str">
        <f t="array" ref="B29">IFERROR(INDEX(Data!A:A,MATCH(Support!A29,Data!F:F,0)),"")</f>
        <v>Task 23</v>
      </c>
      <c r="C29" s="2" t="str">
        <f t="array" ref="C29">IFERROR(INDEX(Data!H:H,MATCH(Support!A29,Data!F:F,0)),"")</f>
        <v>Pending</v>
      </c>
      <c r="D29" s="2">
        <f t="shared" ref="D29:F29" si="34">COUNTIF($C29,D$2)*(MOD(ROW(),2)+1)</f>
        <v>2</v>
      </c>
      <c r="E29" s="2">
        <f t="shared" si="34"/>
        <v>0</v>
      </c>
      <c r="F29" s="2">
        <f t="shared" si="34"/>
        <v>0</v>
      </c>
      <c r="G29" s="2">
        <f t="shared" si="3"/>
        <v>2</v>
      </c>
    </row>
    <row r="30" ht="14.25" customHeight="1">
      <c r="A30" s="251">
        <f t="shared" si="4"/>
        <v>43577</v>
      </c>
      <c r="B30" s="252" t="str">
        <f t="array" ref="B30">IFERROR(INDEX(Data!A:A,MATCH(Support!A30,Data!F:F,0)),"")</f>
        <v/>
      </c>
      <c r="C30" s="2" t="str">
        <f t="array" ref="C30">IFERROR(INDEX(Data!H:H,MATCH(Support!A30,Data!F:F,0)),"")</f>
        <v/>
      </c>
      <c r="D30" s="2">
        <f t="shared" ref="D30:F30" si="35">COUNTIF($C30,D$2)*(MOD(ROW(),2)+1)</f>
        <v>0</v>
      </c>
      <c r="E30" s="2">
        <f t="shared" si="35"/>
        <v>0</v>
      </c>
      <c r="F30" s="2">
        <f t="shared" si="35"/>
        <v>0</v>
      </c>
      <c r="G30" s="2">
        <f t="shared" si="3"/>
        <v>0</v>
      </c>
    </row>
    <row r="31" ht="14.25" customHeight="1">
      <c r="A31" s="251">
        <f t="shared" si="4"/>
        <v>43578</v>
      </c>
      <c r="B31" s="252" t="str">
        <f t="array" ref="B31">IFERROR(INDEX(Data!A:A,MATCH(Support!A31,Data!F:F,0)),"")</f>
        <v>Task 24</v>
      </c>
      <c r="C31" s="2" t="str">
        <f t="array" ref="C31">IFERROR(INDEX(Data!H:H,MATCH(Support!A31,Data!F:F,0)),"")</f>
        <v>Pending</v>
      </c>
      <c r="D31" s="2">
        <f t="shared" ref="D31:F31" si="36">COUNTIF($C31,D$2)*(MOD(ROW(),2)+1)</f>
        <v>2</v>
      </c>
      <c r="E31" s="2">
        <f t="shared" si="36"/>
        <v>0</v>
      </c>
      <c r="F31" s="2">
        <f t="shared" si="36"/>
        <v>0</v>
      </c>
      <c r="G31" s="2">
        <f t="shared" si="3"/>
        <v>2</v>
      </c>
    </row>
    <row r="32" ht="14.25" customHeight="1">
      <c r="A32" s="251">
        <f t="shared" si="4"/>
        <v>43579</v>
      </c>
      <c r="B32" s="252" t="str">
        <f t="array" ref="B32">IFERROR(INDEX(Data!A:A,MATCH(Support!A32,Data!F:F,0)),"")</f>
        <v>Task 25</v>
      </c>
      <c r="C32" s="2" t="str">
        <f t="array" ref="C32">IFERROR(INDEX(Data!H:H,MATCH(Support!A32,Data!F:F,0)),"")</f>
        <v>Pending</v>
      </c>
      <c r="D32" s="2">
        <f t="shared" ref="D32:F32" si="37">COUNTIF($C32,D$2)*(MOD(ROW(),2)+1)</f>
        <v>1</v>
      </c>
      <c r="E32" s="2">
        <f t="shared" si="37"/>
        <v>0</v>
      </c>
      <c r="F32" s="2">
        <f t="shared" si="37"/>
        <v>0</v>
      </c>
      <c r="G32" s="2">
        <f t="shared" si="3"/>
        <v>1</v>
      </c>
    </row>
    <row r="33" ht="14.25" customHeight="1">
      <c r="A33" s="251"/>
      <c r="B33" s="252"/>
    </row>
    <row r="34" ht="14.25" customHeight="1">
      <c r="A34" s="251"/>
      <c r="B34" s="252"/>
    </row>
    <row r="35" ht="14.25" customHeight="1">
      <c r="A35" s="251"/>
      <c r="B35" s="252"/>
    </row>
    <row r="36" ht="14.25" customHeight="1">
      <c r="A36" s="251"/>
      <c r="B36" s="252"/>
    </row>
    <row r="37" ht="14.25" customHeight="1">
      <c r="A37" s="251"/>
      <c r="B37" s="252"/>
    </row>
    <row r="38" ht="14.25" customHeight="1">
      <c r="A38" s="251"/>
      <c r="B38" s="252"/>
    </row>
    <row r="39" ht="14.25" customHeight="1">
      <c r="A39" s="251"/>
      <c r="B39" s="252"/>
    </row>
    <row r="40" ht="14.25" customHeight="1">
      <c r="A40" s="251"/>
      <c r="B40" s="252"/>
    </row>
    <row r="41" ht="14.25" customHeight="1">
      <c r="A41" s="251"/>
      <c r="B41" s="252"/>
    </row>
    <row r="42" ht="14.25" customHeight="1">
      <c r="A42" s="251"/>
      <c r="B42" s="252"/>
    </row>
    <row r="43" ht="14.25" customHeight="1">
      <c r="A43" s="251"/>
      <c r="B43" s="252"/>
    </row>
    <row r="44" ht="14.25" customHeight="1">
      <c r="A44" s="251"/>
      <c r="B44" s="252"/>
    </row>
    <row r="45" ht="14.25" customHeight="1">
      <c r="A45" s="251"/>
      <c r="B45" s="252"/>
    </row>
    <row r="46" ht="14.25" customHeight="1">
      <c r="A46" s="251"/>
      <c r="B46" s="252"/>
    </row>
    <row r="47" ht="14.25" customHeight="1">
      <c r="A47" s="251"/>
      <c r="B47" s="252"/>
    </row>
    <row r="48" ht="14.25" customHeight="1">
      <c r="A48" s="251"/>
      <c r="B48" s="252"/>
    </row>
    <row r="49" ht="14.25" customHeight="1">
      <c r="A49" s="251"/>
      <c r="B49" s="252"/>
    </row>
    <row r="50" ht="14.25" customHeight="1">
      <c r="A50" s="251"/>
      <c r="B50" s="252"/>
    </row>
    <row r="51" ht="14.25" customHeight="1">
      <c r="A51" s="251"/>
      <c r="B51" s="252"/>
    </row>
    <row r="52" ht="14.25" customHeight="1">
      <c r="A52" s="251"/>
      <c r="B52" s="252"/>
    </row>
    <row r="53" ht="14.25" customHeight="1">
      <c r="A53" s="251"/>
      <c r="B53" s="252"/>
    </row>
    <row r="54" ht="14.25" customHeight="1">
      <c r="A54" s="251"/>
      <c r="B54" s="252"/>
    </row>
    <row r="55" ht="14.25" customHeight="1">
      <c r="A55" s="251"/>
      <c r="B55" s="252"/>
    </row>
    <row r="56" ht="14.25" customHeight="1">
      <c r="A56" s="251"/>
      <c r="B56" s="252"/>
    </row>
    <row r="57" ht="14.25" customHeight="1">
      <c r="A57" s="251"/>
      <c r="B57" s="252"/>
    </row>
    <row r="58" ht="14.25" customHeight="1">
      <c r="A58" s="251"/>
      <c r="B58" s="252"/>
    </row>
    <row r="59" ht="14.25" customHeight="1">
      <c r="A59" s="251"/>
      <c r="B59" s="252"/>
    </row>
    <row r="60" ht="14.25" customHeight="1">
      <c r="A60" s="251"/>
      <c r="B60" s="252"/>
    </row>
    <row r="61" ht="14.25" customHeight="1">
      <c r="A61" s="251"/>
      <c r="B61" s="252"/>
    </row>
    <row r="62" ht="14.25" customHeight="1">
      <c r="A62" s="251"/>
      <c r="B62" s="252"/>
    </row>
    <row r="63" ht="14.25" customHeight="1">
      <c r="A63" s="251"/>
      <c r="B63" s="252"/>
    </row>
    <row r="64" ht="14.25" customHeight="1">
      <c r="A64" s="251"/>
      <c r="B64" s="252"/>
    </row>
    <row r="65" ht="14.25" customHeight="1">
      <c r="A65" s="251"/>
      <c r="B65" s="252"/>
    </row>
    <row r="66" ht="14.25" customHeight="1">
      <c r="A66" s="251"/>
      <c r="B66" s="252"/>
    </row>
    <row r="67" ht="14.25" customHeight="1">
      <c r="A67" s="251"/>
      <c r="B67" s="252"/>
    </row>
    <row r="68" ht="14.25" customHeight="1">
      <c r="A68" s="251"/>
      <c r="B68" s="252"/>
    </row>
    <row r="69" ht="14.25" customHeight="1">
      <c r="A69" s="251"/>
      <c r="B69" s="252"/>
    </row>
    <row r="70" ht="14.25" customHeight="1">
      <c r="A70" s="251"/>
      <c r="B70" s="252"/>
    </row>
    <row r="71" ht="14.25" customHeight="1">
      <c r="A71" s="251"/>
      <c r="B71" s="252"/>
    </row>
    <row r="72" ht="14.25" customHeight="1">
      <c r="A72" s="251"/>
      <c r="B72" s="252"/>
    </row>
    <row r="73" ht="14.25" customHeight="1">
      <c r="A73" s="251"/>
      <c r="B73" s="252"/>
    </row>
    <row r="74" ht="14.25" customHeight="1">
      <c r="A74" s="251"/>
      <c r="B74" s="252"/>
    </row>
    <row r="75" ht="14.25" customHeight="1">
      <c r="A75" s="251"/>
      <c r="B75" s="252"/>
    </row>
    <row r="76" ht="14.25" customHeight="1">
      <c r="A76" s="251"/>
      <c r="B76" s="252"/>
    </row>
    <row r="77" ht="14.25" customHeight="1">
      <c r="A77" s="251"/>
      <c r="B77" s="252"/>
    </row>
    <row r="78" ht="14.25" customHeight="1">
      <c r="A78" s="251"/>
      <c r="B78" s="252"/>
    </row>
    <row r="79" ht="14.25" customHeight="1">
      <c r="A79" s="251"/>
      <c r="B79" s="252"/>
    </row>
    <row r="80" ht="14.25" customHeight="1">
      <c r="A80" s="251"/>
      <c r="B80" s="252"/>
    </row>
    <row r="81" ht="14.25" customHeight="1">
      <c r="A81" s="251"/>
      <c r="B81" s="252"/>
    </row>
    <row r="82" ht="14.25" customHeight="1">
      <c r="A82" s="251"/>
      <c r="B82" s="252"/>
    </row>
    <row r="83" ht="14.25" customHeight="1">
      <c r="A83" s="251"/>
      <c r="B83" s="252"/>
    </row>
    <row r="84" ht="14.25" customHeight="1">
      <c r="A84" s="251"/>
      <c r="B84" s="252"/>
    </row>
    <row r="85" ht="14.25" customHeight="1">
      <c r="A85" s="251"/>
      <c r="B85" s="252"/>
    </row>
    <row r="86" ht="14.25" customHeight="1">
      <c r="A86" s="251"/>
      <c r="B86" s="252"/>
    </row>
    <row r="87" ht="14.25" customHeight="1">
      <c r="A87" s="251"/>
      <c r="B87" s="252"/>
    </row>
    <row r="88" ht="14.25" customHeight="1">
      <c r="A88" s="251"/>
      <c r="B88" s="252"/>
    </row>
    <row r="89" ht="14.25" customHeight="1">
      <c r="A89" s="251"/>
      <c r="B89" s="252"/>
    </row>
    <row r="90" ht="14.25" customHeight="1">
      <c r="A90" s="251"/>
      <c r="B90" s="252"/>
    </row>
    <row r="91" ht="14.25" customHeight="1">
      <c r="A91" s="251"/>
      <c r="B91" s="252"/>
    </row>
    <row r="92" ht="14.25" customHeight="1">
      <c r="A92" s="251"/>
      <c r="B92" s="252"/>
    </row>
    <row r="93" ht="14.25" customHeight="1">
      <c r="A93" s="251"/>
      <c r="B93" s="252"/>
    </row>
    <row r="94" ht="14.25" customHeight="1">
      <c r="A94" s="251"/>
      <c r="B94" s="252"/>
    </row>
    <row r="95" ht="14.25" customHeight="1">
      <c r="A95" s="251"/>
      <c r="B95" s="252"/>
    </row>
    <row r="96" ht="14.25" customHeight="1">
      <c r="A96" s="251"/>
      <c r="B96" s="252"/>
    </row>
    <row r="97" ht="14.25" customHeight="1">
      <c r="A97" s="251"/>
      <c r="B97" s="252"/>
    </row>
    <row r="98" ht="14.25" customHeight="1">
      <c r="A98" s="251"/>
      <c r="B98" s="252"/>
    </row>
    <row r="99" ht="14.25" customHeight="1">
      <c r="A99" s="251"/>
      <c r="B99" s="252"/>
    </row>
    <row r="100" ht="14.25" customHeight="1">
      <c r="A100" s="251"/>
      <c r="B100" s="252"/>
    </row>
    <row r="101" ht="14.25" customHeight="1">
      <c r="A101" s="251"/>
      <c r="B101" s="252"/>
    </row>
    <row r="102" ht="14.25" customHeight="1">
      <c r="A102" s="251"/>
      <c r="B102" s="252"/>
    </row>
    <row r="103" ht="14.25" customHeight="1">
      <c r="A103" s="251"/>
      <c r="B103" s="252"/>
    </row>
    <row r="104" ht="14.25" customHeight="1">
      <c r="A104" s="251"/>
      <c r="B104" s="252"/>
    </row>
    <row r="105" ht="14.25" customHeight="1">
      <c r="A105" s="251"/>
      <c r="B105" s="252"/>
    </row>
    <row r="106" ht="14.25" customHeight="1">
      <c r="A106" s="251"/>
      <c r="B106" s="252"/>
    </row>
    <row r="107" ht="14.25" customHeight="1">
      <c r="A107" s="251"/>
      <c r="B107" s="252"/>
    </row>
    <row r="108" ht="14.25" customHeight="1">
      <c r="A108" s="251"/>
      <c r="B108" s="252"/>
    </row>
    <row r="109" ht="14.25" customHeight="1">
      <c r="A109" s="251"/>
      <c r="B109" s="252"/>
    </row>
    <row r="110" ht="14.25" customHeight="1">
      <c r="A110" s="251"/>
      <c r="B110" s="252"/>
    </row>
    <row r="111" ht="14.25" customHeight="1">
      <c r="A111" s="251"/>
      <c r="B111" s="252"/>
    </row>
    <row r="112" ht="14.25" customHeight="1">
      <c r="A112" s="251"/>
      <c r="B112" s="252"/>
    </row>
    <row r="113" ht="14.25" customHeight="1">
      <c r="A113" s="251"/>
      <c r="B113" s="252"/>
    </row>
    <row r="114" ht="14.25" customHeight="1">
      <c r="A114" s="251"/>
      <c r="B114" s="252"/>
    </row>
    <row r="115" ht="14.25" customHeight="1">
      <c r="A115" s="251"/>
      <c r="B115" s="252"/>
    </row>
    <row r="116" ht="14.25" customHeight="1">
      <c r="A116" s="251"/>
      <c r="B116" s="252"/>
    </row>
    <row r="117" ht="14.25" customHeight="1">
      <c r="A117" s="251"/>
      <c r="B117" s="252"/>
    </row>
    <row r="118" ht="14.25" customHeight="1">
      <c r="A118" s="251"/>
      <c r="B118" s="252"/>
    </row>
    <row r="119" ht="14.25" customHeight="1">
      <c r="A119" s="251"/>
      <c r="B119" s="252"/>
    </row>
    <row r="120" ht="14.25" customHeight="1">
      <c r="A120" s="251"/>
      <c r="B120" s="252"/>
    </row>
    <row r="121" ht="14.25" customHeight="1">
      <c r="A121" s="251"/>
      <c r="B121" s="252"/>
    </row>
    <row r="122" ht="14.25" customHeight="1">
      <c r="A122" s="251"/>
      <c r="B122" s="252"/>
    </row>
    <row r="123" ht="14.25" customHeight="1">
      <c r="A123" s="251"/>
      <c r="B123" s="252"/>
    </row>
    <row r="124" ht="14.25" customHeight="1">
      <c r="A124" s="251"/>
      <c r="B124" s="252"/>
    </row>
    <row r="125" ht="14.25" customHeight="1">
      <c r="A125" s="251"/>
      <c r="B125" s="252"/>
    </row>
    <row r="126" ht="14.25" customHeight="1">
      <c r="A126" s="251"/>
      <c r="B126" s="252"/>
    </row>
    <row r="127" ht="14.25" customHeight="1">
      <c r="A127" s="251"/>
      <c r="B127" s="252"/>
    </row>
    <row r="128" ht="14.25" customHeight="1">
      <c r="A128" s="251"/>
      <c r="B128" s="252"/>
    </row>
    <row r="129" ht="14.25" customHeight="1">
      <c r="A129" s="251"/>
      <c r="B129" s="252"/>
    </row>
    <row r="130" ht="14.25" customHeight="1">
      <c r="A130" s="251"/>
      <c r="B130" s="252"/>
    </row>
    <row r="131" ht="14.25" customHeight="1">
      <c r="A131" s="251"/>
      <c r="B131" s="252"/>
    </row>
    <row r="132" ht="14.25" customHeight="1">
      <c r="A132" s="251"/>
      <c r="B132" s="252"/>
    </row>
    <row r="133" ht="14.25" customHeight="1">
      <c r="A133" s="251"/>
      <c r="B133" s="252"/>
    </row>
    <row r="134" ht="14.25" customHeight="1">
      <c r="A134" s="251"/>
      <c r="B134" s="252"/>
    </row>
    <row r="135" ht="14.25" customHeight="1">
      <c r="A135" s="251"/>
      <c r="B135" s="252"/>
    </row>
    <row r="136" ht="14.25" customHeight="1">
      <c r="A136" s="251"/>
      <c r="B136" s="252"/>
    </row>
    <row r="137" ht="14.25" customHeight="1">
      <c r="A137" s="251"/>
      <c r="B137" s="252"/>
    </row>
    <row r="138" ht="14.25" customHeight="1">
      <c r="A138" s="251"/>
      <c r="B138" s="252"/>
    </row>
    <row r="139" ht="14.25" customHeight="1">
      <c r="A139" s="251"/>
      <c r="B139" s="252"/>
    </row>
    <row r="140" ht="14.25" customHeight="1">
      <c r="A140" s="251"/>
      <c r="B140" s="252"/>
    </row>
    <row r="141" ht="14.25" customHeight="1">
      <c r="A141" s="251"/>
      <c r="B141" s="252"/>
    </row>
    <row r="142" ht="14.25" customHeight="1">
      <c r="A142" s="251"/>
      <c r="B142" s="252"/>
    </row>
    <row r="143" ht="14.25" customHeight="1">
      <c r="A143" s="251"/>
      <c r="B143" s="252"/>
    </row>
    <row r="144" ht="14.25" customHeight="1">
      <c r="A144" s="251"/>
      <c r="B144" s="252"/>
    </row>
    <row r="145" ht="14.25" customHeight="1">
      <c r="A145" s="251"/>
      <c r="B145" s="252"/>
    </row>
    <row r="146" ht="14.25" customHeight="1">
      <c r="A146" s="251"/>
      <c r="B146" s="252"/>
    </row>
    <row r="147" ht="14.25" customHeight="1">
      <c r="A147" s="251"/>
      <c r="B147" s="252"/>
    </row>
    <row r="148" ht="14.25" customHeight="1">
      <c r="A148" s="251"/>
      <c r="B148" s="252"/>
    </row>
    <row r="149" ht="14.25" customHeight="1">
      <c r="A149" s="251"/>
      <c r="B149" s="252"/>
    </row>
    <row r="150" ht="14.25" customHeight="1">
      <c r="A150" s="251"/>
      <c r="B150" s="252"/>
    </row>
    <row r="151" ht="14.25" customHeight="1">
      <c r="A151" s="251"/>
      <c r="B151" s="252"/>
    </row>
    <row r="152" ht="14.25" customHeight="1">
      <c r="A152" s="251"/>
      <c r="B152" s="252"/>
    </row>
    <row r="153" ht="14.25" customHeight="1">
      <c r="A153" s="251"/>
      <c r="B153" s="252"/>
    </row>
    <row r="154" ht="14.25" customHeight="1">
      <c r="A154" s="251"/>
      <c r="B154" s="252"/>
    </row>
    <row r="155" ht="14.25" customHeight="1">
      <c r="A155" s="251"/>
      <c r="B155" s="252"/>
    </row>
    <row r="156" ht="14.25" customHeight="1">
      <c r="A156" s="251"/>
      <c r="B156" s="252"/>
    </row>
    <row r="157" ht="14.25" customHeight="1">
      <c r="A157" s="251"/>
      <c r="B157" s="252"/>
    </row>
    <row r="158" ht="14.25" customHeight="1">
      <c r="A158" s="251"/>
      <c r="B158" s="252"/>
    </row>
    <row r="159" ht="14.25" customHeight="1">
      <c r="A159" s="251"/>
      <c r="B159" s="252"/>
    </row>
    <row r="160" ht="14.25" customHeight="1">
      <c r="A160" s="251"/>
      <c r="B160" s="252"/>
    </row>
    <row r="161" ht="14.25" customHeight="1">
      <c r="A161" s="251"/>
      <c r="B161" s="252"/>
    </row>
    <row r="162" ht="14.25" customHeight="1">
      <c r="A162" s="251"/>
      <c r="B162" s="252"/>
    </row>
    <row r="163" ht="14.25" customHeight="1">
      <c r="A163" s="251"/>
      <c r="B163" s="252"/>
    </row>
    <row r="164" ht="14.25" customHeight="1">
      <c r="A164" s="251"/>
      <c r="B164" s="252"/>
    </row>
    <row r="165" ht="14.25" customHeight="1">
      <c r="A165" s="251"/>
      <c r="B165" s="252"/>
    </row>
    <row r="166" ht="14.25" customHeight="1">
      <c r="A166" s="251"/>
      <c r="B166" s="252"/>
    </row>
    <row r="167" ht="14.25" customHeight="1">
      <c r="A167" s="251"/>
      <c r="B167" s="252"/>
    </row>
    <row r="168" ht="14.25" customHeight="1">
      <c r="A168" s="251"/>
      <c r="B168" s="252"/>
    </row>
    <row r="169" ht="14.25" customHeight="1">
      <c r="A169" s="251"/>
      <c r="B169" s="252"/>
    </row>
    <row r="170" ht="14.25" customHeight="1">
      <c r="A170" s="251"/>
      <c r="B170" s="252"/>
    </row>
    <row r="171" ht="14.25" customHeight="1">
      <c r="A171" s="251"/>
      <c r="B171" s="252"/>
    </row>
    <row r="172" ht="14.25" customHeight="1">
      <c r="A172" s="251"/>
      <c r="B172" s="252"/>
    </row>
    <row r="173" ht="14.25" customHeight="1">
      <c r="A173" s="251"/>
      <c r="B173" s="252"/>
    </row>
    <row r="174" ht="14.25" customHeight="1">
      <c r="A174" s="251"/>
      <c r="B174" s="252"/>
    </row>
    <row r="175" ht="14.25" customHeight="1">
      <c r="A175" s="251"/>
      <c r="B175" s="252"/>
    </row>
    <row r="176" ht="14.25" customHeight="1">
      <c r="A176" s="251"/>
      <c r="B176" s="252"/>
    </row>
    <row r="177" ht="14.25" customHeight="1">
      <c r="A177" s="251"/>
      <c r="B177" s="252"/>
    </row>
    <row r="178" ht="14.25" customHeight="1">
      <c r="A178" s="251"/>
      <c r="B178" s="252"/>
    </row>
    <row r="179" ht="14.25" customHeight="1">
      <c r="A179" s="251"/>
      <c r="B179" s="252"/>
    </row>
    <row r="180" ht="14.25" customHeight="1">
      <c r="A180" s="251"/>
      <c r="B180" s="252"/>
    </row>
    <row r="181" ht="14.25" customHeight="1">
      <c r="A181" s="251"/>
      <c r="B181" s="252"/>
    </row>
    <row r="182" ht="14.25" customHeight="1">
      <c r="A182" s="251"/>
      <c r="B182" s="252"/>
    </row>
    <row r="183" ht="14.25" customHeight="1">
      <c r="A183" s="251"/>
      <c r="B183" s="252"/>
    </row>
    <row r="184" ht="14.25" customHeight="1">
      <c r="A184" s="251"/>
      <c r="B184" s="252"/>
    </row>
    <row r="185" ht="14.25" customHeight="1">
      <c r="A185" s="251"/>
      <c r="B185" s="252"/>
    </row>
    <row r="186" ht="14.25" customHeight="1">
      <c r="A186" s="251"/>
      <c r="B186" s="252"/>
    </row>
    <row r="187" ht="14.25" customHeight="1">
      <c r="A187" s="251"/>
      <c r="B187" s="252"/>
    </row>
    <row r="188" ht="14.25" customHeight="1">
      <c r="A188" s="251"/>
      <c r="B188" s="252"/>
    </row>
    <row r="189" ht="14.25" customHeight="1">
      <c r="A189" s="251"/>
      <c r="B189" s="252"/>
    </row>
    <row r="190" ht="14.25" customHeight="1">
      <c r="A190" s="251"/>
      <c r="B190" s="252"/>
    </row>
    <row r="191" ht="14.25" customHeight="1">
      <c r="A191" s="251"/>
      <c r="B191" s="252"/>
    </row>
    <row r="192" ht="14.25" customHeight="1">
      <c r="A192" s="251"/>
      <c r="B192" s="252"/>
    </row>
    <row r="193" ht="14.25" customHeight="1">
      <c r="A193" s="251"/>
      <c r="B193" s="252"/>
    </row>
    <row r="194" ht="14.25" customHeight="1">
      <c r="A194" s="251"/>
      <c r="B194" s="252"/>
    </row>
    <row r="195" ht="14.25" customHeight="1">
      <c r="A195" s="251"/>
      <c r="B195" s="252"/>
    </row>
    <row r="196" ht="14.25" customHeight="1">
      <c r="A196" s="251"/>
      <c r="B196" s="252"/>
    </row>
    <row r="197" ht="14.25" customHeight="1">
      <c r="A197" s="251"/>
      <c r="B197" s="252"/>
    </row>
    <row r="198" ht="14.25" customHeight="1">
      <c r="A198" s="251"/>
      <c r="B198" s="252"/>
    </row>
    <row r="199" ht="14.25" customHeight="1">
      <c r="A199" s="251"/>
      <c r="B199" s="252"/>
    </row>
    <row r="200" ht="14.25" customHeight="1">
      <c r="A200" s="251"/>
      <c r="B200" s="252"/>
    </row>
    <row r="201" ht="14.25" customHeight="1">
      <c r="A201" s="251"/>
      <c r="B201" s="252"/>
    </row>
    <row r="202" ht="14.25" customHeight="1">
      <c r="A202" s="251"/>
      <c r="B202" s="252"/>
    </row>
    <row r="203" ht="14.25" customHeight="1">
      <c r="A203" s="251"/>
      <c r="B203" s="252"/>
    </row>
    <row r="204" ht="14.25" customHeight="1">
      <c r="A204" s="251"/>
      <c r="B204" s="252"/>
    </row>
    <row r="205" ht="14.25" customHeight="1">
      <c r="A205" s="251"/>
      <c r="B205" s="252"/>
    </row>
    <row r="206" ht="14.25" customHeight="1">
      <c r="A206" s="251"/>
      <c r="B206" s="252"/>
    </row>
    <row r="207" ht="14.25" customHeight="1">
      <c r="A207" s="251"/>
      <c r="B207" s="252"/>
    </row>
    <row r="208" ht="14.25" customHeight="1">
      <c r="A208" s="251"/>
      <c r="B208" s="252"/>
    </row>
    <row r="209" ht="14.25" customHeight="1">
      <c r="A209" s="251"/>
      <c r="B209" s="252"/>
    </row>
    <row r="210" ht="14.25" customHeight="1">
      <c r="A210" s="251"/>
      <c r="B210" s="252"/>
    </row>
    <row r="211" ht="14.25" customHeight="1">
      <c r="A211" s="251"/>
      <c r="B211" s="252"/>
    </row>
    <row r="212" ht="14.25" customHeight="1">
      <c r="A212" s="251"/>
      <c r="B212" s="252"/>
    </row>
    <row r="213" ht="14.25" customHeight="1">
      <c r="A213" s="251"/>
      <c r="B213" s="252"/>
    </row>
    <row r="214" ht="14.25" customHeight="1">
      <c r="A214" s="251"/>
      <c r="B214" s="252"/>
    </row>
    <row r="215" ht="14.25" customHeight="1">
      <c r="A215" s="251"/>
      <c r="B215" s="252"/>
    </row>
    <row r="216" ht="14.25" customHeight="1">
      <c r="A216" s="251"/>
      <c r="B216" s="252"/>
    </row>
    <row r="217" ht="14.25" customHeight="1">
      <c r="A217" s="251"/>
      <c r="B217" s="252"/>
    </row>
    <row r="218" ht="14.25" customHeight="1">
      <c r="A218" s="251"/>
      <c r="B218" s="252"/>
    </row>
    <row r="219" ht="14.25" customHeight="1">
      <c r="A219" s="251"/>
      <c r="B219" s="252"/>
    </row>
    <row r="220" ht="14.25" customHeight="1">
      <c r="A220" s="251"/>
      <c r="B220" s="252"/>
    </row>
    <row r="221" ht="14.25" customHeight="1">
      <c r="A221" s="251"/>
      <c r="B221" s="252"/>
    </row>
    <row r="222" ht="14.25" customHeight="1">
      <c r="A222" s="251"/>
      <c r="B222" s="252"/>
    </row>
    <row r="223" ht="14.25" customHeight="1">
      <c r="A223" s="251"/>
      <c r="B223" s="252"/>
    </row>
    <row r="224" ht="14.25" customHeight="1">
      <c r="A224" s="251"/>
      <c r="B224" s="252"/>
    </row>
    <row r="225" ht="14.25" customHeight="1">
      <c r="A225" s="251"/>
      <c r="B225" s="252"/>
    </row>
    <row r="226" ht="14.25" customHeight="1">
      <c r="A226" s="251"/>
      <c r="B226" s="252"/>
    </row>
    <row r="227" ht="14.25" customHeight="1">
      <c r="A227" s="251"/>
      <c r="B227" s="252"/>
    </row>
    <row r="228" ht="14.25" customHeight="1">
      <c r="A228" s="251"/>
      <c r="B228" s="252"/>
    </row>
    <row r="229" ht="14.25" customHeight="1">
      <c r="A229" s="251"/>
      <c r="B229" s="252"/>
    </row>
    <row r="230" ht="14.25" customHeight="1">
      <c r="A230" s="251"/>
      <c r="B230" s="252"/>
    </row>
    <row r="231" ht="14.25" customHeight="1">
      <c r="A231" s="251"/>
      <c r="B231" s="252"/>
    </row>
    <row r="232" ht="14.25" customHeight="1">
      <c r="A232" s="251"/>
      <c r="B232" s="252"/>
    </row>
    <row r="233" ht="14.25" customHeight="1">
      <c r="A233" s="251"/>
      <c r="B233" s="252"/>
    </row>
    <row r="234" ht="14.25" customHeight="1">
      <c r="A234" s="251"/>
      <c r="B234" s="252"/>
    </row>
    <row r="235" ht="14.25" customHeight="1">
      <c r="A235" s="251"/>
      <c r="B235" s="252"/>
    </row>
    <row r="236" ht="14.25" customHeight="1">
      <c r="A236" s="251"/>
      <c r="B236" s="252"/>
    </row>
    <row r="237" ht="14.25" customHeight="1">
      <c r="A237" s="251"/>
      <c r="B237" s="252"/>
    </row>
    <row r="238" ht="14.25" customHeight="1">
      <c r="A238" s="251"/>
      <c r="B238" s="252"/>
    </row>
    <row r="239" ht="14.25" customHeight="1">
      <c r="A239" s="251"/>
      <c r="B239" s="252"/>
    </row>
    <row r="240" ht="14.25" customHeight="1">
      <c r="A240" s="251"/>
      <c r="B240" s="252"/>
    </row>
    <row r="241" ht="14.25" customHeight="1">
      <c r="A241" s="251"/>
      <c r="B241" s="252"/>
    </row>
    <row r="242" ht="14.25" customHeight="1">
      <c r="A242" s="251"/>
      <c r="B242" s="252"/>
    </row>
    <row r="243" ht="14.25" customHeight="1">
      <c r="A243" s="251"/>
      <c r="B243" s="252"/>
    </row>
    <row r="244" ht="14.25" customHeight="1">
      <c r="A244" s="251"/>
      <c r="B244" s="252"/>
    </row>
    <row r="245" ht="14.25" customHeight="1">
      <c r="A245" s="251"/>
      <c r="B245" s="252"/>
    </row>
    <row r="246" ht="14.25" customHeight="1">
      <c r="A246" s="251"/>
      <c r="B246" s="252"/>
    </row>
    <row r="247" ht="14.25" customHeight="1">
      <c r="A247" s="251"/>
      <c r="B247" s="252"/>
    </row>
    <row r="248" ht="14.25" customHeight="1">
      <c r="A248" s="251"/>
      <c r="B248" s="252"/>
    </row>
    <row r="249" ht="14.25" customHeight="1">
      <c r="A249" s="251"/>
      <c r="B249" s="252"/>
    </row>
    <row r="250" ht="14.25" customHeight="1">
      <c r="A250" s="251"/>
      <c r="B250" s="252"/>
    </row>
    <row r="251" ht="14.25" customHeight="1">
      <c r="A251" s="251"/>
      <c r="B251" s="252"/>
    </row>
    <row r="252" ht="14.25" customHeight="1">
      <c r="A252" s="251"/>
      <c r="B252" s="252"/>
    </row>
    <row r="253" ht="14.25" customHeight="1">
      <c r="A253" s="251"/>
      <c r="B253" s="252"/>
    </row>
    <row r="254" ht="14.25" customHeight="1">
      <c r="A254" s="251"/>
      <c r="B254" s="252"/>
    </row>
    <row r="255" ht="14.25" customHeight="1">
      <c r="A255" s="251"/>
      <c r="B255" s="252"/>
    </row>
    <row r="256" ht="14.25" customHeight="1">
      <c r="A256" s="251"/>
      <c r="B256" s="252"/>
    </row>
    <row r="257" ht="14.25" customHeight="1">
      <c r="A257" s="251"/>
      <c r="B257" s="252"/>
    </row>
    <row r="258" ht="14.25" customHeight="1">
      <c r="A258" s="251"/>
      <c r="B258" s="252"/>
    </row>
    <row r="259" ht="14.25" customHeight="1">
      <c r="A259" s="251"/>
      <c r="B259" s="252"/>
    </row>
    <row r="260" ht="14.25" customHeight="1">
      <c r="A260" s="251"/>
      <c r="B260" s="252"/>
    </row>
    <row r="261" ht="14.25" customHeight="1">
      <c r="A261" s="251"/>
      <c r="B261" s="252"/>
    </row>
    <row r="262" ht="14.25" customHeight="1">
      <c r="A262" s="251"/>
      <c r="B262" s="252"/>
    </row>
    <row r="263" ht="14.25" customHeight="1">
      <c r="A263" s="251"/>
      <c r="B263" s="252"/>
    </row>
    <row r="264" ht="14.25" customHeight="1">
      <c r="A264" s="251"/>
      <c r="B264" s="252"/>
    </row>
    <row r="265" ht="14.25" customHeight="1">
      <c r="A265" s="251"/>
      <c r="B265" s="252"/>
    </row>
    <row r="266" ht="14.25" customHeight="1">
      <c r="A266" s="251"/>
      <c r="B266" s="252"/>
    </row>
    <row r="267" ht="14.25" customHeight="1">
      <c r="A267" s="251"/>
      <c r="B267" s="252"/>
    </row>
    <row r="268" ht="14.25" customHeight="1">
      <c r="A268" s="251"/>
      <c r="B268" s="252"/>
    </row>
    <row r="269" ht="14.25" customHeight="1">
      <c r="A269" s="251"/>
      <c r="B269" s="252"/>
    </row>
    <row r="270" ht="14.25" customHeight="1">
      <c r="A270" s="251"/>
      <c r="B270" s="252"/>
    </row>
    <row r="271" ht="14.25" customHeight="1">
      <c r="A271" s="251"/>
      <c r="B271" s="252"/>
    </row>
    <row r="272" ht="14.25" customHeight="1">
      <c r="A272" s="251"/>
      <c r="B272" s="252"/>
    </row>
    <row r="273" ht="14.25" customHeight="1">
      <c r="A273" s="251"/>
      <c r="B273" s="252"/>
    </row>
    <row r="274" ht="14.25" customHeight="1">
      <c r="A274" s="251"/>
      <c r="B274" s="252"/>
    </row>
    <row r="275" ht="14.25" customHeight="1">
      <c r="A275" s="251"/>
      <c r="B275" s="252"/>
    </row>
    <row r="276" ht="14.25" customHeight="1">
      <c r="A276" s="251"/>
      <c r="B276" s="252"/>
    </row>
    <row r="277" ht="14.25" customHeight="1">
      <c r="A277" s="251"/>
      <c r="B277" s="252"/>
    </row>
    <row r="278" ht="14.25" customHeight="1">
      <c r="A278" s="251"/>
      <c r="B278" s="252"/>
    </row>
    <row r="279" ht="14.25" customHeight="1">
      <c r="A279" s="251"/>
      <c r="B279" s="252"/>
    </row>
    <row r="280" ht="14.25" customHeight="1">
      <c r="A280" s="251"/>
      <c r="B280" s="252"/>
    </row>
    <row r="281" ht="14.25" customHeight="1">
      <c r="A281" s="251"/>
      <c r="B281" s="252"/>
    </row>
    <row r="282" ht="14.25" customHeight="1">
      <c r="A282" s="251"/>
      <c r="B282" s="252"/>
    </row>
    <row r="283" ht="14.25" customHeight="1">
      <c r="A283" s="251"/>
      <c r="B283" s="252"/>
    </row>
    <row r="284" ht="14.25" customHeight="1">
      <c r="A284" s="251"/>
      <c r="B284" s="252"/>
    </row>
    <row r="285" ht="14.25" customHeight="1">
      <c r="A285" s="251"/>
      <c r="B285" s="252"/>
    </row>
    <row r="286" ht="14.25" customHeight="1">
      <c r="A286" s="251"/>
      <c r="B286" s="252"/>
    </row>
    <row r="287" ht="14.25" customHeight="1">
      <c r="A287" s="251"/>
      <c r="B287" s="252"/>
    </row>
    <row r="288" ht="14.25" customHeight="1">
      <c r="A288" s="251"/>
      <c r="B288" s="252"/>
    </row>
    <row r="289" ht="14.25" customHeight="1">
      <c r="A289" s="251"/>
      <c r="B289" s="252"/>
    </row>
    <row r="290" ht="14.25" customHeight="1">
      <c r="A290" s="251"/>
      <c r="B290" s="252"/>
    </row>
    <row r="291" ht="14.25" customHeight="1">
      <c r="A291" s="251"/>
      <c r="B291" s="252"/>
    </row>
    <row r="292" ht="14.25" customHeight="1">
      <c r="A292" s="251"/>
      <c r="B292" s="252"/>
    </row>
    <row r="293" ht="14.25" customHeight="1">
      <c r="A293" s="251"/>
      <c r="B293" s="252"/>
    </row>
    <row r="294" ht="14.25" customHeight="1">
      <c r="A294" s="251"/>
      <c r="B294" s="252"/>
    </row>
    <row r="295" ht="14.25" customHeight="1">
      <c r="A295" s="251"/>
      <c r="B295" s="252"/>
    </row>
    <row r="296" ht="14.25" customHeight="1">
      <c r="A296" s="251"/>
      <c r="B296" s="252"/>
    </row>
    <row r="297" ht="14.25" customHeight="1">
      <c r="A297" s="251"/>
      <c r="B297" s="252"/>
    </row>
    <row r="298" ht="14.25" customHeight="1">
      <c r="A298" s="251"/>
      <c r="B298" s="252"/>
    </row>
    <row r="299" ht="14.25" customHeight="1">
      <c r="A299" s="251"/>
      <c r="B299" s="252"/>
    </row>
    <row r="300" ht="14.25" customHeight="1">
      <c r="A300" s="251"/>
      <c r="B300" s="252"/>
    </row>
    <row r="301" ht="14.25" customHeight="1">
      <c r="A301" s="251"/>
      <c r="B301" s="252"/>
    </row>
    <row r="302" ht="14.25" customHeight="1">
      <c r="A302" s="251"/>
      <c r="B302" s="252"/>
    </row>
    <row r="303" ht="14.25" customHeight="1">
      <c r="A303" s="251"/>
      <c r="B303" s="252"/>
    </row>
    <row r="304" ht="14.25" customHeight="1">
      <c r="A304" s="251"/>
      <c r="B304" s="252"/>
    </row>
    <row r="305" ht="14.25" customHeight="1">
      <c r="A305" s="251"/>
      <c r="B305" s="252"/>
    </row>
    <row r="306" ht="14.25" customHeight="1">
      <c r="A306" s="251"/>
      <c r="B306" s="252"/>
    </row>
    <row r="307" ht="14.25" customHeight="1">
      <c r="A307" s="251"/>
      <c r="B307" s="252"/>
    </row>
    <row r="308" ht="14.25" customHeight="1">
      <c r="A308" s="251"/>
      <c r="B308" s="252"/>
    </row>
    <row r="309" ht="14.25" customHeight="1">
      <c r="A309" s="251"/>
      <c r="B309" s="252"/>
    </row>
    <row r="310" ht="14.25" customHeight="1">
      <c r="A310" s="251"/>
      <c r="B310" s="252"/>
    </row>
    <row r="311" ht="14.25" customHeight="1">
      <c r="A311" s="251"/>
      <c r="B311" s="252"/>
    </row>
    <row r="312" ht="14.25" customHeight="1">
      <c r="A312" s="251"/>
      <c r="B312" s="252"/>
    </row>
    <row r="313" ht="14.25" customHeight="1">
      <c r="A313" s="251"/>
      <c r="B313" s="252"/>
    </row>
    <row r="314" ht="14.25" customHeight="1">
      <c r="A314" s="251"/>
      <c r="B314" s="252"/>
    </row>
    <row r="315" ht="14.25" customHeight="1">
      <c r="A315" s="251"/>
      <c r="B315" s="252"/>
    </row>
    <row r="316" ht="14.25" customHeight="1">
      <c r="A316" s="251"/>
      <c r="B316" s="252"/>
    </row>
    <row r="317" ht="14.25" customHeight="1">
      <c r="A317" s="251"/>
      <c r="B317" s="252"/>
    </row>
    <row r="318" ht="14.25" customHeight="1">
      <c r="A318" s="251"/>
      <c r="B318" s="252"/>
    </row>
    <row r="319" ht="14.25" customHeight="1">
      <c r="A319" s="251"/>
      <c r="B319" s="252"/>
    </row>
    <row r="320" ht="14.25" customHeight="1">
      <c r="A320" s="251"/>
      <c r="B320" s="252"/>
    </row>
    <row r="321" ht="14.25" customHeight="1">
      <c r="A321" s="251"/>
      <c r="B321" s="252"/>
    </row>
    <row r="322" ht="14.25" customHeight="1">
      <c r="A322" s="251"/>
      <c r="B322" s="252"/>
    </row>
    <row r="323" ht="14.25" customHeight="1">
      <c r="A323" s="251"/>
      <c r="B323" s="252"/>
    </row>
    <row r="324" ht="14.25" customHeight="1">
      <c r="A324" s="251"/>
      <c r="B324" s="252"/>
    </row>
    <row r="325" ht="14.25" customHeight="1">
      <c r="A325" s="251"/>
      <c r="B325" s="252"/>
    </row>
    <row r="326" ht="14.25" customHeight="1">
      <c r="A326" s="251"/>
      <c r="B326" s="252"/>
    </row>
    <row r="327" ht="14.25" customHeight="1">
      <c r="A327" s="251"/>
      <c r="B327" s="252"/>
    </row>
    <row r="328" ht="14.25" customHeight="1">
      <c r="A328" s="251"/>
      <c r="B328" s="252"/>
    </row>
    <row r="329" ht="14.25" customHeight="1">
      <c r="A329" s="251"/>
      <c r="B329" s="252"/>
    </row>
    <row r="330" ht="14.25" customHeight="1">
      <c r="A330" s="251"/>
      <c r="B330" s="252"/>
    </row>
    <row r="331" ht="14.25" customHeight="1">
      <c r="A331" s="251"/>
      <c r="B331" s="252"/>
    </row>
    <row r="332" ht="14.25" customHeight="1">
      <c r="A332" s="251"/>
      <c r="B332" s="252"/>
    </row>
    <row r="333" ht="14.25" customHeight="1">
      <c r="A333" s="251"/>
      <c r="B333" s="252"/>
    </row>
    <row r="334" ht="14.25" customHeight="1">
      <c r="A334" s="251"/>
      <c r="B334" s="252"/>
    </row>
    <row r="335" ht="14.25" customHeight="1">
      <c r="A335" s="251"/>
      <c r="B335" s="252"/>
    </row>
    <row r="336" ht="14.25" customHeight="1">
      <c r="A336" s="251"/>
      <c r="B336" s="252"/>
    </row>
    <row r="337" ht="14.25" customHeight="1">
      <c r="A337" s="251"/>
      <c r="B337" s="252"/>
    </row>
    <row r="338" ht="14.25" customHeight="1">
      <c r="A338" s="251"/>
      <c r="B338" s="252"/>
    </row>
    <row r="339" ht="14.25" customHeight="1">
      <c r="A339" s="251"/>
      <c r="B339" s="252"/>
    </row>
    <row r="340" ht="14.25" customHeight="1">
      <c r="A340" s="251"/>
      <c r="B340" s="252"/>
    </row>
    <row r="341" ht="14.25" customHeight="1">
      <c r="A341" s="251"/>
      <c r="B341" s="252"/>
    </row>
    <row r="342" ht="14.25" customHeight="1">
      <c r="A342" s="251"/>
      <c r="B342" s="252"/>
    </row>
    <row r="343" ht="14.25" customHeight="1">
      <c r="A343" s="251"/>
      <c r="B343" s="252"/>
    </row>
    <row r="344" ht="14.25" customHeight="1">
      <c r="A344" s="251"/>
      <c r="B344" s="252"/>
    </row>
    <row r="345" ht="14.25" customHeight="1">
      <c r="A345" s="251"/>
      <c r="B345" s="252"/>
    </row>
    <row r="346" ht="14.25" customHeight="1">
      <c r="A346" s="251"/>
      <c r="B346" s="252"/>
    </row>
    <row r="347" ht="14.25" customHeight="1">
      <c r="A347" s="251"/>
      <c r="B347" s="252"/>
    </row>
    <row r="348" ht="14.25" customHeight="1">
      <c r="A348" s="251"/>
      <c r="B348" s="252"/>
    </row>
    <row r="349" ht="14.25" customHeight="1">
      <c r="A349" s="251"/>
      <c r="B349" s="252"/>
    </row>
    <row r="350" ht="14.25" customHeight="1">
      <c r="A350" s="251"/>
      <c r="B350" s="252"/>
    </row>
    <row r="351" ht="14.25" customHeight="1">
      <c r="A351" s="251"/>
      <c r="B351" s="252"/>
    </row>
    <row r="352" ht="14.25" customHeight="1">
      <c r="A352" s="251"/>
      <c r="B352" s="252"/>
    </row>
    <row r="353" ht="14.25" customHeight="1">
      <c r="A353" s="251"/>
      <c r="B353" s="252"/>
    </row>
    <row r="354" ht="14.25" customHeight="1">
      <c r="A354" s="251"/>
      <c r="B354" s="252"/>
    </row>
    <row r="355" ht="14.25" customHeight="1">
      <c r="A355" s="251"/>
      <c r="B355" s="252"/>
    </row>
    <row r="356" ht="14.25" customHeight="1">
      <c r="A356" s="251"/>
      <c r="B356" s="252"/>
    </row>
    <row r="357" ht="14.25" customHeight="1">
      <c r="A357" s="251"/>
      <c r="B357" s="252"/>
    </row>
    <row r="358" ht="14.25" customHeight="1">
      <c r="A358" s="251"/>
      <c r="B358" s="252"/>
    </row>
    <row r="359" ht="14.25" customHeight="1">
      <c r="A359" s="251"/>
      <c r="B359" s="252"/>
    </row>
    <row r="360" ht="14.25" customHeight="1">
      <c r="A360" s="251"/>
      <c r="B360" s="252"/>
    </row>
    <row r="361" ht="14.25" customHeight="1">
      <c r="A361" s="251"/>
      <c r="B361" s="252"/>
    </row>
    <row r="362" ht="14.25" customHeight="1">
      <c r="A362" s="251"/>
      <c r="B362" s="252"/>
    </row>
    <row r="363" ht="14.25" customHeight="1">
      <c r="A363" s="251"/>
      <c r="B363" s="252"/>
    </row>
    <row r="364" ht="14.25" customHeight="1">
      <c r="A364" s="251"/>
      <c r="B364" s="252"/>
    </row>
    <row r="365" ht="14.25" customHeight="1">
      <c r="A365" s="251"/>
      <c r="B365" s="252"/>
    </row>
    <row r="366" ht="14.25" customHeight="1">
      <c r="A366" s="251"/>
      <c r="B366" s="252"/>
    </row>
    <row r="367" ht="14.25" customHeight="1">
      <c r="A367" s="251"/>
      <c r="B367" s="252"/>
    </row>
    <row r="368" ht="14.25" customHeight="1">
      <c r="A368" s="251"/>
      <c r="B368" s="252"/>
    </row>
    <row r="369" ht="14.25" customHeight="1">
      <c r="A369" s="251"/>
      <c r="B369" s="252"/>
    </row>
    <row r="370" ht="14.25" customHeight="1">
      <c r="A370" s="251"/>
      <c r="B370" s="252"/>
    </row>
    <row r="371" ht="14.25" customHeight="1">
      <c r="A371" s="251"/>
      <c r="B371" s="252"/>
    </row>
    <row r="372" ht="14.25" customHeight="1">
      <c r="A372" s="251"/>
      <c r="B372" s="252"/>
    </row>
    <row r="373" ht="14.25" customHeight="1">
      <c r="A373" s="251"/>
      <c r="B373" s="252"/>
    </row>
    <row r="374" ht="14.25" customHeight="1">
      <c r="A374" s="251"/>
      <c r="B374" s="252"/>
    </row>
    <row r="375" ht="14.25" customHeight="1">
      <c r="A375" s="251"/>
      <c r="B375" s="252"/>
    </row>
    <row r="376" ht="14.25" customHeight="1">
      <c r="A376" s="251"/>
      <c r="B376" s="252"/>
    </row>
    <row r="377" ht="14.25" customHeight="1">
      <c r="A377" s="251"/>
      <c r="B377" s="252"/>
    </row>
    <row r="378" ht="14.25" customHeight="1">
      <c r="A378" s="251"/>
      <c r="B378" s="252"/>
    </row>
    <row r="379" ht="14.25" customHeight="1">
      <c r="A379" s="251"/>
      <c r="B379" s="252"/>
    </row>
    <row r="380" ht="14.25" customHeight="1">
      <c r="A380" s="251"/>
      <c r="B380" s="252"/>
    </row>
    <row r="381" ht="14.25" customHeight="1">
      <c r="A381" s="251"/>
      <c r="B381" s="252"/>
    </row>
    <row r="382" ht="14.25" customHeight="1">
      <c r="A382" s="251"/>
      <c r="B382" s="252"/>
    </row>
    <row r="383" ht="14.25" customHeight="1">
      <c r="A383" s="251"/>
      <c r="B383" s="252"/>
    </row>
    <row r="384" ht="14.25" customHeight="1">
      <c r="A384" s="251"/>
      <c r="B384" s="252"/>
    </row>
    <row r="385" ht="14.25" customHeight="1">
      <c r="A385" s="251"/>
      <c r="B385" s="252"/>
    </row>
    <row r="386" ht="14.25" customHeight="1">
      <c r="A386" s="251"/>
      <c r="B386" s="252"/>
    </row>
    <row r="387" ht="14.25" customHeight="1">
      <c r="A387" s="251"/>
      <c r="B387" s="252"/>
    </row>
    <row r="388" ht="14.25" customHeight="1">
      <c r="A388" s="251"/>
      <c r="B388" s="252"/>
    </row>
    <row r="389" ht="14.25" customHeight="1">
      <c r="A389" s="251"/>
      <c r="B389" s="252"/>
    </row>
    <row r="390" ht="14.25" customHeight="1">
      <c r="A390" s="251"/>
      <c r="B390" s="252"/>
    </row>
    <row r="391" ht="14.25" customHeight="1">
      <c r="A391" s="251"/>
      <c r="B391" s="252"/>
    </row>
    <row r="392" ht="14.25" customHeight="1">
      <c r="A392" s="251"/>
      <c r="B392" s="252"/>
    </row>
    <row r="393" ht="14.25" customHeight="1">
      <c r="A393" s="251"/>
      <c r="B393" s="252"/>
    </row>
    <row r="394" ht="14.25" customHeight="1">
      <c r="A394" s="251"/>
      <c r="B394" s="252"/>
    </row>
    <row r="395" ht="14.25" customHeight="1">
      <c r="A395" s="251"/>
      <c r="B395" s="252"/>
    </row>
    <row r="396" ht="14.25" customHeight="1">
      <c r="A396" s="251"/>
      <c r="B396" s="252"/>
    </row>
    <row r="397" ht="14.25" customHeight="1">
      <c r="A397" s="251"/>
      <c r="B397" s="252"/>
    </row>
    <row r="398" ht="14.25" customHeight="1">
      <c r="A398" s="251"/>
      <c r="B398" s="252"/>
    </row>
    <row r="399" ht="14.25" customHeight="1">
      <c r="A399" s="251"/>
      <c r="B399" s="252"/>
    </row>
    <row r="400" ht="14.25" customHeight="1">
      <c r="A400" s="251"/>
      <c r="B400" s="252"/>
    </row>
    <row r="401" ht="14.25" customHeight="1">
      <c r="A401" s="251"/>
      <c r="B401" s="252"/>
    </row>
    <row r="402" ht="14.25" customHeight="1">
      <c r="A402" s="251"/>
      <c r="B402" s="252"/>
    </row>
    <row r="403" ht="14.25" customHeight="1">
      <c r="A403" s="251"/>
      <c r="B403" s="252"/>
    </row>
    <row r="404" ht="14.25" customHeight="1">
      <c r="A404" s="251"/>
      <c r="B404" s="252"/>
    </row>
    <row r="405" ht="14.25" customHeight="1">
      <c r="A405" s="251"/>
      <c r="B405" s="252"/>
    </row>
    <row r="406" ht="14.25" customHeight="1">
      <c r="A406" s="251"/>
      <c r="B406" s="252"/>
    </row>
    <row r="407" ht="14.25" customHeight="1">
      <c r="A407" s="251"/>
      <c r="B407" s="252"/>
    </row>
    <row r="408" ht="14.25" customHeight="1">
      <c r="A408" s="251"/>
      <c r="B408" s="252"/>
    </row>
    <row r="409" ht="14.25" customHeight="1">
      <c r="A409" s="251"/>
      <c r="B409" s="252"/>
    </row>
    <row r="410" ht="14.25" customHeight="1">
      <c r="A410" s="251"/>
      <c r="B410" s="252"/>
    </row>
    <row r="411" ht="14.25" customHeight="1">
      <c r="A411" s="251"/>
      <c r="B411" s="252"/>
    </row>
    <row r="412" ht="14.25" customHeight="1">
      <c r="A412" s="251"/>
      <c r="B412" s="252"/>
    </row>
    <row r="413" ht="14.25" customHeight="1">
      <c r="A413" s="251"/>
      <c r="B413" s="252"/>
    </row>
    <row r="414" ht="14.25" customHeight="1">
      <c r="A414" s="251"/>
      <c r="B414" s="252"/>
    </row>
    <row r="415" ht="14.25" customHeight="1">
      <c r="A415" s="251"/>
      <c r="B415" s="252"/>
    </row>
    <row r="416" ht="14.25" customHeight="1">
      <c r="A416" s="251"/>
      <c r="B416" s="252"/>
    </row>
    <row r="417" ht="14.25" customHeight="1">
      <c r="A417" s="251"/>
      <c r="B417" s="252"/>
    </row>
    <row r="418" ht="14.25" customHeight="1">
      <c r="A418" s="251"/>
      <c r="B418" s="252"/>
    </row>
    <row r="419" ht="14.25" customHeight="1">
      <c r="A419" s="251"/>
      <c r="B419" s="252"/>
    </row>
    <row r="420" ht="14.25" customHeight="1">
      <c r="A420" s="251"/>
      <c r="B420" s="252"/>
    </row>
    <row r="421" ht="14.25" customHeight="1">
      <c r="A421" s="251"/>
      <c r="B421" s="252"/>
    </row>
    <row r="422" ht="14.25" customHeight="1">
      <c r="A422" s="251"/>
      <c r="B422" s="252"/>
    </row>
    <row r="423" ht="14.25" customHeight="1">
      <c r="A423" s="251"/>
      <c r="B423" s="252"/>
    </row>
    <row r="424" ht="14.25" customHeight="1">
      <c r="A424" s="251"/>
      <c r="B424" s="252"/>
    </row>
    <row r="425" ht="14.25" customHeight="1">
      <c r="A425" s="251"/>
      <c r="B425" s="252"/>
    </row>
    <row r="426" ht="14.25" customHeight="1">
      <c r="A426" s="251"/>
      <c r="B426" s="252"/>
    </row>
    <row r="427" ht="14.25" customHeight="1">
      <c r="A427" s="251"/>
      <c r="B427" s="252"/>
    </row>
    <row r="428" ht="14.25" customHeight="1">
      <c r="A428" s="251"/>
      <c r="B428" s="252"/>
    </row>
    <row r="429" ht="14.25" customHeight="1">
      <c r="A429" s="251"/>
      <c r="B429" s="252"/>
    </row>
    <row r="430" ht="14.25" customHeight="1">
      <c r="A430" s="251"/>
      <c r="B430" s="252"/>
    </row>
    <row r="431" ht="14.25" customHeight="1">
      <c r="A431" s="251"/>
      <c r="B431" s="252"/>
    </row>
    <row r="432" ht="14.25" customHeight="1">
      <c r="A432" s="251"/>
      <c r="B432" s="252"/>
    </row>
    <row r="433" ht="14.25" customHeight="1">
      <c r="A433" s="251"/>
      <c r="B433" s="252"/>
    </row>
    <row r="434" ht="14.25" customHeight="1">
      <c r="A434" s="251"/>
      <c r="B434" s="252"/>
    </row>
    <row r="435" ht="14.25" customHeight="1">
      <c r="A435" s="251"/>
      <c r="B435" s="252"/>
    </row>
    <row r="436" ht="14.25" customHeight="1">
      <c r="A436" s="251"/>
      <c r="B436" s="252"/>
    </row>
    <row r="437" ht="14.25" customHeight="1">
      <c r="A437" s="251"/>
      <c r="B437" s="252"/>
    </row>
    <row r="438" ht="14.25" customHeight="1">
      <c r="A438" s="251"/>
      <c r="B438" s="252"/>
    </row>
    <row r="439" ht="14.25" customHeight="1">
      <c r="A439" s="251"/>
      <c r="B439" s="252"/>
    </row>
    <row r="440" ht="14.25" customHeight="1">
      <c r="A440" s="251"/>
      <c r="B440" s="252"/>
    </row>
    <row r="441" ht="14.25" customHeight="1">
      <c r="A441" s="251"/>
      <c r="B441" s="252"/>
    </row>
    <row r="442" ht="14.25" customHeight="1">
      <c r="A442" s="251"/>
      <c r="B442" s="252"/>
    </row>
    <row r="443" ht="14.25" customHeight="1">
      <c r="A443" s="251"/>
      <c r="B443" s="252"/>
    </row>
    <row r="444" ht="14.25" customHeight="1">
      <c r="A444" s="251"/>
      <c r="B444" s="252"/>
    </row>
    <row r="445" ht="14.25" customHeight="1">
      <c r="A445" s="251"/>
      <c r="B445" s="252"/>
    </row>
    <row r="446" ht="14.25" customHeight="1">
      <c r="A446" s="251"/>
      <c r="B446" s="252"/>
    </row>
    <row r="447" ht="14.25" customHeight="1">
      <c r="A447" s="251"/>
      <c r="B447" s="252"/>
    </row>
    <row r="448" ht="14.25" customHeight="1">
      <c r="A448" s="251"/>
      <c r="B448" s="252"/>
    </row>
    <row r="449" ht="14.25" customHeight="1">
      <c r="A449" s="251"/>
      <c r="B449" s="252"/>
    </row>
    <row r="450" ht="14.25" customHeight="1">
      <c r="A450" s="251"/>
      <c r="B450" s="252"/>
    </row>
    <row r="451" ht="14.25" customHeight="1">
      <c r="A451" s="251"/>
      <c r="B451" s="252"/>
    </row>
    <row r="452" ht="14.25" customHeight="1">
      <c r="A452" s="251"/>
      <c r="B452" s="252"/>
    </row>
    <row r="453" ht="14.25" customHeight="1">
      <c r="A453" s="251"/>
      <c r="B453" s="252"/>
    </row>
    <row r="454" ht="14.25" customHeight="1">
      <c r="A454" s="251"/>
      <c r="B454" s="252"/>
    </row>
    <row r="455" ht="14.25" customHeight="1">
      <c r="A455" s="251"/>
      <c r="B455" s="252"/>
    </row>
    <row r="456" ht="14.25" customHeight="1">
      <c r="A456" s="251"/>
      <c r="B456" s="252"/>
    </row>
    <row r="457" ht="14.25" customHeight="1">
      <c r="A457" s="251"/>
      <c r="B457" s="252"/>
    </row>
    <row r="458" ht="14.25" customHeight="1">
      <c r="A458" s="251"/>
      <c r="B458" s="252"/>
    </row>
    <row r="459" ht="14.25" customHeight="1">
      <c r="A459" s="251"/>
      <c r="B459" s="252"/>
    </row>
    <row r="460" ht="14.25" customHeight="1">
      <c r="A460" s="251"/>
      <c r="B460" s="252"/>
    </row>
    <row r="461" ht="14.25" customHeight="1">
      <c r="A461" s="251"/>
      <c r="B461" s="252"/>
    </row>
    <row r="462" ht="14.25" customHeight="1">
      <c r="A462" s="251"/>
      <c r="B462" s="252"/>
    </row>
    <row r="463" ht="14.25" customHeight="1">
      <c r="A463" s="251"/>
      <c r="B463" s="252"/>
    </row>
    <row r="464" ht="14.25" customHeight="1">
      <c r="A464" s="251"/>
      <c r="B464" s="252"/>
    </row>
    <row r="465" ht="14.25" customHeight="1">
      <c r="A465" s="251"/>
      <c r="B465" s="252"/>
    </row>
    <row r="466" ht="14.25" customHeight="1">
      <c r="A466" s="251"/>
      <c r="B466" s="252"/>
    </row>
    <row r="467" ht="14.25" customHeight="1">
      <c r="A467" s="251"/>
      <c r="B467" s="252"/>
    </row>
    <row r="468" ht="14.25" customHeight="1">
      <c r="A468" s="251"/>
      <c r="B468" s="252"/>
    </row>
    <row r="469" ht="14.25" customHeight="1">
      <c r="A469" s="251"/>
      <c r="B469" s="252"/>
    </row>
    <row r="470" ht="14.25" customHeight="1">
      <c r="A470" s="251"/>
      <c r="B470" s="252"/>
    </row>
    <row r="471" ht="14.25" customHeight="1">
      <c r="A471" s="251"/>
      <c r="B471" s="252"/>
    </row>
    <row r="472" ht="14.25" customHeight="1">
      <c r="A472" s="251"/>
      <c r="B472" s="252"/>
    </row>
    <row r="473" ht="14.25" customHeight="1">
      <c r="A473" s="251"/>
      <c r="B473" s="252"/>
    </row>
    <row r="474" ht="14.25" customHeight="1">
      <c r="A474" s="251"/>
      <c r="B474" s="252"/>
    </row>
    <row r="475" ht="14.25" customHeight="1">
      <c r="A475" s="251"/>
      <c r="B475" s="252"/>
    </row>
    <row r="476" ht="14.25" customHeight="1">
      <c r="A476" s="251"/>
      <c r="B476" s="252"/>
    </row>
    <row r="477" ht="14.25" customHeight="1">
      <c r="A477" s="251"/>
      <c r="B477" s="252"/>
    </row>
    <row r="478" ht="14.25" customHeight="1">
      <c r="A478" s="251"/>
      <c r="B478" s="252"/>
    </row>
    <row r="479" ht="14.25" customHeight="1">
      <c r="A479" s="251"/>
      <c r="B479" s="252"/>
    </row>
    <row r="480" ht="14.25" customHeight="1">
      <c r="A480" s="251"/>
      <c r="B480" s="252"/>
    </row>
    <row r="481" ht="14.25" customHeight="1">
      <c r="A481" s="251"/>
      <c r="B481" s="252"/>
    </row>
    <row r="482" ht="14.25" customHeight="1">
      <c r="A482" s="251"/>
      <c r="B482" s="252"/>
    </row>
    <row r="483" ht="14.25" customHeight="1">
      <c r="A483" s="251"/>
      <c r="B483" s="252"/>
    </row>
    <row r="484" ht="14.25" customHeight="1">
      <c r="A484" s="251"/>
      <c r="B484" s="252"/>
    </row>
    <row r="485" ht="14.25" customHeight="1">
      <c r="A485" s="251"/>
      <c r="B485" s="252"/>
    </row>
    <row r="486" ht="14.25" customHeight="1">
      <c r="A486" s="251"/>
      <c r="B486" s="252"/>
    </row>
    <row r="487" ht="14.25" customHeight="1">
      <c r="A487" s="251"/>
      <c r="B487" s="252"/>
    </row>
    <row r="488" ht="14.25" customHeight="1">
      <c r="A488" s="251"/>
      <c r="B488" s="252"/>
    </row>
    <row r="489" ht="14.25" customHeight="1">
      <c r="A489" s="251"/>
      <c r="B489" s="252"/>
    </row>
    <row r="490" ht="14.25" customHeight="1">
      <c r="A490" s="251"/>
      <c r="B490" s="252"/>
    </row>
    <row r="491" ht="14.25" customHeight="1">
      <c r="A491" s="251"/>
      <c r="B491" s="252"/>
    </row>
    <row r="492" ht="14.25" customHeight="1">
      <c r="A492" s="251"/>
      <c r="B492" s="252"/>
    </row>
    <row r="493" ht="14.25" customHeight="1">
      <c r="A493" s="251"/>
      <c r="B493" s="252"/>
    </row>
    <row r="494" ht="14.25" customHeight="1">
      <c r="A494" s="251"/>
      <c r="B494" s="252"/>
    </row>
    <row r="495" ht="14.25" customHeight="1">
      <c r="A495" s="251"/>
      <c r="B495" s="252"/>
    </row>
    <row r="496" ht="14.25" customHeight="1">
      <c r="A496" s="251"/>
      <c r="B496" s="252"/>
    </row>
    <row r="497" ht="14.25" customHeight="1">
      <c r="A497" s="251"/>
      <c r="B497" s="252"/>
    </row>
    <row r="498" ht="14.25" customHeight="1">
      <c r="A498" s="251"/>
      <c r="B498" s="252"/>
    </row>
    <row r="499" ht="14.25" customHeight="1">
      <c r="A499" s="251"/>
      <c r="B499" s="252"/>
    </row>
    <row r="500" ht="14.25" customHeight="1">
      <c r="A500" s="251"/>
      <c r="B500" s="252"/>
    </row>
    <row r="501" ht="14.25" customHeight="1">
      <c r="A501" s="251"/>
      <c r="B501" s="252"/>
    </row>
    <row r="502" ht="14.25" customHeight="1">
      <c r="A502" s="251"/>
      <c r="B502" s="252"/>
    </row>
    <row r="503" ht="14.25" customHeight="1">
      <c r="A503" s="251"/>
      <c r="B503" s="252"/>
    </row>
    <row r="504" ht="14.25" customHeight="1">
      <c r="A504" s="251"/>
      <c r="B504" s="252"/>
    </row>
    <row r="505" ht="14.25" customHeight="1">
      <c r="A505" s="251"/>
      <c r="B505" s="252"/>
    </row>
    <row r="506" ht="14.25" customHeight="1">
      <c r="A506" s="251"/>
      <c r="B506" s="252"/>
    </row>
    <row r="507" ht="14.25" customHeight="1">
      <c r="A507" s="251"/>
      <c r="B507" s="252"/>
    </row>
    <row r="508" ht="14.25" customHeight="1">
      <c r="A508" s="251"/>
      <c r="B508" s="252"/>
    </row>
    <row r="509" ht="14.25" customHeight="1">
      <c r="A509" s="251"/>
      <c r="B509" s="252"/>
    </row>
    <row r="510" ht="14.25" customHeight="1">
      <c r="A510" s="251"/>
      <c r="B510" s="252"/>
    </row>
    <row r="511" ht="14.25" customHeight="1">
      <c r="A511" s="251"/>
      <c r="B511" s="252"/>
    </row>
    <row r="512" ht="14.25" customHeight="1">
      <c r="A512" s="251"/>
      <c r="B512" s="252"/>
    </row>
    <row r="513" ht="14.25" customHeight="1">
      <c r="A513" s="251"/>
      <c r="B513" s="252"/>
    </row>
    <row r="514" ht="14.25" customHeight="1">
      <c r="A514" s="251"/>
      <c r="B514" s="252"/>
    </row>
    <row r="515" ht="14.25" customHeight="1">
      <c r="A515" s="251"/>
      <c r="B515" s="252"/>
    </row>
    <row r="516" ht="14.25" customHeight="1">
      <c r="A516" s="251"/>
      <c r="B516" s="252"/>
    </row>
    <row r="517" ht="14.25" customHeight="1">
      <c r="A517" s="251"/>
      <c r="B517" s="252"/>
    </row>
    <row r="518" ht="14.25" customHeight="1">
      <c r="A518" s="251"/>
      <c r="B518" s="252"/>
    </row>
    <row r="519" ht="14.25" customHeight="1">
      <c r="A519" s="251"/>
      <c r="B519" s="252"/>
    </row>
    <row r="520" ht="14.25" customHeight="1">
      <c r="A520" s="251"/>
      <c r="B520" s="252"/>
    </row>
    <row r="521" ht="14.25" customHeight="1">
      <c r="A521" s="251"/>
      <c r="B521" s="252"/>
    </row>
    <row r="522" ht="14.25" customHeight="1">
      <c r="A522" s="251"/>
      <c r="B522" s="252"/>
    </row>
    <row r="523" ht="14.25" customHeight="1">
      <c r="A523" s="251"/>
      <c r="B523" s="252"/>
    </row>
    <row r="524" ht="14.25" customHeight="1">
      <c r="A524" s="251"/>
      <c r="B524" s="252"/>
    </row>
    <row r="525" ht="14.25" customHeight="1">
      <c r="A525" s="251"/>
      <c r="B525" s="252"/>
    </row>
    <row r="526" ht="14.25" customHeight="1">
      <c r="A526" s="251"/>
      <c r="B526" s="252"/>
    </row>
    <row r="527" ht="14.25" customHeight="1">
      <c r="A527" s="251"/>
      <c r="B527" s="252"/>
    </row>
    <row r="528" ht="14.25" customHeight="1">
      <c r="A528" s="251"/>
      <c r="B528" s="252"/>
    </row>
    <row r="529" ht="14.25" customHeight="1">
      <c r="A529" s="251"/>
      <c r="B529" s="252"/>
    </row>
    <row r="530" ht="14.25" customHeight="1">
      <c r="A530" s="251"/>
      <c r="B530" s="252"/>
    </row>
    <row r="531" ht="14.25" customHeight="1">
      <c r="A531" s="251"/>
      <c r="B531" s="252"/>
    </row>
    <row r="532" ht="14.25" customHeight="1">
      <c r="A532" s="251"/>
      <c r="B532" s="252"/>
    </row>
    <row r="533" ht="14.25" customHeight="1">
      <c r="A533" s="251"/>
      <c r="B533" s="252"/>
    </row>
    <row r="534" ht="14.25" customHeight="1">
      <c r="A534" s="251"/>
      <c r="B534" s="252"/>
    </row>
    <row r="535" ht="14.25" customHeight="1">
      <c r="A535" s="251"/>
      <c r="B535" s="252"/>
    </row>
    <row r="536" ht="14.25" customHeight="1">
      <c r="A536" s="251"/>
      <c r="B536" s="252"/>
    </row>
    <row r="537" ht="14.25" customHeight="1">
      <c r="A537" s="251"/>
      <c r="B537" s="252"/>
    </row>
    <row r="538" ht="14.25" customHeight="1">
      <c r="A538" s="251"/>
      <c r="B538" s="252"/>
    </row>
    <row r="539" ht="14.25" customHeight="1">
      <c r="A539" s="251"/>
      <c r="B539" s="252"/>
    </row>
    <row r="540" ht="14.25" customHeight="1">
      <c r="A540" s="251"/>
      <c r="B540" s="252"/>
    </row>
    <row r="541" ht="14.25" customHeight="1">
      <c r="A541" s="251"/>
      <c r="B541" s="252"/>
    </row>
    <row r="542" ht="14.25" customHeight="1">
      <c r="A542" s="251"/>
      <c r="B542" s="252"/>
    </row>
    <row r="543" ht="14.25" customHeight="1">
      <c r="A543" s="251"/>
      <c r="B543" s="252"/>
    </row>
    <row r="544" ht="14.25" customHeight="1">
      <c r="A544" s="251"/>
      <c r="B544" s="252"/>
    </row>
    <row r="545" ht="14.25" customHeight="1">
      <c r="A545" s="251"/>
      <c r="B545" s="252"/>
    </row>
    <row r="546" ht="14.25" customHeight="1">
      <c r="A546" s="251"/>
      <c r="B546" s="252"/>
    </row>
    <row r="547" ht="14.25" customHeight="1">
      <c r="A547" s="251"/>
      <c r="B547" s="252"/>
    </row>
    <row r="548" ht="14.25" customHeight="1">
      <c r="A548" s="251"/>
      <c r="B548" s="252"/>
    </row>
    <row r="549" ht="14.25" customHeight="1">
      <c r="A549" s="251"/>
      <c r="B549" s="252"/>
    </row>
    <row r="550" ht="14.25" customHeight="1">
      <c r="A550" s="251"/>
      <c r="B550" s="252"/>
    </row>
    <row r="551" ht="14.25" customHeight="1">
      <c r="A551" s="251"/>
      <c r="B551" s="252"/>
    </row>
    <row r="552" ht="14.25" customHeight="1">
      <c r="A552" s="251"/>
      <c r="B552" s="252"/>
    </row>
    <row r="553" ht="14.25" customHeight="1">
      <c r="A553" s="251"/>
      <c r="B553" s="252"/>
    </row>
    <row r="554" ht="14.25" customHeight="1">
      <c r="A554" s="251"/>
      <c r="B554" s="252"/>
    </row>
    <row r="555" ht="14.25" customHeight="1">
      <c r="A555" s="251"/>
      <c r="B555" s="252"/>
    </row>
    <row r="556" ht="14.25" customHeight="1">
      <c r="A556" s="251"/>
      <c r="B556" s="252"/>
    </row>
    <row r="557" ht="14.25" customHeight="1">
      <c r="A557" s="251"/>
      <c r="B557" s="252"/>
    </row>
    <row r="558" ht="14.25" customHeight="1">
      <c r="A558" s="251"/>
      <c r="B558" s="252"/>
    </row>
    <row r="559" ht="14.25" customHeight="1">
      <c r="A559" s="251"/>
      <c r="B559" s="252"/>
    </row>
    <row r="560" ht="14.25" customHeight="1">
      <c r="A560" s="251"/>
      <c r="B560" s="252"/>
    </row>
    <row r="561" ht="14.25" customHeight="1">
      <c r="A561" s="251"/>
      <c r="B561" s="252"/>
    </row>
    <row r="562" ht="14.25" customHeight="1">
      <c r="A562" s="251"/>
      <c r="B562" s="252"/>
    </row>
    <row r="563" ht="14.25" customHeight="1">
      <c r="A563" s="251"/>
      <c r="B563" s="252"/>
    </row>
    <row r="564" ht="14.25" customHeight="1">
      <c r="A564" s="251"/>
      <c r="B564" s="252"/>
    </row>
    <row r="565" ht="14.25" customHeight="1">
      <c r="A565" s="251"/>
      <c r="B565" s="252"/>
    </row>
    <row r="566" ht="14.25" customHeight="1">
      <c r="A566" s="251"/>
      <c r="B566" s="252"/>
    </row>
    <row r="567" ht="14.25" customHeight="1">
      <c r="A567" s="251"/>
      <c r="B567" s="252"/>
    </row>
    <row r="568" ht="14.25" customHeight="1">
      <c r="A568" s="251"/>
      <c r="B568" s="252"/>
    </row>
    <row r="569" ht="14.25" customHeight="1">
      <c r="A569" s="251"/>
      <c r="B569" s="252"/>
    </row>
    <row r="570" ht="14.25" customHeight="1">
      <c r="A570" s="251"/>
      <c r="B570" s="252"/>
    </row>
    <row r="571" ht="14.25" customHeight="1">
      <c r="A571" s="251"/>
      <c r="B571" s="252"/>
    </row>
    <row r="572" ht="14.25" customHeight="1">
      <c r="A572" s="251"/>
      <c r="B572" s="252"/>
    </row>
    <row r="573" ht="14.25" customHeight="1">
      <c r="A573" s="251"/>
      <c r="B573" s="252"/>
    </row>
    <row r="574" ht="14.25" customHeight="1">
      <c r="A574" s="251"/>
      <c r="B574" s="252"/>
    </row>
    <row r="575" ht="14.25" customHeight="1">
      <c r="A575" s="251"/>
      <c r="B575" s="252"/>
    </row>
    <row r="576" ht="14.25" customHeight="1">
      <c r="A576" s="251"/>
      <c r="B576" s="252"/>
    </row>
    <row r="577" ht="14.25" customHeight="1">
      <c r="A577" s="251"/>
      <c r="B577" s="252"/>
    </row>
    <row r="578" ht="14.25" customHeight="1">
      <c r="A578" s="251"/>
      <c r="B578" s="252"/>
    </row>
    <row r="579" ht="14.25" customHeight="1">
      <c r="A579" s="251"/>
      <c r="B579" s="252"/>
    </row>
    <row r="580" ht="14.25" customHeight="1">
      <c r="A580" s="251"/>
      <c r="B580" s="252"/>
    </row>
    <row r="581" ht="14.25" customHeight="1">
      <c r="A581" s="251"/>
      <c r="B581" s="252"/>
    </row>
    <row r="582" ht="14.25" customHeight="1">
      <c r="A582" s="251"/>
      <c r="B582" s="252"/>
    </row>
    <row r="583" ht="14.25" customHeight="1">
      <c r="A583" s="251"/>
      <c r="B583" s="252"/>
    </row>
    <row r="584" ht="14.25" customHeight="1">
      <c r="A584" s="251"/>
      <c r="B584" s="252"/>
    </row>
    <row r="585" ht="14.25" customHeight="1">
      <c r="A585" s="251"/>
      <c r="B585" s="252"/>
    </row>
    <row r="586" ht="14.25" customHeight="1">
      <c r="A586" s="251"/>
      <c r="B586" s="252"/>
    </row>
    <row r="587" ht="14.25" customHeight="1">
      <c r="A587" s="251"/>
      <c r="B587" s="252"/>
    </row>
    <row r="588" ht="14.25" customHeight="1">
      <c r="A588" s="251"/>
      <c r="B588" s="252"/>
    </row>
    <row r="589" ht="14.25" customHeight="1">
      <c r="A589" s="251"/>
      <c r="B589" s="252"/>
    </row>
    <row r="590" ht="14.25" customHeight="1">
      <c r="A590" s="251"/>
      <c r="B590" s="252"/>
    </row>
    <row r="591" ht="14.25" customHeight="1">
      <c r="A591" s="251"/>
      <c r="B591" s="252"/>
    </row>
    <row r="592" ht="14.25" customHeight="1">
      <c r="A592" s="251"/>
      <c r="B592" s="252"/>
    </row>
    <row r="593" ht="14.25" customHeight="1">
      <c r="A593" s="251"/>
      <c r="B593" s="252"/>
    </row>
    <row r="594" ht="14.25" customHeight="1">
      <c r="A594" s="251"/>
      <c r="B594" s="252"/>
    </row>
    <row r="595" ht="14.25" customHeight="1">
      <c r="A595" s="251"/>
      <c r="B595" s="252"/>
    </row>
    <row r="596" ht="14.25" customHeight="1">
      <c r="A596" s="251"/>
      <c r="B596" s="252"/>
    </row>
    <row r="597" ht="14.25" customHeight="1">
      <c r="A597" s="251"/>
      <c r="B597" s="252"/>
    </row>
    <row r="598" ht="14.25" customHeight="1">
      <c r="A598" s="251"/>
      <c r="B598" s="252"/>
    </row>
    <row r="599" ht="14.25" customHeight="1">
      <c r="A599" s="251"/>
      <c r="B599" s="252"/>
    </row>
    <row r="600" ht="14.25" customHeight="1">
      <c r="A600" s="251"/>
      <c r="B600" s="252"/>
    </row>
    <row r="601" ht="14.25" customHeight="1">
      <c r="A601" s="251"/>
      <c r="B601" s="252"/>
    </row>
    <row r="602" ht="14.25" customHeight="1">
      <c r="A602" s="251"/>
      <c r="B602" s="252"/>
    </row>
    <row r="603" ht="14.25" customHeight="1">
      <c r="A603" s="251"/>
      <c r="B603" s="252"/>
    </row>
    <row r="604" ht="14.25" customHeight="1">
      <c r="A604" s="251"/>
      <c r="B604" s="252"/>
    </row>
    <row r="605" ht="14.25" customHeight="1">
      <c r="A605" s="251"/>
      <c r="B605" s="252"/>
    </row>
    <row r="606" ht="14.25" customHeight="1">
      <c r="A606" s="251"/>
      <c r="B606" s="252"/>
    </row>
    <row r="607" ht="14.25" customHeight="1">
      <c r="A607" s="251"/>
      <c r="B607" s="252"/>
    </row>
    <row r="608" ht="14.25" customHeight="1">
      <c r="A608" s="251"/>
      <c r="B608" s="252"/>
    </row>
    <row r="609" ht="14.25" customHeight="1">
      <c r="A609" s="251"/>
      <c r="B609" s="252"/>
    </row>
    <row r="610" ht="14.25" customHeight="1">
      <c r="A610" s="251"/>
      <c r="B610" s="252"/>
    </row>
    <row r="611" ht="14.25" customHeight="1">
      <c r="A611" s="251"/>
      <c r="B611" s="252"/>
    </row>
    <row r="612" ht="14.25" customHeight="1">
      <c r="A612" s="251"/>
      <c r="B612" s="252"/>
    </row>
    <row r="613" ht="14.25" customHeight="1">
      <c r="A613" s="251"/>
      <c r="B613" s="252"/>
    </row>
    <row r="614" ht="14.25" customHeight="1">
      <c r="A614" s="251"/>
      <c r="B614" s="252"/>
    </row>
    <row r="615" ht="14.25" customHeight="1">
      <c r="A615" s="251"/>
      <c r="B615" s="252"/>
    </row>
    <row r="616" ht="14.25" customHeight="1">
      <c r="A616" s="251"/>
      <c r="B616" s="252"/>
    </row>
    <row r="617" ht="14.25" customHeight="1">
      <c r="A617" s="251"/>
      <c r="B617" s="252"/>
    </row>
    <row r="618" ht="14.25" customHeight="1">
      <c r="A618" s="251"/>
      <c r="B618" s="252"/>
    </row>
    <row r="619" ht="14.25" customHeight="1">
      <c r="A619" s="251"/>
      <c r="B619" s="252"/>
    </row>
    <row r="620" ht="14.25" customHeight="1">
      <c r="A620" s="251"/>
      <c r="B620" s="252"/>
    </row>
    <row r="621" ht="14.25" customHeight="1">
      <c r="A621" s="251"/>
      <c r="B621" s="252"/>
    </row>
    <row r="622" ht="14.25" customHeight="1">
      <c r="A622" s="251"/>
      <c r="B622" s="252"/>
    </row>
    <row r="623" ht="14.25" customHeight="1">
      <c r="A623" s="251"/>
      <c r="B623" s="252"/>
    </row>
    <row r="624" ht="14.25" customHeight="1">
      <c r="A624" s="251"/>
      <c r="B624" s="252"/>
    </row>
    <row r="625" ht="14.25" customHeight="1">
      <c r="A625" s="251"/>
      <c r="B625" s="252"/>
    </row>
    <row r="626" ht="14.25" customHeight="1">
      <c r="A626" s="251"/>
      <c r="B626" s="252"/>
    </row>
    <row r="627" ht="14.25" customHeight="1">
      <c r="A627" s="251"/>
      <c r="B627" s="252"/>
    </row>
    <row r="628" ht="14.25" customHeight="1">
      <c r="A628" s="251"/>
      <c r="B628" s="252"/>
    </row>
    <row r="629" ht="14.25" customHeight="1">
      <c r="A629" s="251"/>
      <c r="B629" s="252"/>
    </row>
    <row r="630" ht="14.25" customHeight="1">
      <c r="A630" s="251"/>
      <c r="B630" s="252"/>
    </row>
    <row r="631" ht="14.25" customHeight="1">
      <c r="A631" s="251"/>
      <c r="B631" s="252"/>
    </row>
    <row r="632" ht="14.25" customHeight="1">
      <c r="A632" s="251"/>
      <c r="B632" s="252"/>
    </row>
    <row r="633" ht="14.25" customHeight="1">
      <c r="A633" s="251"/>
      <c r="B633" s="252"/>
    </row>
    <row r="634" ht="14.25" customHeight="1">
      <c r="A634" s="251"/>
      <c r="B634" s="252"/>
    </row>
    <row r="635" ht="14.25" customHeight="1">
      <c r="A635" s="251"/>
      <c r="B635" s="252"/>
    </row>
    <row r="636" ht="14.25" customHeight="1">
      <c r="A636" s="251"/>
      <c r="B636" s="252"/>
    </row>
    <row r="637" ht="14.25" customHeight="1">
      <c r="A637" s="251"/>
      <c r="B637" s="252"/>
    </row>
    <row r="638" ht="14.25" customHeight="1">
      <c r="A638" s="251"/>
      <c r="B638" s="252"/>
    </row>
    <row r="639" ht="14.25" customHeight="1">
      <c r="A639" s="251"/>
      <c r="B639" s="252"/>
    </row>
    <row r="640" ht="14.25" customHeight="1">
      <c r="A640" s="251"/>
      <c r="B640" s="252"/>
    </row>
    <row r="641" ht="14.25" customHeight="1">
      <c r="A641" s="251"/>
      <c r="B641" s="252"/>
    </row>
    <row r="642" ht="14.25" customHeight="1">
      <c r="A642" s="251"/>
      <c r="B642" s="252"/>
    </row>
    <row r="643" ht="14.25" customHeight="1">
      <c r="A643" s="251"/>
      <c r="B643" s="252"/>
    </row>
    <row r="644" ht="14.25" customHeight="1">
      <c r="A644" s="251"/>
      <c r="B644" s="252"/>
    </row>
    <row r="645" ht="14.25" customHeight="1">
      <c r="A645" s="251"/>
      <c r="B645" s="252"/>
    </row>
    <row r="646" ht="14.25" customHeight="1">
      <c r="A646" s="251"/>
      <c r="B646" s="252"/>
    </row>
    <row r="647" ht="14.25" customHeight="1">
      <c r="A647" s="251"/>
      <c r="B647" s="252"/>
    </row>
    <row r="648" ht="14.25" customHeight="1">
      <c r="A648" s="251"/>
      <c r="B648" s="252"/>
    </row>
    <row r="649" ht="14.25" customHeight="1">
      <c r="A649" s="251"/>
      <c r="B649" s="252"/>
    </row>
    <row r="650" ht="14.25" customHeight="1">
      <c r="A650" s="251"/>
      <c r="B650" s="252"/>
    </row>
    <row r="651" ht="14.25" customHeight="1">
      <c r="A651" s="251"/>
      <c r="B651" s="252"/>
    </row>
    <row r="652" ht="14.25" customHeight="1">
      <c r="A652" s="251"/>
      <c r="B652" s="252"/>
    </row>
    <row r="653" ht="14.25" customHeight="1">
      <c r="A653" s="251"/>
      <c r="B653" s="252"/>
    </row>
    <row r="654" ht="14.25" customHeight="1">
      <c r="A654" s="251"/>
      <c r="B654" s="252"/>
    </row>
    <row r="655" ht="14.25" customHeight="1">
      <c r="A655" s="251"/>
      <c r="B655" s="252"/>
    </row>
    <row r="656" ht="14.25" customHeight="1">
      <c r="A656" s="251"/>
      <c r="B656" s="252"/>
    </row>
    <row r="657" ht="14.25" customHeight="1">
      <c r="A657" s="251"/>
      <c r="B657" s="252"/>
    </row>
    <row r="658" ht="14.25" customHeight="1">
      <c r="A658" s="251"/>
      <c r="B658" s="252"/>
    </row>
    <row r="659" ht="14.25" customHeight="1">
      <c r="A659" s="251"/>
      <c r="B659" s="252"/>
    </row>
    <row r="660" ht="14.25" customHeight="1">
      <c r="A660" s="251"/>
      <c r="B660" s="252"/>
    </row>
    <row r="661" ht="14.25" customHeight="1">
      <c r="A661" s="251"/>
      <c r="B661" s="252"/>
    </row>
    <row r="662" ht="14.25" customHeight="1">
      <c r="A662" s="251"/>
      <c r="B662" s="252"/>
    </row>
    <row r="663" ht="14.25" customHeight="1">
      <c r="A663" s="251"/>
      <c r="B663" s="252"/>
    </row>
    <row r="664" ht="14.25" customHeight="1">
      <c r="A664" s="251"/>
      <c r="B664" s="252"/>
    </row>
    <row r="665" ht="14.25" customHeight="1">
      <c r="A665" s="251"/>
      <c r="B665" s="252"/>
    </row>
    <row r="666" ht="14.25" customHeight="1">
      <c r="A666" s="251"/>
      <c r="B666" s="252"/>
    </row>
    <row r="667" ht="14.25" customHeight="1">
      <c r="A667" s="251"/>
      <c r="B667" s="252"/>
    </row>
    <row r="668" ht="14.25" customHeight="1">
      <c r="A668" s="251"/>
      <c r="B668" s="252"/>
    </row>
    <row r="669" ht="14.25" customHeight="1">
      <c r="A669" s="251"/>
      <c r="B669" s="252"/>
    </row>
    <row r="670" ht="14.25" customHeight="1">
      <c r="A670" s="251"/>
      <c r="B670" s="252"/>
    </row>
    <row r="671" ht="14.25" customHeight="1">
      <c r="A671" s="251"/>
      <c r="B671" s="252"/>
    </row>
    <row r="672" ht="14.25" customHeight="1">
      <c r="A672" s="251"/>
      <c r="B672" s="252"/>
    </row>
    <row r="673" ht="14.25" customHeight="1">
      <c r="A673" s="251"/>
      <c r="B673" s="252"/>
    </row>
    <row r="674" ht="14.25" customHeight="1">
      <c r="A674" s="251"/>
      <c r="B674" s="252"/>
    </row>
    <row r="675" ht="14.25" customHeight="1">
      <c r="A675" s="251"/>
      <c r="B675" s="252"/>
    </row>
    <row r="676" ht="14.25" customHeight="1">
      <c r="A676" s="251"/>
      <c r="B676" s="252"/>
    </row>
    <row r="677" ht="14.25" customHeight="1">
      <c r="A677" s="251"/>
      <c r="B677" s="252"/>
    </row>
    <row r="678" ht="14.25" customHeight="1">
      <c r="A678" s="251"/>
      <c r="B678" s="252"/>
    </row>
    <row r="679" ht="14.25" customHeight="1">
      <c r="A679" s="251"/>
      <c r="B679" s="252"/>
    </row>
    <row r="680" ht="14.25" customHeight="1">
      <c r="A680" s="251"/>
      <c r="B680" s="252"/>
    </row>
    <row r="681" ht="14.25" customHeight="1">
      <c r="A681" s="251"/>
      <c r="B681" s="252"/>
    </row>
    <row r="682" ht="14.25" customHeight="1">
      <c r="A682" s="251"/>
      <c r="B682" s="252"/>
    </row>
    <row r="683" ht="14.25" customHeight="1">
      <c r="A683" s="251"/>
      <c r="B683" s="252"/>
    </row>
    <row r="684" ht="14.25" customHeight="1">
      <c r="A684" s="251"/>
      <c r="B684" s="252"/>
    </row>
    <row r="685" ht="14.25" customHeight="1">
      <c r="A685" s="251"/>
      <c r="B685" s="252"/>
    </row>
    <row r="686" ht="14.25" customHeight="1">
      <c r="A686" s="251"/>
      <c r="B686" s="252"/>
    </row>
    <row r="687" ht="14.25" customHeight="1">
      <c r="A687" s="251"/>
      <c r="B687" s="252"/>
    </row>
    <row r="688" ht="14.25" customHeight="1">
      <c r="A688" s="251"/>
      <c r="B688" s="252"/>
    </row>
    <row r="689" ht="14.25" customHeight="1">
      <c r="A689" s="251"/>
      <c r="B689" s="252"/>
    </row>
    <row r="690" ht="14.25" customHeight="1">
      <c r="A690" s="251"/>
      <c r="B690" s="252"/>
    </row>
    <row r="691" ht="14.25" customHeight="1">
      <c r="A691" s="251"/>
      <c r="B691" s="252"/>
    </row>
    <row r="692" ht="14.25" customHeight="1">
      <c r="A692" s="251"/>
      <c r="B692" s="252"/>
    </row>
    <row r="693" ht="14.25" customHeight="1">
      <c r="A693" s="251"/>
      <c r="B693" s="252"/>
    </row>
    <row r="694" ht="14.25" customHeight="1">
      <c r="A694" s="251"/>
      <c r="B694" s="252"/>
    </row>
    <row r="695" ht="14.25" customHeight="1">
      <c r="A695" s="251"/>
      <c r="B695" s="252"/>
    </row>
    <row r="696" ht="14.25" customHeight="1">
      <c r="A696" s="251"/>
      <c r="B696" s="252"/>
    </row>
    <row r="697" ht="14.25" customHeight="1">
      <c r="A697" s="251"/>
      <c r="B697" s="252"/>
    </row>
    <row r="698" ht="14.25" customHeight="1">
      <c r="A698" s="251"/>
      <c r="B698" s="252"/>
    </row>
    <row r="699" ht="14.25" customHeight="1">
      <c r="A699" s="251"/>
      <c r="B699" s="252"/>
    </row>
    <row r="700" ht="14.25" customHeight="1">
      <c r="A700" s="251"/>
      <c r="B700" s="252"/>
    </row>
    <row r="701" ht="14.25" customHeight="1">
      <c r="A701" s="251"/>
      <c r="B701" s="252"/>
    </row>
    <row r="702" ht="14.25" customHeight="1">
      <c r="A702" s="251"/>
      <c r="B702" s="252"/>
    </row>
    <row r="703" ht="14.25" customHeight="1">
      <c r="A703" s="251"/>
      <c r="B703" s="252"/>
    </row>
    <row r="704" ht="14.25" customHeight="1">
      <c r="A704" s="251"/>
      <c r="B704" s="252"/>
    </row>
    <row r="705" ht="14.25" customHeight="1">
      <c r="A705" s="251"/>
      <c r="B705" s="252"/>
    </row>
    <row r="706" ht="14.25" customHeight="1">
      <c r="A706" s="251"/>
      <c r="B706" s="252"/>
    </row>
    <row r="707" ht="14.25" customHeight="1">
      <c r="A707" s="251"/>
      <c r="B707" s="252"/>
    </row>
    <row r="708" ht="14.25" customHeight="1">
      <c r="A708" s="251"/>
      <c r="B708" s="252"/>
    </row>
    <row r="709" ht="14.25" customHeight="1">
      <c r="A709" s="251"/>
      <c r="B709" s="252"/>
    </row>
    <row r="710" ht="14.25" customHeight="1">
      <c r="A710" s="251"/>
      <c r="B710" s="252"/>
    </row>
    <row r="711" ht="14.25" customHeight="1">
      <c r="A711" s="251"/>
      <c r="B711" s="252"/>
    </row>
    <row r="712" ht="14.25" customHeight="1">
      <c r="A712" s="251"/>
      <c r="B712" s="252"/>
    </row>
    <row r="713" ht="14.25" customHeight="1">
      <c r="A713" s="251"/>
      <c r="B713" s="252"/>
    </row>
    <row r="714" ht="14.25" customHeight="1">
      <c r="A714" s="251"/>
      <c r="B714" s="252"/>
    </row>
    <row r="715" ht="14.25" customHeight="1">
      <c r="A715" s="251"/>
      <c r="B715" s="252"/>
    </row>
    <row r="716" ht="14.25" customHeight="1">
      <c r="A716" s="251"/>
      <c r="B716" s="252"/>
    </row>
    <row r="717" ht="14.25" customHeight="1">
      <c r="A717" s="251"/>
      <c r="B717" s="252"/>
    </row>
    <row r="718" ht="14.25" customHeight="1">
      <c r="A718" s="251"/>
      <c r="B718" s="252"/>
    </row>
    <row r="719" ht="14.25" customHeight="1">
      <c r="A719" s="251"/>
      <c r="B719" s="252"/>
    </row>
    <row r="720" ht="14.25" customHeight="1">
      <c r="A720" s="251"/>
      <c r="B720" s="252"/>
    </row>
    <row r="721" ht="14.25" customHeight="1">
      <c r="A721" s="251"/>
      <c r="B721" s="252"/>
    </row>
    <row r="722" ht="14.25" customHeight="1">
      <c r="A722" s="251"/>
      <c r="B722" s="252"/>
    </row>
    <row r="723" ht="14.25" customHeight="1">
      <c r="A723" s="251"/>
      <c r="B723" s="252"/>
    </row>
    <row r="724" ht="14.25" customHeight="1">
      <c r="A724" s="251"/>
      <c r="B724" s="252"/>
    </row>
    <row r="725" ht="14.25" customHeight="1">
      <c r="A725" s="251"/>
      <c r="B725" s="252"/>
    </row>
    <row r="726" ht="14.25" customHeight="1">
      <c r="A726" s="251"/>
      <c r="B726" s="252"/>
    </row>
    <row r="727" ht="14.25" customHeight="1">
      <c r="A727" s="251"/>
      <c r="B727" s="252"/>
    </row>
    <row r="728" ht="14.25" customHeight="1">
      <c r="A728" s="251"/>
      <c r="B728" s="252"/>
    </row>
    <row r="729" ht="14.25" customHeight="1">
      <c r="A729" s="251"/>
      <c r="B729" s="252"/>
    </row>
    <row r="730" ht="14.25" customHeight="1">
      <c r="A730" s="251"/>
      <c r="B730" s="252"/>
    </row>
    <row r="731" ht="14.25" customHeight="1">
      <c r="A731" s="251"/>
      <c r="B731" s="252"/>
    </row>
    <row r="732" ht="14.25" customHeight="1">
      <c r="A732" s="251"/>
      <c r="B732" s="252"/>
    </row>
    <row r="733" ht="14.25" customHeight="1">
      <c r="A733" s="251"/>
      <c r="B733" s="252"/>
    </row>
    <row r="734" ht="14.25" customHeight="1">
      <c r="A734" s="251"/>
      <c r="B734" s="252"/>
    </row>
    <row r="735" ht="14.25" customHeight="1">
      <c r="A735" s="251"/>
      <c r="B735" s="252"/>
    </row>
    <row r="736" ht="14.25" customHeight="1">
      <c r="A736" s="251"/>
      <c r="B736" s="252"/>
    </row>
    <row r="737" ht="14.25" customHeight="1">
      <c r="A737" s="251"/>
      <c r="B737" s="252"/>
    </row>
    <row r="738" ht="14.25" customHeight="1">
      <c r="A738" s="251"/>
      <c r="B738" s="252"/>
    </row>
    <row r="739" ht="14.25" customHeight="1">
      <c r="A739" s="251"/>
      <c r="B739" s="252"/>
    </row>
    <row r="740" ht="14.25" customHeight="1">
      <c r="A740" s="251"/>
      <c r="B740" s="252"/>
    </row>
    <row r="741" ht="14.25" customHeight="1">
      <c r="A741" s="251"/>
      <c r="B741" s="252"/>
    </row>
    <row r="742" ht="14.25" customHeight="1">
      <c r="A742" s="251"/>
      <c r="B742" s="252"/>
    </row>
    <row r="743" ht="14.25" customHeight="1">
      <c r="A743" s="251"/>
      <c r="B743" s="252"/>
    </row>
    <row r="744" ht="14.25" customHeight="1">
      <c r="A744" s="251"/>
      <c r="B744" s="252"/>
    </row>
    <row r="745" ht="14.25" customHeight="1">
      <c r="A745" s="251"/>
      <c r="B745" s="252"/>
    </row>
    <row r="746" ht="14.25" customHeight="1">
      <c r="A746" s="251"/>
      <c r="B746" s="252"/>
    </row>
    <row r="747" ht="14.25" customHeight="1">
      <c r="A747" s="251"/>
      <c r="B747" s="252"/>
    </row>
    <row r="748" ht="14.25" customHeight="1">
      <c r="A748" s="251"/>
      <c r="B748" s="252"/>
    </row>
    <row r="749" ht="14.25" customHeight="1">
      <c r="A749" s="251"/>
      <c r="B749" s="252"/>
    </row>
    <row r="750" ht="14.25" customHeight="1">
      <c r="A750" s="251"/>
      <c r="B750" s="252"/>
    </row>
    <row r="751" ht="14.25" customHeight="1">
      <c r="A751" s="251"/>
      <c r="B751" s="252"/>
    </row>
    <row r="752" ht="14.25" customHeight="1">
      <c r="A752" s="251"/>
      <c r="B752" s="252"/>
    </row>
    <row r="753" ht="14.25" customHeight="1">
      <c r="A753" s="251"/>
      <c r="B753" s="252"/>
    </row>
    <row r="754" ht="14.25" customHeight="1">
      <c r="A754" s="251"/>
      <c r="B754" s="252"/>
    </row>
    <row r="755" ht="14.25" customHeight="1">
      <c r="A755" s="251"/>
      <c r="B755" s="252"/>
    </row>
    <row r="756" ht="14.25" customHeight="1">
      <c r="A756" s="251"/>
      <c r="B756" s="252"/>
    </row>
    <row r="757" ht="14.25" customHeight="1">
      <c r="A757" s="251"/>
      <c r="B757" s="252"/>
    </row>
    <row r="758" ht="14.25" customHeight="1">
      <c r="A758" s="251"/>
      <c r="B758" s="252"/>
    </row>
    <row r="759" ht="14.25" customHeight="1">
      <c r="A759" s="251"/>
      <c r="B759" s="252"/>
    </row>
    <row r="760" ht="14.25" customHeight="1">
      <c r="A760" s="251"/>
      <c r="B760" s="252"/>
    </row>
    <row r="761" ht="14.25" customHeight="1">
      <c r="A761" s="251"/>
      <c r="B761" s="252"/>
    </row>
    <row r="762" ht="14.25" customHeight="1">
      <c r="A762" s="251"/>
      <c r="B762" s="252"/>
    </row>
    <row r="763" ht="14.25" customHeight="1">
      <c r="A763" s="251"/>
      <c r="B763" s="252"/>
    </row>
    <row r="764" ht="14.25" customHeight="1">
      <c r="A764" s="251"/>
      <c r="B764" s="252"/>
    </row>
    <row r="765" ht="14.25" customHeight="1">
      <c r="A765" s="251"/>
      <c r="B765" s="252"/>
    </row>
    <row r="766" ht="14.25" customHeight="1">
      <c r="A766" s="251"/>
      <c r="B766" s="252"/>
    </row>
    <row r="767" ht="14.25" customHeight="1">
      <c r="A767" s="251"/>
      <c r="B767" s="252"/>
    </row>
    <row r="768" ht="14.25" customHeight="1">
      <c r="A768" s="251"/>
      <c r="B768" s="252"/>
    </row>
    <row r="769" ht="14.25" customHeight="1">
      <c r="A769" s="251"/>
      <c r="B769" s="252"/>
    </row>
    <row r="770" ht="14.25" customHeight="1">
      <c r="A770" s="251"/>
      <c r="B770" s="252"/>
    </row>
    <row r="771" ht="14.25" customHeight="1">
      <c r="A771" s="251"/>
      <c r="B771" s="252"/>
    </row>
    <row r="772" ht="14.25" customHeight="1">
      <c r="A772" s="251"/>
      <c r="B772" s="252"/>
    </row>
    <row r="773" ht="14.25" customHeight="1">
      <c r="A773" s="251"/>
      <c r="B773" s="252"/>
    </row>
    <row r="774" ht="14.25" customHeight="1">
      <c r="A774" s="251"/>
      <c r="B774" s="252"/>
    </row>
    <row r="775" ht="14.25" customHeight="1">
      <c r="A775" s="251"/>
      <c r="B775" s="252"/>
    </row>
    <row r="776" ht="14.25" customHeight="1">
      <c r="A776" s="251"/>
      <c r="B776" s="252"/>
    </row>
    <row r="777" ht="14.25" customHeight="1">
      <c r="A777" s="251"/>
      <c r="B777" s="252"/>
    </row>
    <row r="778" ht="14.25" customHeight="1">
      <c r="A778" s="251"/>
      <c r="B778" s="252"/>
    </row>
    <row r="779" ht="14.25" customHeight="1">
      <c r="A779" s="251"/>
      <c r="B779" s="252"/>
    </row>
    <row r="780" ht="14.25" customHeight="1">
      <c r="A780" s="251"/>
      <c r="B780" s="252"/>
    </row>
    <row r="781" ht="14.25" customHeight="1">
      <c r="A781" s="251"/>
      <c r="B781" s="252"/>
    </row>
    <row r="782" ht="14.25" customHeight="1">
      <c r="A782" s="251"/>
      <c r="B782" s="252"/>
    </row>
    <row r="783" ht="14.25" customHeight="1">
      <c r="A783" s="251"/>
      <c r="B783" s="252"/>
    </row>
    <row r="784" ht="14.25" customHeight="1">
      <c r="A784" s="251"/>
      <c r="B784" s="252"/>
    </row>
    <row r="785" ht="14.25" customHeight="1">
      <c r="A785" s="251"/>
      <c r="B785" s="252"/>
    </row>
    <row r="786" ht="14.25" customHeight="1">
      <c r="A786" s="251"/>
      <c r="B786" s="252"/>
    </row>
    <row r="787" ht="14.25" customHeight="1">
      <c r="A787" s="251"/>
      <c r="B787" s="252"/>
    </row>
    <row r="788" ht="14.25" customHeight="1">
      <c r="A788" s="251"/>
      <c r="B788" s="252"/>
    </row>
    <row r="789" ht="14.25" customHeight="1">
      <c r="A789" s="251"/>
      <c r="B789" s="252"/>
    </row>
    <row r="790" ht="14.25" customHeight="1">
      <c r="A790" s="251"/>
      <c r="B790" s="252"/>
    </row>
    <row r="791" ht="14.25" customHeight="1">
      <c r="A791" s="251"/>
      <c r="B791" s="252"/>
    </row>
    <row r="792" ht="14.25" customHeight="1">
      <c r="A792" s="251"/>
      <c r="B792" s="252"/>
    </row>
    <row r="793" ht="14.25" customHeight="1">
      <c r="A793" s="251"/>
      <c r="B793" s="252"/>
    </row>
    <row r="794" ht="14.25" customHeight="1">
      <c r="A794" s="251"/>
      <c r="B794" s="252"/>
    </row>
    <row r="795" ht="14.25" customHeight="1">
      <c r="A795" s="251"/>
      <c r="B795" s="252"/>
    </row>
    <row r="796" ht="14.25" customHeight="1">
      <c r="A796" s="251"/>
      <c r="B796" s="252"/>
    </row>
    <row r="797" ht="14.25" customHeight="1">
      <c r="A797" s="251"/>
      <c r="B797" s="252"/>
    </row>
    <row r="798" ht="14.25" customHeight="1">
      <c r="A798" s="251"/>
      <c r="B798" s="252"/>
    </row>
    <row r="799" ht="14.25" customHeight="1">
      <c r="A799" s="251"/>
      <c r="B799" s="252"/>
    </row>
    <row r="800" ht="14.25" customHeight="1">
      <c r="A800" s="251"/>
      <c r="B800" s="252"/>
    </row>
    <row r="801" ht="14.25" customHeight="1">
      <c r="A801" s="251"/>
      <c r="B801" s="252"/>
    </row>
    <row r="802" ht="14.25" customHeight="1">
      <c r="A802" s="251"/>
      <c r="B802" s="252"/>
    </row>
    <row r="803" ht="14.25" customHeight="1">
      <c r="A803" s="251"/>
      <c r="B803" s="252"/>
    </row>
    <row r="804" ht="14.25" customHeight="1">
      <c r="A804" s="251"/>
      <c r="B804" s="252"/>
    </row>
    <row r="805" ht="14.25" customHeight="1">
      <c r="A805" s="251"/>
      <c r="B805" s="252"/>
    </row>
    <row r="806" ht="14.25" customHeight="1">
      <c r="A806" s="251"/>
      <c r="B806" s="252"/>
    </row>
    <row r="807" ht="14.25" customHeight="1">
      <c r="A807" s="251"/>
      <c r="B807" s="252"/>
    </row>
    <row r="808" ht="14.25" customHeight="1">
      <c r="A808" s="251"/>
      <c r="B808" s="252"/>
    </row>
    <row r="809" ht="14.25" customHeight="1">
      <c r="A809" s="251"/>
      <c r="B809" s="252"/>
    </row>
    <row r="810" ht="14.25" customHeight="1">
      <c r="A810" s="251"/>
      <c r="B810" s="252"/>
    </row>
    <row r="811" ht="14.25" customHeight="1">
      <c r="A811" s="251"/>
      <c r="B811" s="252"/>
    </row>
    <row r="812" ht="14.25" customHeight="1">
      <c r="A812" s="251"/>
      <c r="B812" s="252"/>
    </row>
    <row r="813" ht="14.25" customHeight="1">
      <c r="A813" s="251"/>
      <c r="B813" s="252"/>
    </row>
    <row r="814" ht="14.25" customHeight="1">
      <c r="A814" s="251"/>
      <c r="B814" s="252"/>
    </row>
    <row r="815" ht="14.25" customHeight="1">
      <c r="A815" s="251"/>
      <c r="B815" s="252"/>
    </row>
    <row r="816" ht="14.25" customHeight="1">
      <c r="A816" s="251"/>
      <c r="B816" s="252"/>
    </row>
    <row r="817" ht="14.25" customHeight="1">
      <c r="A817" s="251"/>
      <c r="B817" s="252"/>
    </row>
    <row r="818" ht="14.25" customHeight="1">
      <c r="A818" s="251"/>
      <c r="B818" s="252"/>
    </row>
    <row r="819" ht="14.25" customHeight="1">
      <c r="A819" s="251"/>
      <c r="B819" s="252"/>
    </row>
    <row r="820" ht="14.25" customHeight="1">
      <c r="A820" s="251"/>
      <c r="B820" s="252"/>
    </row>
    <row r="821" ht="14.25" customHeight="1">
      <c r="A821" s="251"/>
      <c r="B821" s="252"/>
    </row>
    <row r="822" ht="14.25" customHeight="1">
      <c r="A822" s="251"/>
      <c r="B822" s="252"/>
    </row>
    <row r="823" ht="14.25" customHeight="1">
      <c r="A823" s="251"/>
      <c r="B823" s="252"/>
    </row>
    <row r="824" ht="14.25" customHeight="1">
      <c r="A824" s="251"/>
      <c r="B824" s="252"/>
    </row>
    <row r="825" ht="14.25" customHeight="1">
      <c r="A825" s="251"/>
      <c r="B825" s="252"/>
    </row>
    <row r="826" ht="14.25" customHeight="1">
      <c r="A826" s="251"/>
      <c r="B826" s="252"/>
    </row>
    <row r="827" ht="14.25" customHeight="1">
      <c r="A827" s="251"/>
      <c r="B827" s="252"/>
    </row>
    <row r="828" ht="14.25" customHeight="1">
      <c r="A828" s="251"/>
      <c r="B828" s="252"/>
    </row>
    <row r="829" ht="14.25" customHeight="1">
      <c r="A829" s="251"/>
      <c r="B829" s="252"/>
    </row>
    <row r="830" ht="14.25" customHeight="1">
      <c r="A830" s="251"/>
      <c r="B830" s="252"/>
    </row>
    <row r="831" ht="14.25" customHeight="1">
      <c r="A831" s="251"/>
      <c r="B831" s="252"/>
    </row>
    <row r="832" ht="14.25" customHeight="1">
      <c r="A832" s="251"/>
      <c r="B832" s="252"/>
    </row>
    <row r="833" ht="14.25" customHeight="1">
      <c r="A833" s="251"/>
      <c r="B833" s="252"/>
    </row>
    <row r="834" ht="14.25" customHeight="1">
      <c r="A834" s="251"/>
      <c r="B834" s="252"/>
    </row>
    <row r="835" ht="14.25" customHeight="1">
      <c r="A835" s="251"/>
      <c r="B835" s="252"/>
    </row>
    <row r="836" ht="14.25" customHeight="1">
      <c r="A836" s="251"/>
      <c r="B836" s="252"/>
    </row>
    <row r="837" ht="14.25" customHeight="1">
      <c r="A837" s="251"/>
      <c r="B837" s="252"/>
    </row>
    <row r="838" ht="14.25" customHeight="1">
      <c r="A838" s="251"/>
      <c r="B838" s="252"/>
    </row>
    <row r="839" ht="14.25" customHeight="1">
      <c r="A839" s="251"/>
      <c r="B839" s="252"/>
    </row>
    <row r="840" ht="14.25" customHeight="1">
      <c r="A840" s="251"/>
      <c r="B840" s="252"/>
    </row>
    <row r="841" ht="14.25" customHeight="1">
      <c r="A841" s="251"/>
      <c r="B841" s="252"/>
    </row>
    <row r="842" ht="14.25" customHeight="1">
      <c r="A842" s="251"/>
      <c r="B842" s="252"/>
    </row>
    <row r="843" ht="14.25" customHeight="1">
      <c r="A843" s="251"/>
      <c r="B843" s="252"/>
    </row>
    <row r="844" ht="14.25" customHeight="1">
      <c r="A844" s="251"/>
      <c r="B844" s="252"/>
    </row>
    <row r="845" ht="14.25" customHeight="1">
      <c r="A845" s="251"/>
      <c r="B845" s="252"/>
    </row>
    <row r="846" ht="14.25" customHeight="1">
      <c r="A846" s="251"/>
      <c r="B846" s="252"/>
    </row>
    <row r="847" ht="14.25" customHeight="1">
      <c r="A847" s="251"/>
      <c r="B847" s="252"/>
    </row>
    <row r="848" ht="14.25" customHeight="1">
      <c r="A848" s="251"/>
      <c r="B848" s="252"/>
    </row>
    <row r="849" ht="14.25" customHeight="1">
      <c r="A849" s="251"/>
      <c r="B849" s="252"/>
    </row>
    <row r="850" ht="14.25" customHeight="1">
      <c r="A850" s="251"/>
      <c r="B850" s="252"/>
    </row>
    <row r="851" ht="14.25" customHeight="1">
      <c r="A851" s="251"/>
      <c r="B851" s="252"/>
    </row>
    <row r="852" ht="14.25" customHeight="1">
      <c r="A852" s="251"/>
      <c r="B852" s="252"/>
    </row>
    <row r="853" ht="14.25" customHeight="1">
      <c r="A853" s="251"/>
      <c r="B853" s="252"/>
    </row>
    <row r="854" ht="14.25" customHeight="1">
      <c r="A854" s="251"/>
      <c r="B854" s="252"/>
    </row>
    <row r="855" ht="14.25" customHeight="1">
      <c r="A855" s="251"/>
      <c r="B855" s="252"/>
    </row>
    <row r="856" ht="14.25" customHeight="1">
      <c r="A856" s="251"/>
      <c r="B856" s="252"/>
    </row>
    <row r="857" ht="14.25" customHeight="1">
      <c r="A857" s="251"/>
      <c r="B857" s="252"/>
    </row>
    <row r="858" ht="14.25" customHeight="1">
      <c r="A858" s="251"/>
      <c r="B858" s="252"/>
    </row>
    <row r="859" ht="14.25" customHeight="1">
      <c r="A859" s="251"/>
      <c r="B859" s="252"/>
    </row>
    <row r="860" ht="14.25" customHeight="1">
      <c r="A860" s="251"/>
      <c r="B860" s="252"/>
    </row>
    <row r="861" ht="14.25" customHeight="1">
      <c r="A861" s="251"/>
      <c r="B861" s="252"/>
    </row>
    <row r="862" ht="14.25" customHeight="1">
      <c r="A862" s="251"/>
      <c r="B862" s="252"/>
    </row>
    <row r="863" ht="14.25" customHeight="1">
      <c r="A863" s="251"/>
      <c r="B863" s="252"/>
    </row>
    <row r="864" ht="14.25" customHeight="1">
      <c r="A864" s="251"/>
      <c r="B864" s="252"/>
    </row>
    <row r="865" ht="14.25" customHeight="1">
      <c r="A865" s="251"/>
      <c r="B865" s="252"/>
    </row>
    <row r="866" ht="14.25" customHeight="1">
      <c r="A866" s="251"/>
      <c r="B866" s="252"/>
    </row>
    <row r="867" ht="14.25" customHeight="1">
      <c r="A867" s="251"/>
      <c r="B867" s="252"/>
    </row>
    <row r="868" ht="14.25" customHeight="1">
      <c r="A868" s="251"/>
      <c r="B868" s="252"/>
    </row>
    <row r="869" ht="14.25" customHeight="1">
      <c r="A869" s="251"/>
      <c r="B869" s="252"/>
    </row>
    <row r="870" ht="14.25" customHeight="1">
      <c r="A870" s="251"/>
      <c r="B870" s="252"/>
    </row>
    <row r="871" ht="14.25" customHeight="1">
      <c r="A871" s="251"/>
      <c r="B871" s="252"/>
    </row>
    <row r="872" ht="14.25" customHeight="1">
      <c r="A872" s="251"/>
      <c r="B872" s="252"/>
    </row>
    <row r="873" ht="14.25" customHeight="1">
      <c r="A873" s="251"/>
      <c r="B873" s="252"/>
    </row>
    <row r="874" ht="14.25" customHeight="1">
      <c r="A874" s="251"/>
      <c r="B874" s="252"/>
    </row>
    <row r="875" ht="14.25" customHeight="1">
      <c r="A875" s="251"/>
      <c r="B875" s="252"/>
    </row>
    <row r="876" ht="14.25" customHeight="1">
      <c r="A876" s="251"/>
      <c r="B876" s="252"/>
    </row>
    <row r="877" ht="14.25" customHeight="1">
      <c r="A877" s="251"/>
      <c r="B877" s="252"/>
    </row>
    <row r="878" ht="14.25" customHeight="1">
      <c r="A878" s="251"/>
      <c r="B878" s="252"/>
    </row>
    <row r="879" ht="14.25" customHeight="1">
      <c r="A879" s="251"/>
      <c r="B879" s="252"/>
    </row>
    <row r="880" ht="14.25" customHeight="1">
      <c r="A880" s="251"/>
      <c r="B880" s="252"/>
    </row>
    <row r="881" ht="14.25" customHeight="1">
      <c r="A881" s="251"/>
      <c r="B881" s="252"/>
    </row>
    <row r="882" ht="14.25" customHeight="1">
      <c r="A882" s="251"/>
      <c r="B882" s="252"/>
    </row>
    <row r="883" ht="14.25" customHeight="1">
      <c r="A883" s="251"/>
      <c r="B883" s="252"/>
    </row>
    <row r="884" ht="14.25" customHeight="1">
      <c r="A884" s="251"/>
      <c r="B884" s="252"/>
    </row>
    <row r="885" ht="14.25" customHeight="1">
      <c r="A885" s="251"/>
      <c r="B885" s="252"/>
    </row>
    <row r="886" ht="14.25" customHeight="1">
      <c r="A886" s="251"/>
      <c r="B886" s="252"/>
    </row>
    <row r="887" ht="14.25" customHeight="1">
      <c r="A887" s="251"/>
      <c r="B887" s="252"/>
    </row>
    <row r="888" ht="14.25" customHeight="1">
      <c r="A888" s="251"/>
      <c r="B888" s="252"/>
    </row>
    <row r="889" ht="14.25" customHeight="1">
      <c r="A889" s="251"/>
      <c r="B889" s="252"/>
    </row>
    <row r="890" ht="14.25" customHeight="1">
      <c r="A890" s="251"/>
      <c r="B890" s="252"/>
    </row>
    <row r="891" ht="14.25" customHeight="1">
      <c r="A891" s="251"/>
      <c r="B891" s="252"/>
    </row>
    <row r="892" ht="14.25" customHeight="1">
      <c r="A892" s="251"/>
      <c r="B892" s="252"/>
    </row>
    <row r="893" ht="14.25" customHeight="1">
      <c r="A893" s="251"/>
      <c r="B893" s="252"/>
    </row>
    <row r="894" ht="14.25" customHeight="1">
      <c r="A894" s="251"/>
      <c r="B894" s="252"/>
    </row>
    <row r="895" ht="14.25" customHeight="1">
      <c r="A895" s="251"/>
      <c r="B895" s="252"/>
    </row>
    <row r="896" ht="14.25" customHeight="1">
      <c r="A896" s="251"/>
      <c r="B896" s="252"/>
    </row>
    <row r="897" ht="14.25" customHeight="1">
      <c r="A897" s="251"/>
      <c r="B897" s="252"/>
    </row>
    <row r="898" ht="14.25" customHeight="1">
      <c r="A898" s="251"/>
      <c r="B898" s="252"/>
    </row>
    <row r="899" ht="14.25" customHeight="1">
      <c r="A899" s="251"/>
      <c r="B899" s="252"/>
    </row>
    <row r="900" ht="14.25" customHeight="1">
      <c r="A900" s="251"/>
      <c r="B900" s="252"/>
    </row>
    <row r="901" ht="14.25" customHeight="1">
      <c r="A901" s="251"/>
      <c r="B901" s="252"/>
    </row>
    <row r="902" ht="14.25" customHeight="1">
      <c r="A902" s="251"/>
      <c r="B902" s="252"/>
    </row>
    <row r="903" ht="14.25" customHeight="1">
      <c r="A903" s="251"/>
      <c r="B903" s="252"/>
    </row>
    <row r="904" ht="14.25" customHeight="1">
      <c r="A904" s="251"/>
      <c r="B904" s="252"/>
    </row>
    <row r="905" ht="14.25" customHeight="1">
      <c r="A905" s="251"/>
      <c r="B905" s="252"/>
    </row>
    <row r="906" ht="14.25" customHeight="1">
      <c r="A906" s="251"/>
      <c r="B906" s="252"/>
    </row>
    <row r="907" ht="14.25" customHeight="1">
      <c r="A907" s="251"/>
      <c r="B907" s="252"/>
    </row>
    <row r="908" ht="14.25" customHeight="1">
      <c r="A908" s="251"/>
      <c r="B908" s="252"/>
    </row>
    <row r="909" ht="14.25" customHeight="1">
      <c r="A909" s="251"/>
      <c r="B909" s="252"/>
    </row>
    <row r="910" ht="14.25" customHeight="1">
      <c r="A910" s="251"/>
      <c r="B910" s="252"/>
    </row>
    <row r="911" ht="14.25" customHeight="1">
      <c r="A911" s="251"/>
      <c r="B911" s="252"/>
    </row>
    <row r="912" ht="14.25" customHeight="1">
      <c r="A912" s="251"/>
      <c r="B912" s="252"/>
    </row>
    <row r="913" ht="14.25" customHeight="1">
      <c r="A913" s="251"/>
      <c r="B913" s="252"/>
    </row>
    <row r="914" ht="14.25" customHeight="1">
      <c r="A914" s="251"/>
      <c r="B914" s="252"/>
    </row>
    <row r="915" ht="14.25" customHeight="1">
      <c r="A915" s="251"/>
      <c r="B915" s="252"/>
    </row>
    <row r="916" ht="14.25" customHeight="1">
      <c r="A916" s="251"/>
      <c r="B916" s="252"/>
    </row>
    <row r="917" ht="14.25" customHeight="1">
      <c r="A917" s="251"/>
      <c r="B917" s="252"/>
    </row>
    <row r="918" ht="14.25" customHeight="1">
      <c r="A918" s="251"/>
      <c r="B918" s="252"/>
    </row>
    <row r="919" ht="14.25" customHeight="1">
      <c r="A919" s="251"/>
      <c r="B919" s="252"/>
    </row>
    <row r="920" ht="14.25" customHeight="1">
      <c r="A920" s="251"/>
      <c r="B920" s="252"/>
    </row>
    <row r="921" ht="14.25" customHeight="1">
      <c r="A921" s="251"/>
      <c r="B921" s="252"/>
    </row>
    <row r="922" ht="14.25" customHeight="1">
      <c r="A922" s="251"/>
      <c r="B922" s="252"/>
    </row>
    <row r="923" ht="14.25" customHeight="1">
      <c r="A923" s="251"/>
      <c r="B923" s="252"/>
    </row>
    <row r="924" ht="14.25" customHeight="1">
      <c r="A924" s="251"/>
      <c r="B924" s="252"/>
    </row>
    <row r="925" ht="14.25" customHeight="1">
      <c r="A925" s="251"/>
      <c r="B925" s="252"/>
    </row>
    <row r="926" ht="14.25" customHeight="1">
      <c r="A926" s="251"/>
      <c r="B926" s="252"/>
    </row>
    <row r="927" ht="14.25" customHeight="1">
      <c r="A927" s="251"/>
      <c r="B927" s="252"/>
    </row>
    <row r="928" ht="14.25" customHeight="1">
      <c r="A928" s="251"/>
      <c r="B928" s="252"/>
    </row>
    <row r="929" ht="14.25" customHeight="1">
      <c r="A929" s="251"/>
      <c r="B929" s="252"/>
    </row>
    <row r="930" ht="14.25" customHeight="1">
      <c r="A930" s="251"/>
      <c r="B930" s="252"/>
    </row>
    <row r="931" ht="14.25" customHeight="1">
      <c r="A931" s="251"/>
      <c r="B931" s="252"/>
    </row>
    <row r="932" ht="14.25" customHeight="1">
      <c r="A932" s="251"/>
      <c r="B932" s="252"/>
    </row>
    <row r="933" ht="14.25" customHeight="1">
      <c r="A933" s="251"/>
      <c r="B933" s="252"/>
    </row>
    <row r="934" ht="14.25" customHeight="1">
      <c r="A934" s="251"/>
      <c r="B934" s="252"/>
    </row>
    <row r="935" ht="14.25" customHeight="1">
      <c r="A935" s="251"/>
      <c r="B935" s="252"/>
    </row>
    <row r="936" ht="14.25" customHeight="1">
      <c r="A936" s="251"/>
      <c r="B936" s="252"/>
    </row>
    <row r="937" ht="14.25" customHeight="1">
      <c r="A937" s="251"/>
      <c r="B937" s="252"/>
    </row>
    <row r="938" ht="14.25" customHeight="1">
      <c r="A938" s="251"/>
      <c r="B938" s="252"/>
    </row>
    <row r="939" ht="14.25" customHeight="1">
      <c r="A939" s="251"/>
      <c r="B939" s="252"/>
    </row>
    <row r="940" ht="14.25" customHeight="1">
      <c r="A940" s="251"/>
      <c r="B940" s="252"/>
    </row>
    <row r="941" ht="14.25" customHeight="1">
      <c r="A941" s="251"/>
      <c r="B941" s="252"/>
    </row>
    <row r="942" ht="14.25" customHeight="1">
      <c r="A942" s="251"/>
      <c r="B942" s="252"/>
    </row>
    <row r="943" ht="14.25" customHeight="1">
      <c r="A943" s="251"/>
      <c r="B943" s="252"/>
    </row>
    <row r="944" ht="14.25" customHeight="1">
      <c r="A944" s="251"/>
      <c r="B944" s="252"/>
    </row>
    <row r="945" ht="14.25" customHeight="1">
      <c r="A945" s="251"/>
      <c r="B945" s="252"/>
    </row>
    <row r="946" ht="14.25" customHeight="1">
      <c r="A946" s="251"/>
      <c r="B946" s="252"/>
    </row>
    <row r="947" ht="14.25" customHeight="1">
      <c r="A947" s="251"/>
      <c r="B947" s="252"/>
    </row>
    <row r="948" ht="14.25" customHeight="1">
      <c r="A948" s="251"/>
      <c r="B948" s="252"/>
    </row>
    <row r="949" ht="14.25" customHeight="1">
      <c r="A949" s="251"/>
      <c r="B949" s="252"/>
    </row>
    <row r="950" ht="14.25" customHeight="1">
      <c r="A950" s="251"/>
      <c r="B950" s="252"/>
    </row>
    <row r="951" ht="14.25" customHeight="1">
      <c r="A951" s="251"/>
      <c r="B951" s="252"/>
    </row>
    <row r="952" ht="14.25" customHeight="1">
      <c r="A952" s="251"/>
      <c r="B952" s="252"/>
    </row>
    <row r="953" ht="14.25" customHeight="1">
      <c r="A953" s="251"/>
      <c r="B953" s="252"/>
    </row>
    <row r="954" ht="14.25" customHeight="1">
      <c r="A954" s="251"/>
      <c r="B954" s="252"/>
    </row>
    <row r="955" ht="14.25" customHeight="1">
      <c r="A955" s="251"/>
      <c r="B955" s="252"/>
    </row>
    <row r="956" ht="14.25" customHeight="1">
      <c r="A956" s="251"/>
      <c r="B956" s="252"/>
    </row>
    <row r="957" ht="14.25" customHeight="1">
      <c r="A957" s="251"/>
      <c r="B957" s="252"/>
    </row>
    <row r="958" ht="14.25" customHeight="1">
      <c r="A958" s="251"/>
      <c r="B958" s="252"/>
    </row>
    <row r="959" ht="14.25" customHeight="1">
      <c r="A959" s="251"/>
      <c r="B959" s="252"/>
    </row>
    <row r="960" ht="14.25" customHeight="1">
      <c r="A960" s="251"/>
      <c r="B960" s="252"/>
    </row>
    <row r="961" ht="14.25" customHeight="1">
      <c r="A961" s="251"/>
      <c r="B961" s="252"/>
    </row>
    <row r="962" ht="14.25" customHeight="1">
      <c r="A962" s="251"/>
      <c r="B962" s="252"/>
    </row>
    <row r="963" ht="14.25" customHeight="1">
      <c r="A963" s="251"/>
      <c r="B963" s="252"/>
    </row>
    <row r="964" ht="14.25" customHeight="1">
      <c r="A964" s="251"/>
      <c r="B964" s="252"/>
    </row>
    <row r="965" ht="14.25" customHeight="1">
      <c r="A965" s="251"/>
      <c r="B965" s="252"/>
    </row>
    <row r="966" ht="14.25" customHeight="1">
      <c r="A966" s="251"/>
      <c r="B966" s="252"/>
    </row>
    <row r="967" ht="14.25" customHeight="1">
      <c r="A967" s="251"/>
      <c r="B967" s="252"/>
    </row>
    <row r="968" ht="14.25" customHeight="1">
      <c r="A968" s="251"/>
      <c r="B968" s="252"/>
    </row>
    <row r="969" ht="14.25" customHeight="1">
      <c r="A969" s="251"/>
      <c r="B969" s="252"/>
    </row>
    <row r="970" ht="14.25" customHeight="1">
      <c r="A970" s="251"/>
      <c r="B970" s="252"/>
    </row>
    <row r="971" ht="14.25" customHeight="1">
      <c r="A971" s="251"/>
      <c r="B971" s="252"/>
    </row>
    <row r="972" ht="14.25" customHeight="1">
      <c r="A972" s="251"/>
      <c r="B972" s="252"/>
    </row>
    <row r="973" ht="14.25" customHeight="1">
      <c r="A973" s="251"/>
      <c r="B973" s="252"/>
    </row>
    <row r="974" ht="14.25" customHeight="1">
      <c r="A974" s="251"/>
      <c r="B974" s="252"/>
    </row>
    <row r="975" ht="14.25" customHeight="1">
      <c r="A975" s="251"/>
      <c r="B975" s="252"/>
    </row>
    <row r="976" ht="14.25" customHeight="1">
      <c r="A976" s="251"/>
      <c r="B976" s="252"/>
    </row>
    <row r="977" ht="14.25" customHeight="1">
      <c r="A977" s="251"/>
      <c r="B977" s="252"/>
    </row>
    <row r="978" ht="14.25" customHeight="1">
      <c r="A978" s="251"/>
      <c r="B978" s="252"/>
    </row>
    <row r="979" ht="14.25" customHeight="1">
      <c r="A979" s="251"/>
      <c r="B979" s="252"/>
    </row>
    <row r="980" ht="14.25" customHeight="1">
      <c r="A980" s="251"/>
      <c r="B980" s="252"/>
    </row>
    <row r="981" ht="14.25" customHeight="1">
      <c r="A981" s="251"/>
      <c r="B981" s="252"/>
    </row>
    <row r="982" ht="14.25" customHeight="1">
      <c r="A982" s="251"/>
      <c r="B982" s="252"/>
    </row>
    <row r="983" ht="14.25" customHeight="1">
      <c r="A983" s="251"/>
      <c r="B983" s="252"/>
    </row>
    <row r="984" ht="14.25" customHeight="1">
      <c r="A984" s="251"/>
      <c r="B984" s="252"/>
    </row>
    <row r="985" ht="14.25" customHeight="1">
      <c r="A985" s="251"/>
      <c r="B985" s="252"/>
    </row>
    <row r="986" ht="14.25" customHeight="1">
      <c r="A986" s="251"/>
      <c r="B986" s="252"/>
    </row>
    <row r="987" ht="14.25" customHeight="1">
      <c r="A987" s="251"/>
      <c r="B987" s="252"/>
    </row>
    <row r="988" ht="14.25" customHeight="1">
      <c r="A988" s="251"/>
      <c r="B988" s="252"/>
    </row>
    <row r="989" ht="14.25" customHeight="1">
      <c r="A989" s="251"/>
      <c r="B989" s="252"/>
    </row>
    <row r="990" ht="14.25" customHeight="1">
      <c r="A990" s="251"/>
      <c r="B990" s="252"/>
    </row>
    <row r="991" ht="14.25" customHeight="1">
      <c r="A991" s="251"/>
      <c r="B991" s="252"/>
    </row>
    <row r="992" ht="14.25" customHeight="1">
      <c r="A992" s="251"/>
      <c r="B992" s="252"/>
    </row>
    <row r="993" ht="14.25" customHeight="1">
      <c r="A993" s="251"/>
      <c r="B993" s="252"/>
    </row>
    <row r="994" ht="14.25" customHeight="1">
      <c r="A994" s="251"/>
      <c r="B994" s="252"/>
    </row>
    <row r="995" ht="14.25" customHeight="1">
      <c r="A995" s="251"/>
      <c r="B995" s="252"/>
    </row>
    <row r="996" ht="14.25" customHeight="1">
      <c r="A996" s="251"/>
      <c r="B996" s="252"/>
    </row>
    <row r="997" ht="14.25" customHeight="1">
      <c r="A997" s="251"/>
      <c r="B997" s="252"/>
    </row>
    <row r="998" ht="14.25" customHeight="1">
      <c r="A998" s="251"/>
      <c r="B998" s="252"/>
    </row>
    <row r="999" ht="14.25" customHeight="1">
      <c r="A999" s="251"/>
      <c r="B999" s="252"/>
    </row>
    <row r="1000" ht="14.25" customHeight="1">
      <c r="A1000" s="251"/>
      <c r="B1000" s="252"/>
    </row>
  </sheetData>
  <mergeCells count="2">
    <mergeCell ref="B1:G1"/>
    <mergeCell ref="N23:O26"/>
  </mergeCells>
  <conditionalFormatting sqref="N23">
    <cfRule type="cellIs" dxfId="1" priority="1" operator="equal">
      <formula>"G"</formula>
    </cfRule>
  </conditionalFormatting>
  <conditionalFormatting sqref="N23">
    <cfRule type="cellIs" dxfId="4" priority="2" operator="equal">
      <formula>"A"</formula>
    </cfRule>
  </conditionalFormatting>
  <conditionalFormatting sqref="N23">
    <cfRule type="cellIs" dxfId="5" priority="3" operator="equal">
      <formula>"R"</formula>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2019-09-18T08:51:50Z</dcterms:created>
  <dc:creator>Priyendra Kumar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