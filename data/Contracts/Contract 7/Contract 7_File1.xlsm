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hishGupta\OneDrive - Uniqus Consultech Inc\Clients-Ashish-Gupta\WNS\AI\"/>
    </mc:Choice>
  </mc:AlternateContent>
  <xr:revisionPtr revIDLastSave="0" documentId="13_ncr:1_{B2D99333-62A9-4A55-A28C-50F2C19C1CC0}" xr6:coauthVersionLast="47" xr6:coauthVersionMax="47" xr10:uidLastSave="{00000000-0000-0000-0000-000000000000}"/>
  <bookViews>
    <workbookView xWindow="-110" yWindow="-110" windowWidth="19420" windowHeight="10300" firstSheet="5" activeTab="10" xr2:uid="{00000000-000D-0000-FFFF-FFFF00000000}"/>
  </bookViews>
  <sheets>
    <sheet name="Mapping" sheetId="33" r:id="rId1"/>
    <sheet name="Dashboard" sheetId="1" r:id="rId2"/>
    <sheet name="Intro" sheetId="23" r:id="rId3"/>
    <sheet name="Step 1" sheetId="24" r:id="rId4"/>
    <sheet name="Step 2" sheetId="25" r:id="rId5"/>
    <sheet name="Step 3" sheetId="26" r:id="rId6"/>
    <sheet name="Step 4" sheetId="27" r:id="rId7"/>
    <sheet name="Step 5" sheetId="28" r:id="rId8"/>
    <sheet name="Cost" sheetId="29" r:id="rId9"/>
    <sheet name="Other Issues" sheetId="30" r:id="rId10"/>
    <sheet name="Assesment" sheetId="32" r:id="rId11"/>
    <sheet name="Conclusion" sheetId="34" r:id="rId12"/>
    <sheet name="Data" sheetId="7" state="hidden" r:id="rId13"/>
    <sheet name="Settings" sheetId="8" state="hidden" r:id="rId14"/>
    <sheet name="Support" sheetId="10" state="hidden" r:id="rId15"/>
  </sheets>
  <definedNames>
    <definedName name="_xlnm._FilterDatabase" localSheetId="1" hidden="1">Dashboard!$D$9:$F$11</definedName>
    <definedName name="_xlnm._FilterDatabase" localSheetId="12" hidden="1">Data!$A$1:$I$73</definedName>
    <definedName name="_xlnm._FilterDatabase" localSheetId="4" hidden="1">'Step 2'!$D$22:$H$30</definedName>
    <definedName name="_xlnm._FilterDatabase" localSheetId="7" hidden="1">'Step 5'!$D$16:$H$20</definedName>
    <definedName name="_Hlk503774654" localSheetId="9">'Other Issues'!$D$10</definedName>
    <definedName name="CBB">OFFSET(Mapping!$D$2,0,0,COUNTA(Mapping!$D:$D),1)</definedName>
    <definedName name="Yes_No">OFFSET(Mapping!$A$2,0,0,COUNTA(Mapping!$A:$A),1)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34" l="1" a="1"/>
  <c r="E17" i="34" s="1"/>
  <c r="E16" i="34" a="1"/>
  <c r="E16" i="34" s="1"/>
  <c r="E13" i="34" a="1"/>
  <c r="E13" i="34" s="1"/>
  <c r="E12" i="34" a="1"/>
  <c r="E12" i="34" s="1"/>
  <c r="E11" i="34" a="1"/>
  <c r="E11" i="34" s="1"/>
  <c r="E10" i="34" a="1"/>
  <c r="E10" i="34" s="1"/>
  <c r="D45" i="26"/>
  <c r="D44" i="26"/>
  <c r="D43" i="26"/>
  <c r="D42" i="26"/>
  <c r="E27" i="26"/>
  <c r="E26" i="26"/>
  <c r="E25" i="26"/>
  <c r="E24" i="26"/>
  <c r="F50" i="26" l="1"/>
  <c r="F49" i="26"/>
  <c r="F48" i="26"/>
  <c r="F47" i="26"/>
  <c r="F46" i="26"/>
  <c r="F45" i="26"/>
  <c r="F44" i="26"/>
  <c r="F43" i="26"/>
  <c r="F42" i="26"/>
  <c r="E7" i="34" a="1"/>
  <c r="E7" i="34" s="1"/>
  <c r="E4" i="34" a="1"/>
  <c r="E4" i="34" s="1"/>
  <c r="D50" i="26"/>
  <c r="D49" i="26"/>
  <c r="D48" i="26"/>
  <c r="D47" i="26"/>
  <c r="D46" i="26"/>
  <c r="E32" i="26"/>
  <c r="E31" i="26"/>
  <c r="E30" i="26"/>
  <c r="E29" i="26"/>
  <c r="E28" i="26"/>
  <c r="G23" i="25" l="1"/>
  <c r="H20" i="28"/>
  <c r="E23" i="34" s="1"/>
  <c r="H19" i="28"/>
  <c r="E22" i="34" s="1"/>
  <c r="H18" i="28"/>
  <c r="E21" i="34" s="1"/>
  <c r="H17" i="28"/>
  <c r="E20" i="34" s="1"/>
  <c r="G26" i="25"/>
  <c r="G25" i="25"/>
  <c r="D29" i="27" s="1"/>
  <c r="G24" i="25"/>
  <c r="D27" i="27" l="1"/>
  <c r="E21" i="27"/>
  <c r="D28" i="27"/>
  <c r="I22" i="28"/>
  <c r="D26" i="24"/>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3" i="7"/>
  <c r="J4" i="7"/>
  <c r="J2" i="7"/>
  <c r="N13" i="10"/>
  <c r="N14" i="10"/>
  <c r="N12" i="10"/>
  <c r="N5" i="10"/>
  <c r="N6" i="10"/>
  <c r="N4" i="10"/>
  <c r="N3" i="10" l="1"/>
  <c r="O3" i="10" s="1"/>
  <c r="N19" i="10"/>
  <c r="N18" i="10"/>
  <c r="N17" i="10"/>
  <c r="N11" i="10"/>
  <c r="O12" i="10" l="1"/>
  <c r="O11" i="10"/>
  <c r="O5" i="10"/>
  <c r="O6" i="10"/>
  <c r="O4" i="10"/>
  <c r="N23" i="10"/>
  <c r="O18" i="10"/>
  <c r="O19" i="10"/>
  <c r="O14" i="10"/>
  <c r="P14" i="10" s="1"/>
  <c r="O13" i="10"/>
  <c r="P13" i="10" s="1"/>
  <c r="P12" i="10" l="1"/>
  <c r="A3" i="10"/>
  <c r="A4" i="10" s="1"/>
  <c r="C4" i="10" l="1"/>
  <c r="E4" i="10" s="1"/>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B4" i="10"/>
  <c r="C3" i="10"/>
  <c r="F3" i="10" s="1"/>
  <c r="B3" i="10"/>
  <c r="F4" i="10" l="1"/>
  <c r="D4" i="10"/>
  <c r="D3" i="10"/>
  <c r="E3" i="10"/>
  <c r="G4" i="10" l="1"/>
  <c r="G3" i="10"/>
  <c r="C5" i="10" l="1"/>
  <c r="B5" i="10"/>
  <c r="B6" i="10" l="1"/>
  <c r="C6" i="10"/>
  <c r="F5" i="10"/>
  <c r="D5" i="10"/>
  <c r="E5" i="10"/>
  <c r="F6" i="10" l="1"/>
  <c r="D6" i="10"/>
  <c r="E6" i="10"/>
  <c r="G5" i="10"/>
  <c r="B7" i="10"/>
  <c r="C7" i="10"/>
  <c r="B8" i="10" l="1"/>
  <c r="C8" i="10"/>
  <c r="D7" i="10"/>
  <c r="E7" i="10"/>
  <c r="F7" i="10"/>
  <c r="G6" i="10"/>
  <c r="G7" i="10" l="1"/>
  <c r="D8" i="10"/>
  <c r="E8" i="10"/>
  <c r="F8" i="10"/>
  <c r="B9" i="10"/>
  <c r="C9" i="10"/>
  <c r="B10" i="10" l="1"/>
  <c r="C10" i="10"/>
  <c r="F9" i="10"/>
  <c r="D9" i="10"/>
  <c r="E9" i="10"/>
  <c r="G8" i="10"/>
  <c r="C11" i="10" l="1"/>
  <c r="B11" i="10"/>
  <c r="F10" i="10"/>
  <c r="D10" i="10"/>
  <c r="E10" i="10"/>
  <c r="G9" i="10"/>
  <c r="B12" i="10" l="1"/>
  <c r="C12" i="10"/>
  <c r="G10" i="10"/>
  <c r="D11" i="10"/>
  <c r="E11" i="10"/>
  <c r="F11" i="10"/>
  <c r="D12" i="10" l="1"/>
  <c r="E12" i="10"/>
  <c r="F12" i="10"/>
  <c r="G11" i="10"/>
  <c r="C13" i="10"/>
  <c r="B13" i="10"/>
  <c r="E13" i="10" l="1"/>
  <c r="F13" i="10"/>
  <c r="D13" i="10"/>
  <c r="C14" i="10"/>
  <c r="B14" i="10"/>
  <c r="G12" i="10"/>
  <c r="G13" i="10" l="1"/>
  <c r="D14" i="10"/>
  <c r="E14" i="10"/>
  <c r="F14" i="10"/>
  <c r="C15" i="10"/>
  <c r="B15" i="10"/>
  <c r="D15" i="10" l="1"/>
  <c r="E15" i="10"/>
  <c r="F15" i="10"/>
  <c r="B16" i="10"/>
  <c r="C16" i="10"/>
  <c r="G14" i="10"/>
  <c r="B17" i="10" l="1"/>
  <c r="C17" i="10"/>
  <c r="D16" i="10"/>
  <c r="E16" i="10"/>
  <c r="F16" i="10"/>
  <c r="G15" i="10"/>
  <c r="G16" i="10" l="1"/>
  <c r="C18" i="10"/>
  <c r="B18" i="10"/>
  <c r="D17" i="10"/>
  <c r="E17" i="10"/>
  <c r="F17" i="10"/>
  <c r="G17" i="10" l="1"/>
  <c r="B19" i="10"/>
  <c r="C19" i="10"/>
  <c r="E18" i="10"/>
  <c r="F18" i="10"/>
  <c r="D18" i="10"/>
  <c r="B20" i="10" l="1"/>
  <c r="C20" i="10"/>
  <c r="G18" i="10"/>
  <c r="E19" i="10"/>
  <c r="F19" i="10"/>
  <c r="D19" i="10"/>
  <c r="G19" i="10" l="1"/>
  <c r="E20" i="10"/>
  <c r="F20" i="10"/>
  <c r="D20" i="10"/>
  <c r="B21" i="10"/>
  <c r="C21" i="10"/>
  <c r="G20" i="10" l="1"/>
  <c r="B22" i="10"/>
  <c r="C22" i="10"/>
  <c r="F21" i="10"/>
  <c r="D21" i="10"/>
  <c r="E21" i="10"/>
  <c r="E22" i="10" l="1"/>
  <c r="D22" i="10"/>
  <c r="F22" i="10"/>
  <c r="G21" i="10"/>
  <c r="B23" i="10"/>
  <c r="C23" i="10"/>
  <c r="F23" i="10" l="1"/>
  <c r="D23" i="10"/>
  <c r="E23" i="10"/>
  <c r="B24" i="10"/>
  <c r="C24" i="10"/>
  <c r="G22" i="10"/>
  <c r="B25" i="10" l="1"/>
  <c r="C25" i="10"/>
  <c r="E24" i="10"/>
  <c r="F24" i="10"/>
  <c r="D24" i="10"/>
  <c r="G23" i="10"/>
  <c r="D25" i="10" l="1"/>
  <c r="E25" i="10"/>
  <c r="F25" i="10"/>
  <c r="G24" i="10"/>
  <c r="B26" i="10"/>
  <c r="C26" i="10"/>
  <c r="B27" i="10" l="1"/>
  <c r="C27" i="10"/>
  <c r="E26" i="10"/>
  <c r="F26" i="10"/>
  <c r="D26" i="10"/>
  <c r="G25" i="10"/>
  <c r="C28" i="10" l="1"/>
  <c r="B28" i="10"/>
  <c r="G26" i="10"/>
  <c r="F27" i="10"/>
  <c r="D27" i="10"/>
  <c r="E27" i="10"/>
  <c r="G27" i="10" l="1"/>
  <c r="B29" i="10"/>
  <c r="C29" i="10"/>
  <c r="E28" i="10"/>
  <c r="F28" i="10"/>
  <c r="D28" i="10"/>
  <c r="G28" i="10" l="1"/>
  <c r="D29" i="10"/>
  <c r="E29" i="10"/>
  <c r="F29" i="10"/>
  <c r="B30" i="10"/>
  <c r="C30" i="10"/>
  <c r="B31" i="10" l="1"/>
  <c r="C31" i="10"/>
  <c r="E30" i="10"/>
  <c r="F30" i="10"/>
  <c r="D30" i="10"/>
  <c r="G29" i="10"/>
  <c r="C32" i="10" l="1"/>
  <c r="B32" i="10"/>
  <c r="G30" i="10"/>
  <c r="D31" i="10"/>
  <c r="E31" i="10"/>
  <c r="F31" i="10"/>
  <c r="G31" i="10" l="1"/>
  <c r="D32" i="10"/>
  <c r="E32" i="10"/>
  <c r="F32" i="10"/>
  <c r="G3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tc={8B4D15D8-17F7-4F67-98A7-25D2F1916111}</author>
  </authors>
  <commentList>
    <comment ref="D22" authorId="0" shapeId="0" xr:uid="{00000000-0006-0000-0400-000001000000}">
      <text>
        <t>[Threaded comment]
Your version of Excel allows you to read this threaded comment; however, any edits to it will get removed if the file is opened in a newer version of Excel. Learn more: https://go.microsoft.com/fwlink/?linkid=870924
Comment:
    Please copy paste the below row while inserting the new row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<sst xmlns="http://schemas.openxmlformats.org/spreadsheetml/2006/main" count="804" uniqueCount="505">
  <si>
    <t>Start Date</t>
  </si>
  <si>
    <t>Task 1</t>
  </si>
  <si>
    <t>Task 2</t>
  </si>
  <si>
    <t>Task 3</t>
  </si>
  <si>
    <t>Task 4</t>
  </si>
  <si>
    <t>Task 5</t>
  </si>
  <si>
    <t>Task 6</t>
  </si>
  <si>
    <t>Task 7</t>
  </si>
  <si>
    <t>Task 8</t>
  </si>
  <si>
    <t>Task 9</t>
  </si>
  <si>
    <t>Task 10</t>
  </si>
  <si>
    <t>Task Name</t>
  </si>
  <si>
    <t>Assigned to</t>
  </si>
  <si>
    <t>End Date</t>
  </si>
  <si>
    <t>Status</t>
  </si>
  <si>
    <t>Completion%</t>
  </si>
  <si>
    <t>Pending</t>
  </si>
  <si>
    <t>Completed</t>
  </si>
  <si>
    <t>EMP-1</t>
  </si>
  <si>
    <t>EMP-2</t>
  </si>
  <si>
    <t>EMP-3</t>
  </si>
  <si>
    <t>EMP-4</t>
  </si>
  <si>
    <t>EMP-5</t>
  </si>
  <si>
    <t>Day</t>
  </si>
  <si>
    <t>Sun</t>
  </si>
  <si>
    <t>Mon</t>
  </si>
  <si>
    <t>Tue</t>
  </si>
  <si>
    <t>Wed</t>
  </si>
  <si>
    <t>Thu</t>
  </si>
  <si>
    <t>Fri</t>
  </si>
  <si>
    <t>Holiday</t>
  </si>
  <si>
    <t>Y</t>
  </si>
  <si>
    <t>N</t>
  </si>
  <si>
    <t>Sat</t>
  </si>
  <si>
    <t>Date</t>
  </si>
  <si>
    <t>Diwali</t>
  </si>
  <si>
    <t>Christmas</t>
  </si>
  <si>
    <t>High</t>
  </si>
  <si>
    <t>Medium</t>
  </si>
  <si>
    <t>Low</t>
  </si>
  <si>
    <t>Resource</t>
  </si>
  <si>
    <t>EMP-6</t>
  </si>
  <si>
    <t>EMP-7</t>
  </si>
  <si>
    <t>EMP-8</t>
  </si>
  <si>
    <t>EMP-9</t>
  </si>
  <si>
    <t>EMP-10</t>
  </si>
  <si>
    <t>EMP-11</t>
  </si>
  <si>
    <t>EMP-12</t>
  </si>
  <si>
    <t>EMP-13</t>
  </si>
  <si>
    <t>EMP-14</t>
  </si>
  <si>
    <t>EMP-15</t>
  </si>
  <si>
    <t>EMP-16</t>
  </si>
  <si>
    <t>EMP-17</t>
  </si>
  <si>
    <t>EMP-18</t>
  </si>
  <si>
    <t>EMP-19</t>
  </si>
  <si>
    <t>EMP-20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</si>
  <si>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</si>
  <si>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</si>
  <si>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</si>
  <si>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</si>
  <si>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</si>
  <si>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</si>
  <si>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</si>
  <si>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</si>
  <si>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</si>
  <si>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</si>
  <si>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</si>
  <si>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</si>
  <si>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</si>
  <si>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</si>
  <si>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</si>
  <si>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</si>
  <si>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</si>
  <si>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</si>
  <si>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</si>
  <si>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</si>
  <si>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</si>
  <si>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</si>
  <si>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</si>
  <si>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</si>
  <si>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</si>
  <si>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</si>
  <si>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</si>
  <si>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</si>
  <si>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</si>
  <si>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</si>
  <si>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</si>
  <si>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</si>
  <si>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</si>
  <si>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</si>
  <si>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</si>
  <si>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</si>
  <si>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</si>
  <si>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</si>
  <si>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</si>
  <si>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</si>
  <si>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</si>
  <si>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</si>
  <si>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</si>
  <si>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</si>
  <si>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</si>
  <si>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</si>
  <si>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</si>
  <si>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</si>
  <si>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</si>
  <si>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</si>
  <si>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</si>
  <si>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</si>
  <si>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</si>
  <si>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</si>
  <si>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</si>
  <si>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</si>
  <si>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</si>
  <si>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</si>
  <si>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</si>
  <si>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</si>
  <si>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</si>
  <si>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</si>
  <si>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In Progress</t>
  </si>
  <si>
    <t>Task</t>
  </si>
  <si>
    <t>Total</t>
  </si>
  <si>
    <t>Time Line Chart</t>
  </si>
  <si>
    <t>Assigned to -2</t>
  </si>
  <si>
    <t>Assigned to -3</t>
  </si>
  <si>
    <t>Assigned to -4</t>
  </si>
  <si>
    <t>Risk and issue</t>
  </si>
  <si>
    <t>Task Status</t>
  </si>
  <si>
    <t>Project Status</t>
  </si>
  <si>
    <t>In Progress even after end date</t>
  </si>
  <si>
    <t>Task not started even after plan start date</t>
  </si>
  <si>
    <t>Prepared by</t>
  </si>
  <si>
    <t>Reviewed By</t>
  </si>
  <si>
    <t>Approved By</t>
  </si>
  <si>
    <t>Designation: Deputy Manager</t>
  </si>
  <si>
    <t xml:space="preserve">Designation: General Manager </t>
  </si>
  <si>
    <t>Designation: Corporate VP</t>
  </si>
  <si>
    <t>Any other relevant literature reference (please specify)</t>
  </si>
  <si>
    <t>Objective</t>
  </si>
  <si>
    <t>Business Overview</t>
  </si>
  <si>
    <t>In BPM segment, Company charges for services primarily based on the following pricing models:</t>
  </si>
  <si>
    <r>
      <t>1)</t>
    </r>
    <r>
      <rPr>
        <sz val="7"/>
        <color theme="1"/>
        <rFont val="Times New Roman"/>
        <family val="1"/>
      </rPr>
      <t xml:space="preserve">       </t>
    </r>
    <r>
      <rPr>
        <b/>
        <sz val="10"/>
        <color theme="1"/>
        <rFont val="Calibri"/>
        <family val="2"/>
      </rPr>
      <t>Per full time equivalent</t>
    </r>
    <r>
      <rPr>
        <sz val="10"/>
        <color theme="1"/>
        <rFont val="Calibri"/>
        <family val="2"/>
      </rPr>
      <t xml:space="preserve"> – This arrangement typically involve billing based on number of full time employees (or equivalent) deployed on the execution of the business process managed;</t>
    </r>
  </si>
  <si>
    <r>
      <t>2)</t>
    </r>
    <r>
      <rPr>
        <sz val="7"/>
        <color theme="1"/>
        <rFont val="Times New Roman"/>
        <family val="1"/>
      </rPr>
      <t xml:space="preserve">       </t>
    </r>
    <r>
      <rPr>
        <b/>
        <sz val="10"/>
        <color theme="1"/>
        <rFont val="Calibri"/>
        <family val="2"/>
      </rPr>
      <t xml:space="preserve">Per Transaction </t>
    </r>
    <r>
      <rPr>
        <sz val="10"/>
        <color theme="1"/>
        <rFont val="Calibri"/>
        <family val="2"/>
      </rPr>
      <t>– This arrangement typically involves billing based on number of transactions processed (such as the number of E-mail responses, airlines coupons or insurance claim processed);</t>
    </r>
  </si>
  <si>
    <r>
      <t>3)</t>
    </r>
    <r>
      <rPr>
        <sz val="7"/>
        <color theme="1"/>
        <rFont val="Times New Roman"/>
        <family val="1"/>
      </rPr>
      <t xml:space="preserve">       </t>
    </r>
    <r>
      <rPr>
        <b/>
        <sz val="10"/>
        <color theme="1"/>
        <rFont val="Calibri"/>
        <family val="2"/>
      </rPr>
      <t>Fixed-price arrangements</t>
    </r>
    <r>
      <rPr>
        <sz val="10"/>
        <color theme="1"/>
        <rFont val="Calibri"/>
        <family val="2"/>
      </rPr>
      <t>- This typically involve billings based on achievements of pre-defined deliverables or milestones;</t>
    </r>
  </si>
  <si>
    <r>
      <t>4)</t>
    </r>
    <r>
      <rPr>
        <sz val="7"/>
        <color theme="1"/>
        <rFont val="Times New Roman"/>
        <family val="1"/>
      </rPr>
      <t xml:space="preserve">       </t>
    </r>
    <r>
      <rPr>
        <b/>
        <sz val="10"/>
        <color theme="1"/>
        <rFont val="Calibri"/>
        <family val="2"/>
      </rPr>
      <t>Subscription arrangements</t>
    </r>
    <r>
      <rPr>
        <sz val="10"/>
        <color theme="1"/>
        <rFont val="Calibri"/>
        <family val="2"/>
      </rPr>
      <t>- This typically involve billings based on per member per month, based on contractually agreed; or</t>
    </r>
  </si>
  <si>
    <r>
      <t>Other pricing arrangements,</t>
    </r>
    <r>
      <rPr>
        <sz val="10"/>
        <color theme="1"/>
        <rFont val="Calibri"/>
        <family val="2"/>
        <scheme val="minor"/>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</si>
  <si>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</si>
  <si>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 xml:space="preserve">i. </t>
  </si>
  <si>
    <t xml:space="preserve">Collection is considered probable </t>
  </si>
  <si>
    <t xml:space="preserve">ii. </t>
  </si>
  <si>
    <t xml:space="preserve">It has commercial substance </t>
  </si>
  <si>
    <t xml:space="preserve">iii. </t>
  </si>
  <si>
    <t xml:space="preserve">Rights to goods and services can be identified </t>
  </si>
  <si>
    <t xml:space="preserve">iv. </t>
  </si>
  <si>
    <t xml:space="preserve">It is approved and the parties are committed to their obligations </t>
  </si>
  <si>
    <t>Existence of a contract:</t>
  </si>
  <si>
    <t>Description</t>
  </si>
  <si>
    <t>Yes/No</t>
  </si>
  <si>
    <t>Analysis</t>
  </si>
  <si>
    <t>Yes</t>
  </si>
  <si>
    <t>No</t>
  </si>
  <si>
    <t>NA</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</si>
  <si>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</si>
  <si>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</si>
  <si>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</si>
  <si>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</si>
  <si>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</si>
  <si>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</si>
  <si>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</si>
  <si>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</si>
  <si>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</si>
  <si>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</si>
  <si>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</si>
  <si>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 xml:space="preserve">Conclusion: </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</si>
  <si>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</si>
  <si>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</si>
  <si>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</si>
  <si>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</si>
  <si>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 xml:space="preserve">Criterion 1 </t>
  </si>
  <si>
    <t xml:space="preserve">Criterion 2 </t>
  </si>
  <si>
    <r>
      <t xml:space="preserve">i   </t>
    </r>
    <r>
      <rPr>
        <b/>
        <sz val="10"/>
        <color rgb="FF000000"/>
        <rFont val="Calibri"/>
        <family val="2"/>
        <scheme val="minor"/>
      </rPr>
      <t>Significant integration service:</t>
    </r>
    <r>
      <rPr>
        <sz val="10"/>
        <color rgb="FF000000"/>
        <rFont val="Calibri"/>
        <family val="2"/>
        <scheme val="minor"/>
      </rPr>
      <t xml:space="preserve"> the Company provides a significant service of integrating the good or service with other goods or services promised in the contract into a bundle of goods or services that represents the combined output for which the customer has contracted. </t>
    </r>
  </si>
  <si>
    <r>
      <t xml:space="preserve">ii  </t>
    </r>
    <r>
      <rPr>
        <b/>
        <sz val="10"/>
        <color rgb="FF000000"/>
        <rFont val="Calibri"/>
        <family val="2"/>
        <scheme val="minor"/>
      </rPr>
      <t>Significant modification/customisation:</t>
    </r>
    <r>
      <rPr>
        <sz val="10"/>
        <color rgb="FF000000"/>
        <rFont val="Calibri"/>
        <family val="2"/>
        <scheme val="minor"/>
      </rPr>
      <t xml:space="preserve"> Goods or services significantly modify or customise another good or service promised in the contract. </t>
    </r>
  </si>
  <si>
    <r>
      <t xml:space="preserve">iii  </t>
    </r>
    <r>
      <rPr>
        <b/>
        <sz val="10"/>
        <color rgb="FF000000"/>
        <rFont val="Calibri"/>
        <family val="2"/>
        <scheme val="minor"/>
      </rPr>
      <t>Highly dependent/highly interrelated:</t>
    </r>
    <r>
      <rPr>
        <sz val="10"/>
        <color rgb="FF000000"/>
        <rFont val="Calibri"/>
        <family val="2"/>
        <scheme val="minor"/>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</si>
  <si>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</si>
  <si>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</si>
  <si>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Performance Obligation?</t>
  </si>
  <si>
    <t xml:space="preserve">Conclusion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</si>
  <si>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</si>
  <si>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</si>
  <si>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</si>
  <si>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</si>
  <si>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Allocation of transaction price required? </t>
  </si>
  <si>
    <t>Allocation of variable consideration</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</si>
  <si>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</si>
  <si>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</si>
  <si>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</si>
  <si>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</si>
  <si>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The customer simultaneously receives and consumes the benefits provided by the Company' performance as the Company performs </t>
  </si>
  <si>
    <t xml:space="preserve">The Company's performance creates or enhances an asset that the customer controls as the asset is created or enhanced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</si>
  <si>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</si>
  <si>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Criterion 3 </t>
  </si>
  <si>
    <t xml:space="preserve">Performance obligations according to Step 2 </t>
  </si>
  <si>
    <t>Selecting a method that depicts the performance i.e. a pattern of transfer of control of the goods and services to the customer:</t>
  </si>
  <si>
    <t xml:space="preserve">Guidance </t>
  </si>
  <si>
    <t xml:space="preserve">Method 1: Output: </t>
  </si>
  <si>
    <t xml:space="preserve">Method 2: Input: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</si>
  <si>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</si>
  <si>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</si>
  <si>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</si>
  <si>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</si>
  <si>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</si>
  <si>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</si>
  <si>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Is the contract modification approved ?</t>
  </si>
  <si>
    <t>Does the modification solely add additional goods or services ?</t>
  </si>
  <si>
    <t>Are the additional goods or services distinct ?</t>
  </si>
  <si>
    <t>Are the remaning goods or services distinct ?</t>
  </si>
  <si>
    <t>C. Modification of contract</t>
  </si>
  <si>
    <t>A. contract exists if:</t>
  </si>
  <si>
    <t>Literature reference for relevant accounting guidance under US GAAP</t>
  </si>
  <si>
    <t>ASC 815 - Derivatives and hedging</t>
  </si>
  <si>
    <t>ASC 450 - Contingencies</t>
  </si>
  <si>
    <t>ASC 606 - Revenue from contract with customer</t>
  </si>
  <si>
    <t>Aim of this checklist is to ensure that all the revenue recognition criteria as prescribed under US GAAP are fulfilled. This Accounting Checklist is tailored to address the specific circumstances of BPO – Outsourcing business.</t>
  </si>
  <si>
    <t>Is there a combination of contracts necessary (606-10-25-9) ?</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</si>
  <si>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</si>
  <si>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</si>
  <si>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A promise is classified as a performance obligation, if the good or service is capable of being distinct  distinct (ASC 606-10-25-19 (a)) and distinct in the context of the contract (ASC 606-10-25-19 (b)). (ASC 606-10-25-14)</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</si>
  <si>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</si>
  <si>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there an allocation of a variable consideration ? (ASC 606-10-32-39 to 32-41)? </t>
  </si>
  <si>
    <t xml:space="preserve">Criterion 1 ASC 606-10-25-27(a) </t>
  </si>
  <si>
    <t xml:space="preserve">Criterion 2 ASC 606-10-25-27(b) </t>
  </si>
  <si>
    <t xml:space="preserve">Criterion 3 ASC 606-10-25-27(c) </t>
  </si>
  <si>
    <t xml:space="preserve">Performance obligations satisfied over time </t>
  </si>
  <si>
    <t>Perforamance obligation satisfied at a point in time</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</si>
  <si>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</si>
  <si>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</si>
  <si>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Input/Output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</si>
  <si>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</si>
  <si>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</si>
  <si>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</si>
  <si>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</si>
  <si>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</si>
  <si>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</si>
  <si>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</si>
  <si>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</si>
  <si>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</si>
  <si>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</si>
  <si>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</si>
  <si>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</si>
  <si>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</si>
  <si>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</si>
  <si>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</si>
  <si>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t>A.</t>
    </r>
    <r>
      <rPr>
        <b/>
        <u/>
        <sz val="10"/>
        <color rgb="FF000000"/>
        <rFont val="Calibri"/>
        <family val="2"/>
        <scheme val="minor"/>
      </rPr>
      <t xml:space="preserve"> Cash consideration</t>
    </r>
    <r>
      <rPr>
        <b/>
        <sz val="10"/>
        <color rgb="FF000000"/>
        <rFont val="Calibri"/>
        <family val="2"/>
        <scheme val="minor"/>
      </rPr>
      <t>:</t>
    </r>
  </si>
  <si>
    <t xml:space="preserve">Is the consideration or a part of the consideration fixed? </t>
  </si>
  <si>
    <t>Is the consideration or a part of the consideration variable (e.g. liquidated damages, discounts, standby rates etc.) (ASC 606-10-32-5 to 32-9)?</t>
  </si>
  <si>
    <t xml:space="preserve">Variable consideration consists of: </t>
  </si>
  <si>
    <t>Service  Credit</t>
  </si>
  <si>
    <t>CBB penalty and rewards</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</si>
  <si>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</si>
  <si>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</si>
  <si>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</si>
  <si>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 xml:space="preserve">Please describe the approach to estimate the variable amount for each variable consideration (most likely amount, expected value) and explain why the method used better predicts the consideration to which the Company will be entitled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</si>
  <si>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</si>
  <si>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</si>
  <si>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</si>
  <si>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No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</si>
  <si>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</si>
  <si>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</si>
  <si>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</si>
  <si>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The transaction price consists of variable consideration(s) which are deemed  probable and need(s) to be included in the transaction price.</t>
  </si>
  <si>
    <r>
      <t xml:space="preserve">B. </t>
    </r>
    <r>
      <rPr>
        <b/>
        <u/>
        <sz val="10"/>
        <color rgb="FF000000"/>
        <rFont val="Calibri"/>
        <family val="2"/>
      </rPr>
      <t>Non-cash consideration:</t>
    </r>
  </si>
  <si>
    <t>Does the consideration include a non-cash component?</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</si>
  <si>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</si>
  <si>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</si>
  <si>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 xml:space="preserve">If answer of the previous question is "Yes", the following questions are relevant: </t>
  </si>
  <si>
    <r>
      <t xml:space="preserve">D. </t>
    </r>
    <r>
      <rPr>
        <b/>
        <u/>
        <sz val="10"/>
        <color rgb="FF000000"/>
        <rFont val="Calibri"/>
        <family val="2"/>
        <scheme val="minor"/>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</si>
  <si>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</si>
  <si>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</si>
  <si>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</si>
  <si>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</si>
  <si>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</si>
  <si>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No Difference</t>
  </si>
  <si>
    <t xml:space="preserve">Please specify why the criteria mentioned above are met </t>
  </si>
  <si>
    <t xml:space="preserve">A significant financing component exists for which the entity needs to account </t>
  </si>
  <si>
    <r>
      <rPr>
        <b/>
        <sz val="10"/>
        <color rgb="FF000000"/>
        <rFont val="Calibri"/>
        <family val="2"/>
      </rPr>
      <t>C</t>
    </r>
    <r>
      <rPr>
        <sz val="10"/>
        <color rgb="FF000000"/>
        <rFont val="Calibri"/>
        <family val="2"/>
      </rPr>
      <t xml:space="preserve">. </t>
    </r>
    <r>
      <rPr>
        <b/>
        <u/>
        <sz val="10"/>
        <color rgb="FF000000"/>
        <rFont val="Calibri"/>
        <family val="2"/>
      </rPr>
      <t>Consideration payable to a customer:</t>
    </r>
    <r>
      <rPr>
        <b/>
        <sz val="10"/>
        <color rgb="FF000000"/>
        <rFont val="Calibri"/>
        <family val="2"/>
      </rPr>
      <t xml:space="preserve"> </t>
    </r>
  </si>
  <si>
    <t xml:space="preserve">Contract costs: </t>
  </si>
  <si>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</si>
  <si>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</si>
  <si>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</si>
  <si>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</si>
  <si>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</si>
  <si>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</si>
  <si>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</si>
  <si>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</si>
  <si>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</si>
  <si>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If the conclusion is that costs of fulfilment shall be capitalized, please explain the background </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</si>
  <si>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</si>
  <si>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</si>
  <si>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</si>
  <si>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</si>
  <si>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</si>
  <si>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</si>
  <si>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Input</t>
  </si>
  <si>
    <t>Output</t>
  </si>
  <si>
    <t>Yes / No</t>
  </si>
  <si>
    <t>Client Name –</t>
  </si>
  <si>
    <t>Type of contract –</t>
  </si>
  <si>
    <t>Principal</t>
  </si>
  <si>
    <t xml:space="preserve">Total Contract period (for amortization of Contract costs, including expected renewal):  </t>
  </si>
  <si>
    <t>Method</t>
  </si>
  <si>
    <t>Approach</t>
  </si>
  <si>
    <t>Expected Value Method</t>
  </si>
  <si>
    <t>Most Likely Method</t>
  </si>
  <si>
    <t>If the previous question was answered "Yes" please describe the type of non-cash consideration in the contract</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</si>
  <si>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</si>
  <si>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</si>
  <si>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t xml:space="preserve">Please explain the reasonableness whether it is highly probable that a significant reversal in the amount of cumulative revenue recognized will not occur (ASC 606-10-32-11. (Please consider the likelihood and the magnitude of a revenue reversal) </t>
  </si>
  <si>
    <t>Explanation</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</si>
  <si>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</si>
  <si>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</si>
  <si>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</si>
  <si>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</si>
  <si>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</si>
  <si>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</si>
  <si>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</si>
  <si>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</si>
  <si>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</si>
  <si>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</si>
  <si>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</si>
  <si>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</si>
  <si>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</si>
  <si>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</si>
  <si>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Embedded lease/ transfer of assets from customers (Only if hardware is sold along with providing services than this section is applicable)</t>
  </si>
  <si>
    <t>ASC 842</t>
  </si>
  <si>
    <r>
      <t xml:space="preserve">Determine whether the contract contains elements that fall within the scope of ASC 842 Leases. </t>
    </r>
    <r>
      <rPr>
        <b/>
        <sz val="10"/>
        <color theme="1"/>
        <rFont val="Calibri"/>
        <family val="2"/>
      </rPr>
      <t>for e.g. – hardware elements like; servers, computers, etc.</t>
    </r>
  </si>
  <si>
    <t xml:space="preserve">Embedded derivative (third currency contracts) </t>
  </si>
  <si>
    <t>ASC 815-15-15-10 (b)(1)</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</si>
  <si>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</si>
  <si>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</si>
  <si>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</si>
  <si>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</si>
  <si>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</si>
  <si>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</si>
  <si>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</si>
  <si>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ASC 606-10-50-22</t>
  </si>
  <si>
    <t>Practical expedients</t>
  </si>
  <si>
    <t xml:space="preserve">Checklist Reference no. - </t>
  </si>
  <si>
    <t xml:space="preserve">Vertical / Horizontal : </t>
  </si>
  <si>
    <t>Agent</t>
  </si>
  <si>
    <t>Does the contract price increase by an amount that reflect standalone selling price for the new goods or services (considering the circumstances of the contract) ?</t>
  </si>
  <si>
    <t>Promise is a distinct performance obligation</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</si>
  <si>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</si>
  <si>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Bundle of goods or services is a single performance</t>
  </si>
  <si>
    <t>Conclusion Step 2 (Promises in the contract)</t>
  </si>
  <si>
    <t>i</t>
  </si>
  <si>
    <t>Variable consideration</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</si>
  <si>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</si>
  <si>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the consideration payable to a customer includes a variable amount, an entity shall estimate the transaction price (including assessing whether the estimate of variable consideration is constrained) in accordance with paragraphs ASC 606-10-32-5 to 32-1350–58</t>
  </si>
  <si>
    <t>Can the entity reasonably estimate the fair value of the goods or service received ?</t>
  </si>
  <si>
    <t>Does the consideration payble exceed the fair value of the distinct good or services ?</t>
  </si>
  <si>
    <t>Conclusion</t>
  </si>
  <si>
    <t xml:space="preserve">Principal vs. Agent </t>
  </si>
  <si>
    <t>Output Folder -:</t>
  </si>
  <si>
    <t>Does the consideration payable to a customer (or to the customer's) represent a payable for a distinct goods or service ?</t>
  </si>
  <si>
    <t xml:space="preserve">Contract Value- TCV/ACV </t>
  </si>
  <si>
    <t>Existing Customer -:</t>
  </si>
  <si>
    <t>New Logo -:</t>
  </si>
  <si>
    <t>Remarks :</t>
  </si>
  <si>
    <t xml:space="preserve">Remarks: </t>
  </si>
  <si>
    <t xml:space="preserve">1. Determine stand-alone selling prices
</t>
  </si>
  <si>
    <t>2. Allocate the transaction price</t>
  </si>
  <si>
    <t>SOW Date -:</t>
  </si>
  <si>
    <t xml:space="preserve"> Term of the contracts -:</t>
  </si>
  <si>
    <t>Allocation of Transaction price</t>
  </si>
  <si>
    <t>Performance obligation</t>
  </si>
  <si>
    <t>Method used</t>
  </si>
  <si>
    <t>Standalone Selling price</t>
  </si>
  <si>
    <t>Allocation</t>
  </si>
  <si>
    <t>Allocated Transaction price</t>
  </si>
  <si>
    <t>Adjusted Market Assessment</t>
  </si>
  <si>
    <t>Cost Plus</t>
  </si>
  <si>
    <t xml:space="preserve">Residual </t>
  </si>
  <si>
    <t>Variable consideration consists of:</t>
  </si>
  <si>
    <t>Consideration Payable to customer :</t>
  </si>
  <si>
    <t>Conclusion :</t>
  </si>
  <si>
    <t>Key Elements of contract :</t>
  </si>
  <si>
    <t>Provisions/ Onerous contracts (where there are any penalty or warranty clauses or any non-cancellable or termination clauses in the contract)</t>
  </si>
  <si>
    <t>RRC Reference Number (if any)</t>
  </si>
  <si>
    <t>Step1 :</t>
  </si>
  <si>
    <t>Final Conclusion</t>
  </si>
  <si>
    <t>Step 2 :</t>
  </si>
  <si>
    <t>Step 3 :</t>
  </si>
  <si>
    <t>Step 4 :</t>
  </si>
  <si>
    <t>Select Month -:</t>
  </si>
  <si>
    <t>Step 5 :</t>
  </si>
  <si>
    <t xml:space="preserve">Is the contract approved and the parties are committed to their obligation ((ASC 606-10-25-1(a) ) ? </t>
  </si>
  <si>
    <t xml:space="preserve">Are each parties' rights regarding the goods or services to be transferred identifiable (ASC 606-10-25-1(b)) ? </t>
  </si>
  <si>
    <t xml:space="preserve">Can the payment terms for the goods and services be identified (ASC 606-10-25-1(c)) ? </t>
  </si>
  <si>
    <t xml:space="preserve">Has the contract commercial substance (ASC 606-10-25-1(d)) ? </t>
  </si>
  <si>
    <t xml:space="preserve">Is the collection of consideration probable ("likely") (ASC 606-10-25-1(e)) ? </t>
  </si>
  <si>
    <t>Modification-:</t>
  </si>
  <si>
    <t>Checker :</t>
  </si>
  <si>
    <t>Current Status      (Maker) -:</t>
  </si>
  <si>
    <t xml:space="preserve">Rights to goods and services and payment terms can be identified </t>
  </si>
  <si>
    <t>If the answer is "Yes" to any of the above questions, the variable consideration may not be  probable and cannot be included in the transaction price until it is deemed probable that the variable consideration will not result in a significant revenue reversal.</t>
  </si>
  <si>
    <r>
      <rPr>
        <b/>
        <u/>
        <sz val="10"/>
        <color rgb="FF000000"/>
        <rFont val="Calibri"/>
        <family val="2"/>
        <scheme val="minor"/>
      </rPr>
      <t>Costs of fulfilling a contract</t>
    </r>
    <r>
      <rPr>
        <b/>
        <sz val="10"/>
        <color rgb="FF000000"/>
        <rFont val="Calibri"/>
        <family val="2"/>
        <scheme val="minor"/>
      </rPr>
      <t xml:space="preserve"> </t>
    </r>
  </si>
  <si>
    <t>No Select</t>
  </si>
  <si>
    <t>Observable price</t>
  </si>
  <si>
    <t>Method used/ Other</t>
  </si>
  <si>
    <t>Guidance: A single performance obligation is a promise in a contract with a customer to transfer to the customer either: (a) a good or service (or a bundle of goods or services) that is distinct or (b) a series of distinct goods or services that are substantially the same and that have the same pattern of transfer to the customer.</t>
  </si>
  <si>
    <t xml:space="preserve">Criterion 2
Is the Company promise to transfer the good or service separately identifiable from other promises in the contract (ASC 606-10-25-19(b))?? The following factors should be considered with regard to the above question: </t>
  </si>
  <si>
    <t>ASC 360- Property Plant and Equipment</t>
  </si>
  <si>
    <t>ASC 340 - Other Assets and deferred costs</t>
  </si>
  <si>
    <t>ASC 350 - Intangibles</t>
  </si>
  <si>
    <t>Z:\Public\2024-25\Revenue RRC 2024-25\10. January 2025\RRM\</t>
  </si>
  <si>
    <t>Hi-Tech &amp; Professional Services/ Customer Interaction Services</t>
  </si>
  <si>
    <t>20th June 2020</t>
  </si>
  <si>
    <t>1st January 2025 till 5th July 2027</t>
  </si>
  <si>
    <t>28th January 2025</t>
  </si>
  <si>
    <t>TCV - $1,350 K</t>
  </si>
  <si>
    <t>ACV - $450 K</t>
  </si>
  <si>
    <t>30.08 months</t>
  </si>
  <si>
    <t>Billing type- FTE hours</t>
  </si>
  <si>
    <t xml:space="preserve">Embedded derivative evaluation </t>
  </si>
  <si>
    <t>Payment terms are defined in ISA 3.1</t>
  </si>
  <si>
    <t>Agreement defines the rate for services, timing of transfer of services &amp; risks.</t>
  </si>
  <si>
    <t>Combination is not applicable</t>
  </si>
  <si>
    <t>This is Renewal contract. This is an extension of old contract where it has been modified to provide billing rates in USD for Kickstart, Inbound/DSA, Reception Desk, Agency Builders, New Business Sales (NBS), Upper Mass Market (UMM), and New Business Sales - Development (NBS-D).</t>
  </si>
  <si>
    <t>Account for modification prospectively</t>
  </si>
  <si>
    <t>Change Order Form #5 (40056229) amend to SOW 676559 dated 6 July 2020 , has been submitted to extend the contract term by ~30 months. This change also includes a modification in the pricing structure.
As this change affects the contract pricing, it is treated as a contract modification. Consequently, the Change Order Form is considered a new contract, and the modification is accounted for prospectively.</t>
  </si>
  <si>
    <t>No financing component</t>
  </si>
  <si>
    <t>Since there is only 1 performance obligation, allocation of transaction price is not required</t>
  </si>
  <si>
    <t>Not required to be allocated as only 1 performance obligation has been identified in the contract.</t>
  </si>
  <si>
    <t>No such cost in the contract</t>
  </si>
  <si>
    <t>No such revenue in the contract</t>
  </si>
  <si>
    <t>No inventory risk involved</t>
  </si>
  <si>
    <t>Principal - Gross</t>
  </si>
  <si>
    <t>No such element</t>
  </si>
  <si>
    <t>USD is not the functional currency of either of the contracting entities</t>
  </si>
  <si>
    <t>In the case of FTE contracts which do not provide for any minimum quantity (e.g. number of minimum chargeable FTE hours or number of minimum chargeable transactions, minimum volumes etc.), it is not possible to determine the Notional principal of the contract. Further, the standard prohibits estimating the notional amount. As a result, FTE based time and material/ UTP  type revenue contracts in third currency will not meet the definition of a derivative instrument and hence there are no requirements to identify these contracts as host contracts and account for foreign currency Embedded Derivatives.</t>
  </si>
  <si>
    <t>Revenue Recgonition</t>
  </si>
  <si>
    <t>Conclusion:</t>
  </si>
  <si>
    <t>Embedded Derivative</t>
  </si>
  <si>
    <t>A notional amount is the number of units specified in the contract applied to the change in one or more underlying’s to assist in determining the settlement or value of the derivative instrument. Determining whether a contract contains a notional amount must be based on information in the contract, attachments, appendices, or other legally binding side agreements. If the notional amount cannot be reliably and objectively quantified with information explicitly contained in the contract, attachments, appendices, or other legally binding side agreements, a notional amount should not be estimated.</t>
  </si>
  <si>
    <t>Temination clause</t>
  </si>
  <si>
    <t>Termination clause</t>
  </si>
  <si>
    <t>February 25</t>
  </si>
  <si>
    <t>Change Order Form #5 amends SOW (40056229) (Icertis Id - ICMSOW_4653)</t>
  </si>
  <si>
    <t>6th July 2020</t>
  </si>
  <si>
    <t>Change Order 05 Date -:</t>
  </si>
  <si>
    <t>Change Order Client Sign Date -:</t>
  </si>
  <si>
    <t>Inbound Services Agreement date :</t>
  </si>
  <si>
    <t>AMENDMENT#2 to SOW_renewal,Amendment#3 to SOW#942339_Term Extension and  Amendment#4 to SOW#942339 for extension for Custom Silicon Services and Design Sevices is entered at or near the same times as contract under assessment. Since the scope of services of the SOWs are different, combination of contract is not applicable.</t>
  </si>
  <si>
    <t>Change Order #05  to SOW (40056229) has been signed by both the parties</t>
  </si>
  <si>
    <t>The Scope of Service has been identified in SOW</t>
  </si>
  <si>
    <t>Change Order Form #5 (40056229) amend to SOW 676559 dated 6 July 2020 , has been submitted to extend the contract term by ~30 months. This change also includes a modification in the pricing structure.
As this change affects the contract pricing, it is treated as a contract modification. Consequently, the Change Order Form is considered an adjsutment to existing contract, and the modification is accounted for prospectively.</t>
  </si>
  <si>
    <t>-</t>
  </si>
  <si>
    <t>Service Level Credits</t>
  </si>
  <si>
    <t xml:space="preserve">SLA is a variable consideration under USGAAP 606 which needs to be estimated over the period using the expected value method. If the outcome is estimated using the expected value method, the service credit/fee reduction amount is included in the transaction price after considering any constraint to the amount, if any. </t>
  </si>
  <si>
    <t>Service credits should be recorded as reduction to revenue on monthly basis based on service level default &amp; related percentages stated in the contract. If the measurement period is other than manually, then estimation of service credits at the inception should be done using expected value method and applying the constraints if any. Estimation should be visited at each reporting period.</t>
  </si>
  <si>
    <t>Service Levels</t>
  </si>
  <si>
    <t>Clause 2 of SOW</t>
  </si>
  <si>
    <t>The Productivity benefits are in the nature of efficiency gains which will be passed on to client. This will be recorded as reduction of revenue in the form of reduction in monthly charges.</t>
  </si>
  <si>
    <t>Productivity benefits</t>
  </si>
  <si>
    <t>Productivity benefits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t>
  </si>
  <si>
    <t>As explained the % of productivity benefits may vary till the end of the year. Since there are more than 2 outcomes it is measured at expected value method.</t>
  </si>
  <si>
    <t>Clause 3 of SOW</t>
  </si>
  <si>
    <t>Pass Through Cost</t>
  </si>
  <si>
    <t>The out of pocket costs (e.g. travel, meals, lodging) and the reimbursements therefor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incurred in satisfying a performance obligation to the customer.</t>
  </si>
  <si>
    <t xml:space="preserve">Pass through charges would be recognized as revenue as and when they are incurred. </t>
  </si>
  <si>
    <t>Pass-through</t>
  </si>
  <si>
    <t>Service Levels as per SOW, Incentive Fees - Bonus Payments, Targets and Weighting as per SOW</t>
  </si>
  <si>
    <t>Variable Costs</t>
  </si>
  <si>
    <t>Productivity benefits as per SOW, Economic Change Adjustment (“ECA”) as per SOW</t>
  </si>
  <si>
    <t>Variable Costs as per SOW</t>
  </si>
  <si>
    <t>Economic Change Adjustment (“ECA”)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t>
  </si>
  <si>
    <t>Economic Change Adjustment (“ECA”) along with associated discounts</t>
  </si>
  <si>
    <t>As explained the % of Economic Change Adjustment (“ECA”) may vary till the end of the year. Since there are more than 2 outcomes it is measured at expected value method.</t>
  </si>
  <si>
    <t>Economic Change Adjustment (“ECA”) are in the nature of efficiency gains which will be passed on to client. This will be recorded as reduction of revenue in the form of reduction in monthly charges.</t>
  </si>
  <si>
    <t xml:space="preserve"> Incentive Fees - Bonus Payments, Targets and Weighting</t>
  </si>
  <si>
    <t>Incentive Fees - Bonus Payments, Targets and Weighting is a variable consideration under ASC 606 which needs to be estimated over the period using the Most likely method, the amount is included in the transaction price after considering any constraint to the amount, if any.  Incentive Fees - Bonus Payments, Targets and Weighting should be estimated using most likely method as there would be only two possible outcomes i.e. whether the requirment of Incentive Fees - Bonus Payments, Targets and Weighting will be met or not met.   Incentive Fees - Bonus Payments, Targets and Weighting should be accounted as revenue.</t>
  </si>
  <si>
    <t>Clause 3.1 - Table B of SOW</t>
  </si>
  <si>
    <t>Economic Change Adjustment (“ECA”)</t>
  </si>
  <si>
    <t>As per SOW "For Services performed in India, Variable Cost includes seat costs, training costs and other similar costs within a range of INR 20,000 - 35,000 per Personnel per month as mutually agreed between Parties for Hyderabad (a range of INR,25,000 - 40,000 applies for Bangalore and INR 30,000- 50,000 applies for Gurgaon). There will be a quarterly reconciliation of these costs for the preceding quarter and any necessary adjustments related to this cost in the preceding quarter’s invoices will be made (paid or off-set) in the month following conclusion of reconciliation. The exchange rate to be used should be spot rate as given in www.Bloomberg.com as of the last date of service month for which the invoice is being generated. The variable cost rates specified above will be applicable for a period of twelve (12) months from the SOW Effective Date. Thereafter parties reserve the right during the SOW Term to increase such rates by up to 10-15% per year, unless otherwise mutually agreed in writing by the parties"</t>
  </si>
  <si>
    <t>This term gives rights to the service provider to recover the Variable costs. Hence it is a variable consideration (measured at most likely method) as per ASC 606 because ranges of costs provided. 
In the given case, starting on the effective date, the service provider is eligible for the variable cost adjustment to increase such a cost by up to 10-15% per year. This will be accounted as revenue.</t>
  </si>
  <si>
    <t>Clause 3.1 - Table C of SOW</t>
  </si>
  <si>
    <t xml:space="preserve">As per Para 10-32-6 of ASC 606 consideration can vary because of discounts, rebates, refunds, credits, price concessions, incentives, performance bonuses, penalties, or other similar items. Hence, Service level credits, Productivity benefits,  Incentive Fees - Bonus Payments, Targets and Weighting, Economic Change Adjustment (“ECA”) and Variable costs  shall be considered as variable consideration. </t>
  </si>
  <si>
    <t xml:space="preserve">Service Credit-The Company has control over Service Level Compliance . Here the service credits are measured other than monthly basis. A monthly provision for credit which is to be passed to the customer at the year end,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Productivity benefit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
Since  Incentive Fees - Bonus Payments, Targets and Weighting are estimated on most likely method, the amount estimated is considered as revenue only after applying the constraints.
Economic Change Adjustment (“ECA”)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
Variable Costs -  This term gives rights to the service provider to recover the Variable costs. Hence it is a variable consideration (measured at most likely method) as per ASC 606 because ranges of costs provided. 
</t>
  </si>
  <si>
    <t>Service Level Credits - Expected Value method - SLA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Conclusion: Service credits should be recorded as reduction to revenue on monthly basis based on service level default &amp; related percentages stated in the contract. If the measurement period is other than monthly basis, then estimation of service credits at the inception should be estimated using expected value method.
Productivity benefits - Expected Value Method - Productivity benefits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
Conclusion: The Productivity benefits are in the nature of efficiency gains which will be passed on to client. This will be recorded as reduction of revenue in the form of reduction in monthly charges.
Incentive Fees - Bonus Payments, Targets and Weighting  -  Incentive Fees - Bonus Payments, Targets and Weighting  is a variable consideration under ASC 606 which needs to be estimated over the period using the Most likely method, the amount is included in the transaction price after considering any constraint to the amount, if any.  Incentive Fees - Bonus Payments, Targets and Weighting  should be estimated using most likely method as there would be only two possible outcomes i.e. whether service levels will be met or not met.   Incentive Fees - Bonus Payments, Targets and Weighting  should be accounted as revenue. 
Economic Change Adjustment (“ECA”) - Expected Value Method - Economic Change Adjustment (“ECA”)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
Conclusion: Economic Change Adjustments (“ECA”) are in the nature of efficiency gains which will be passed on to client. This will be recorded as reduction of revenue in the form of reduction in monthly charges.
Variable Costs - This term gives rights to the service provider to recover the Variable costs. Hence it is a variable consideration (measured at most likely method) as per ASC 606 because ranges of costs provided. In the given case, starting on the effective date, the service provider is eligible for the variable cost adjustment to increase such a cost by up to 10-15% per year. This will be accounted as revenue.</t>
  </si>
  <si>
    <t>Other Issues</t>
  </si>
  <si>
    <t>2024-25-160</t>
  </si>
  <si>
    <t>Whether the XYZ is the principal or agent in the contract?</t>
  </si>
  <si>
    <t>XYZ Entity –</t>
  </si>
  <si>
    <t>XYZ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XYZ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</si>
  <si>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ABC Customer Solutions:
- Kickstart
- Inbound/DSA
-Reception Desk
- Agency Builders
- New Business Sales (NBS)
- Upper Mass Market (UMM)
- New Business Sales - Development (NBS-D)</t>
  </si>
  <si>
    <t xml:space="preserve">As per above evaluation, we conclude that "ABC Customer Solution Services-  Kickstart, - Inbound/DSA, -Reception Desk, - Agency Builders, - New Business Sales (NBS), - Upper Mass Market (UMM), - New Business Sales - Development (NBS-D)” are single performance obligation by applying series guidance.
</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</si>
  <si>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XYZ follows above established process for assessing the credit ratings of the prospective and existing Customers</t>
  </si>
  <si>
    <t>Progress is measured based on FTE consumed for performing the services. Therefore, method 2 i.e. measurement of progress based on Input appears to be appropriate.
Since XYZ is using As-Invoiced practical expedient, the estimation of variable consideration and input method use has been foregone.</t>
  </si>
  <si>
    <t>FTE hours based services for ABC Customer Solution Service [Kickstart, Inbound/DSA, Reception Desk, Agency Builders, New Business Sales (NBS), Upper Mass Market (UMM), New Business Sales - Development (NBS-D) ] [Training fees are built into the rates as per SOW]</t>
  </si>
  <si>
    <t>Revenue from ABC Customer Solution Services will be recognised on monthly basis based on no.of billable FTEs * actual billable hours * applicable hourly rate [Amount not to exceed as stated in the contract].</t>
  </si>
  <si>
    <t>The functional currency of XYZ India is INR and ABC India is also INR. However the billing currency is USD.  However, if we have to evaluate embedded derivative for separation, for a contract to qualify as a derivative instrument one of the characteristics is that the contract should have notional principal. The notional amount is the contractual amount, or factor, that will be used to determine the cash flows or other exchanges required under the contractual terms of the derivative instrument.</t>
  </si>
  <si>
    <t>The termination fee would be recognized as revenue only when there are no further obligations on XYZ part with reference to provisioning of the services. 
As per MSA, "ABC may terminate this ISA, any purchase order, or any SOW at any time on written notice to Contractor, subject to Section 11.4(B) (Effects on Invoices)."
There are no substantial termination penalty in the contract. Since it is a long standing customer, the stated duration is the contract term.</t>
  </si>
  <si>
    <t>XYZ is the principal</t>
  </si>
  <si>
    <t>XYZ is primarily responsible for fulfullment of contract.</t>
  </si>
  <si>
    <t xml:space="preserve">XYZ has the discretion to establish the price. </t>
  </si>
  <si>
    <t>What is the currency of invoicing? Is this currency, the functional currency of either XYZ or of the customer or any substantial party to the contract? If no, evaluate whether the contract contains a foreign currency embedded derivative.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</si>
</sst>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
    <numFmt numFmtId="165" formatCode="#,##0.0;\-#,##0.0;\-;@"/>
    <numFmt numFmtId="166" formatCode="[$-14009]dd\ mmmm\ yyyy;@"/>
  </numFmts>
  <fonts count="36" x14ac:knownFonts="1">
    <font>
      <sz val="11"/>
      <color theme="1"/>
      <name val="Calibri"/>
      <family val="2"/>
      <scheme val="minor"/>
    </font>
    <font>
      <sz val="10"/>
      <color indexed="8"/>
      <name val="Calibri"/>
      <family val="2"/>
      <scheme val="minor"/>
    </font>
    <font>
      <b/>
      <sz val="11"/>
      <color indexed="9"/>
      <name val="Calibri"/>
      <family val="2"/>
      <scheme val="minor"/>
    </font>
    <font>
      <b/>
      <sz val="11"/>
      <color theme="1"/>
      <name val="Calibri"/>
      <family val="2"/>
      <scheme val="minor"/>
    </font>
    <font>
      <sz val="10"/>
      <color theme="1"/>
      <name val="Calibri"/>
      <family val="2"/>
    </font>
    <font>
      <b/>
      <sz val="10"/>
      <color theme="1"/>
      <name val="Calibri"/>
      <family val="2"/>
    </font>
    <font>
      <i/>
      <sz val="10"/>
      <color theme="1"/>
      <name val="Calibri"/>
      <family val="2"/>
    </font>
    <font>
      <sz val="7"/>
      <color theme="1"/>
      <name val="Times New Roman"/>
      <family val="1"/>
    </font>
    <font>
      <sz val="10"/>
      <color theme="1"/>
      <name val="Calibri"/>
      <family val="2"/>
      <scheme val="minor"/>
    </font>
    <font>
      <b/>
      <sz val="10"/>
      <color rgb="FF000000"/>
      <name val="Calibri"/>
      <family val="2"/>
    </font>
    <font>
      <sz val="10"/>
      <color rgb="FF000000"/>
      <name val="Calibri"/>
      <family val="2"/>
    </font>
    <font>
      <b/>
      <u/>
      <sz val="11"/>
      <color theme="1"/>
      <name val="Calibri"/>
      <family val="2"/>
      <scheme val="minor"/>
    </font>
    <font>
      <b/>
      <u/>
      <sz val="10"/>
      <color theme="1"/>
      <name val="Calibri"/>
      <family val="2"/>
      <scheme val="minor"/>
    </font>
    <font>
      <b/>
      <sz val="10"/>
      <color rgb="FF000000"/>
      <name val="Arial"/>
      <family val="2"/>
    </font>
    <font>
      <b/>
      <sz val="10"/>
      <color rgb="FF000000"/>
      <name val="Calibri"/>
      <family val="2"/>
      <scheme val="minor"/>
    </font>
    <font>
      <sz val="10"/>
      <color rgb="FF000000"/>
      <name val="Calibri"/>
      <family val="2"/>
      <scheme val="minor"/>
    </font>
    <font>
      <b/>
      <sz val="10"/>
      <color theme="1"/>
      <name val="Calibri"/>
      <family val="2"/>
      <scheme val="minor"/>
    </font>
    <font>
      <sz val="10"/>
      <name val="Calibri"/>
      <family val="2"/>
      <scheme val="minor"/>
    </font>
    <font>
      <b/>
      <sz val="10"/>
      <name val="Calibri"/>
      <family val="2"/>
      <scheme val="minor"/>
    </font>
    <font>
      <b/>
      <i/>
      <sz val="10"/>
      <color rgb="FF000000"/>
      <name val="Calibri"/>
      <family val="2"/>
    </font>
    <font>
      <b/>
      <u/>
      <sz val="10"/>
      <color theme="1"/>
      <name val="Calibri"/>
      <family val="2"/>
    </font>
    <font>
      <b/>
      <u/>
      <sz val="10"/>
      <color rgb="FF000000"/>
      <name val="Calibri"/>
      <family val="2"/>
      <scheme val="minor"/>
    </font>
    <font>
      <sz val="10"/>
      <color theme="1"/>
      <name val="Times New Roman"/>
      <family val="1"/>
    </font>
    <font>
      <b/>
      <u/>
      <sz val="10"/>
      <color rgb="FF000000"/>
      <name val="Calibri"/>
      <family val="2"/>
    </font>
    <font>
      <i/>
      <sz val="10"/>
      <color theme="1"/>
      <name val="Times New Roman"/>
      <family val="1"/>
    </font>
    <font>
      <b/>
      <i/>
      <sz val="10"/>
      <color theme="1"/>
      <name val="Calibri"/>
      <family val="2"/>
    </font>
    <font>
      <sz val="11"/>
      <name val="Calibri"/>
      <family val="2"/>
      <scheme val="minor"/>
    </font>
    <font>
      <sz val="11"/>
      <color theme="1"/>
      <name val="Calibri"/>
      <family val="2"/>
    </font>
    <font>
      <sz val="11"/>
      <color rgb="FF000000"/>
      <name val="Calibri"/>
      <family val="2"/>
    </font>
    <font>
      <b/>
      <sz val="11"/>
      <color rgb="FF000000"/>
      <name val="Calibri"/>
      <family val="2"/>
    </font>
    <font>
      <u/>
      <sz val="11"/>
      <color theme="10"/>
      <name val="Calibri"/>
      <family val="2"/>
      <scheme val="minor"/>
    </font>
    <font>
      <b/>
      <sz val="9"/>
      <color theme="1"/>
      <name val="Calibri"/>
      <family val="2"/>
    </font>
    <font>
      <sz val="9"/>
      <color theme="1"/>
      <name val="Calibri"/>
      <family val="2"/>
      <scheme val="minor"/>
    </font>
    <font>
      <b/>
      <u/>
      <sz val="9"/>
      <color theme="1"/>
      <name val="Calibri"/>
      <family val="2"/>
      <scheme val="minor"/>
    </font>
    <font>
      <b/>
      <sz val="9"/>
      <color theme="1"/>
      <name val="Calibri"/>
      <family val="2"/>
      <scheme val="minor"/>
    </font>
    <font>
      <sz val="9"/>
      <color theme="1"/>
      <name val="Calibri"/>
      <family val="2"/>
    </font>
  </fonts>
  <fills count="10">
    <fill>
      <patternFill patternType="none"/>
    </fill>
    <fill>
      <patternFill patternType="gray125"/>
    </fill>
    <fill>
      <patternFill patternType="solid">
        <fgColor indexed="30"/>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0.14999847407452621"/>
        <bgColor indexed="64"/>
      </patternFill>
    </fill>
    <fill>
      <patternFill patternType="solid">
        <fgColor theme="0"/>
        <bgColor indexed="64"/>
      </patternFill>
    </fill>
    <fill>
      <patternFill patternType="solid">
        <fgColor rgb="FFE5B8B7"/>
        <bgColor indexed="64"/>
      </patternFill>
    </fill>
    <fill>
      <patternFill patternType="solid">
        <fgColor theme="0" tint="-4.9989318521683403E-2"/>
        <bgColor indexed="64"/>
      </patternFill>
    </fill>
    <fill>
      <patternFill patternType="solid">
        <fgColor rgb="FFD99594"/>
        <bgColor indexed="64"/>
      </patternFill>
    </fill>
  </fills>
  <borders count="61">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79646"/>
      </left>
      <right style="medium">
        <color rgb="FFF79646"/>
      </right>
      <top style="medium">
        <color rgb="FFF79646"/>
      </top>
      <bottom style="medium">
        <color rgb="FFF79646"/>
      </bottom>
      <diagonal/>
    </border>
    <border>
      <left style="medium">
        <color rgb="FFF79646"/>
      </left>
      <right style="medium">
        <color rgb="FFF79646"/>
      </right>
      <top/>
      <bottom style="medium">
        <color rgb="FFF79646"/>
      </bottom>
      <diagonal/>
    </border>
    <border>
      <left/>
      <right style="medium">
        <color rgb="FFF79646"/>
      </right>
      <top style="medium">
        <color rgb="FFF79646"/>
      </top>
      <bottom style="medium">
        <color rgb="FFF79646"/>
      </bottom>
      <diagonal/>
    </border>
    <border>
      <left/>
      <right style="medium">
        <color rgb="FFF79646"/>
      </right>
      <top/>
      <bottom style="medium">
        <color rgb="FFF79646"/>
      </bottom>
      <diagonal/>
    </border>
    <border>
      <left style="thin">
        <color rgb="FF00338D"/>
      </left>
      <right style="thin">
        <color rgb="FF00338D"/>
      </right>
      <top style="thin">
        <color rgb="FF00338D"/>
      </top>
      <bottom style="thin">
        <color rgb="FF00338D"/>
      </bottom>
      <diagonal/>
    </border>
    <border>
      <left style="medium">
        <color rgb="FFF79646"/>
      </left>
      <right/>
      <top/>
      <bottom/>
      <diagonal/>
    </border>
    <border>
      <left style="medium">
        <color rgb="FFF79646"/>
      </left>
      <right/>
      <top style="medium">
        <color rgb="FFF79646"/>
      </top>
      <bottom style="medium">
        <color rgb="FFF79646"/>
      </bottom>
      <diagonal/>
    </border>
    <border>
      <left style="medium">
        <color rgb="FFF79646"/>
      </left>
      <right style="medium">
        <color rgb="FFF79646"/>
      </right>
      <top/>
      <bottom/>
      <diagonal/>
    </border>
    <border>
      <left style="medium">
        <color rgb="FFF79646"/>
      </left>
      <right style="medium">
        <color rgb="FFF79646"/>
      </right>
      <top style="medium">
        <color rgb="FFF79646"/>
      </top>
      <bottom/>
      <diagonal/>
    </border>
    <border>
      <left/>
      <right style="medium">
        <color rgb="FFF79646"/>
      </right>
      <top/>
      <bottom/>
      <diagonal/>
    </border>
    <border>
      <left/>
      <right style="medium">
        <color rgb="FFF79646"/>
      </right>
      <top style="medium">
        <color rgb="FFF79646"/>
      </top>
      <bottom/>
      <diagonal/>
    </border>
    <border>
      <left style="medium">
        <color rgb="FFF79646"/>
      </left>
      <right/>
      <top style="medium">
        <color rgb="FFF79646"/>
      </top>
      <bottom/>
      <diagonal/>
    </border>
    <border>
      <left style="medium">
        <color rgb="FFF79646"/>
      </left>
      <right/>
      <top/>
      <bottom style="medium">
        <color rgb="FFF79646"/>
      </bottom>
      <diagonal/>
    </border>
    <border>
      <left/>
      <right/>
      <top style="medium">
        <color rgb="FFF79646"/>
      </top>
      <bottom style="medium">
        <color rgb="FFF79646"/>
      </bottom>
      <diagonal/>
    </border>
    <border>
      <left/>
      <right/>
      <top/>
      <bottom style="medium">
        <color rgb="FFF79646"/>
      </bottom>
      <diagonal/>
    </border>
    <border>
      <left/>
      <right/>
      <top style="medium">
        <color rgb="FFF79646"/>
      </top>
      <bottom/>
      <diagonal/>
    </border>
    <border>
      <left style="medium">
        <color theme="5"/>
      </left>
      <right style="medium">
        <color theme="5"/>
      </right>
      <top style="medium">
        <color theme="5"/>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right/>
      <top style="medium">
        <color theme="5"/>
      </top>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5"/>
      </left>
      <right style="thin">
        <color rgb="FF00338D"/>
      </right>
      <top style="medium">
        <color theme="5"/>
      </top>
      <bottom/>
      <diagonal/>
    </border>
    <border>
      <left/>
      <right style="medium">
        <color rgb="FFF79646"/>
      </right>
      <top style="medium">
        <color rgb="FFF79646"/>
      </top>
      <bottom style="medium">
        <color theme="5"/>
      </bottom>
      <diagonal/>
    </border>
    <border>
      <left/>
      <right/>
      <top style="medium">
        <color rgb="FFF79646"/>
      </top>
      <bottom style="medium">
        <color theme="5"/>
      </bottom>
      <diagonal/>
    </border>
    <border>
      <left style="medium">
        <color rgb="FFF79646"/>
      </left>
      <right/>
      <top style="medium">
        <color rgb="FFF79646"/>
      </top>
      <bottom style="medium">
        <color theme="5"/>
      </bottom>
      <diagonal/>
    </border>
    <border>
      <left style="medium">
        <color rgb="FFF79646"/>
      </left>
      <right/>
      <top style="medium">
        <color theme="5"/>
      </top>
      <bottom style="medium">
        <color theme="5"/>
      </bottom>
      <diagonal/>
    </border>
    <border>
      <left/>
      <right style="medium">
        <color rgb="FFF79646"/>
      </right>
      <top style="medium">
        <color theme="5"/>
      </top>
      <bottom style="medium">
        <color theme="5"/>
      </bottom>
      <diagonal/>
    </border>
    <border>
      <left style="medium">
        <color theme="5"/>
      </left>
      <right/>
      <top/>
      <bottom/>
      <diagonal/>
    </border>
    <border>
      <left/>
      <right style="medium">
        <color theme="5"/>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theme="5"/>
      </bottom>
      <diagonal/>
    </border>
    <border>
      <left style="medium">
        <color rgb="FFFF9933"/>
      </left>
      <right/>
      <top style="medium">
        <color rgb="FFFF9933"/>
      </top>
      <bottom style="medium">
        <color rgb="FFFF9933"/>
      </bottom>
      <diagonal/>
    </border>
    <border>
      <left/>
      <right/>
      <top style="medium">
        <color rgb="FFFF9933"/>
      </top>
      <bottom style="medium">
        <color rgb="FFFF9933"/>
      </bottom>
      <diagonal/>
    </border>
    <border>
      <left/>
      <right style="medium">
        <color rgb="FFFF9933"/>
      </right>
      <top style="medium">
        <color rgb="FFFF9933"/>
      </top>
      <bottom style="medium">
        <color rgb="FFFF9933"/>
      </bottom>
      <diagonal/>
    </border>
    <border>
      <left style="medium">
        <color rgb="FFFF9933"/>
      </left>
      <right/>
      <top style="medium">
        <color rgb="FFFF9933"/>
      </top>
      <bottom/>
      <diagonal/>
    </border>
    <border>
      <left/>
      <right/>
      <top style="medium">
        <color rgb="FFFF9933"/>
      </top>
      <bottom/>
      <diagonal/>
    </border>
    <border>
      <left style="medium">
        <color theme="5"/>
      </left>
      <right/>
      <top style="medium">
        <color rgb="FFFF9933"/>
      </top>
      <bottom/>
      <diagonal/>
    </border>
    <border>
      <left/>
      <right style="medium">
        <color rgb="FFFF9933"/>
      </right>
      <top style="medium">
        <color rgb="FFFF9933"/>
      </top>
      <bottom/>
      <diagonal/>
    </border>
    <border>
      <left style="medium">
        <color rgb="FFFF9933"/>
      </left>
      <right/>
      <top/>
      <bottom style="medium">
        <color rgb="FFFF9933"/>
      </bottom>
      <diagonal/>
    </border>
    <border>
      <left/>
      <right style="medium">
        <color rgb="FFFF9933"/>
      </right>
      <top/>
      <bottom style="medium">
        <color rgb="FFFF9933"/>
      </bottom>
      <diagonal/>
    </border>
    <border>
      <left style="medium">
        <color rgb="FFFF9933"/>
      </left>
      <right style="medium">
        <color rgb="FFF79646"/>
      </right>
      <top style="medium">
        <color rgb="FFFF9933"/>
      </top>
      <bottom/>
      <diagonal/>
    </border>
    <border>
      <left style="medium">
        <color rgb="FFFF9933"/>
      </left>
      <right style="medium">
        <color rgb="FFFF9933"/>
      </right>
      <top style="medium">
        <color rgb="FFFF9933"/>
      </top>
      <bottom/>
      <diagonal/>
    </border>
    <border>
      <left style="medium">
        <color rgb="FFFF9933"/>
      </left>
      <right style="medium">
        <color rgb="FFFF9933"/>
      </right>
      <top/>
      <bottom style="medium">
        <color rgb="FFFF9933"/>
      </bottom>
      <diagonal/>
    </border>
    <border>
      <left/>
      <right style="medium">
        <color rgb="FFF79646"/>
      </right>
      <top style="medium">
        <color rgb="FFFF9933"/>
      </top>
      <bottom/>
      <diagonal/>
    </border>
    <border>
      <left style="medium">
        <color rgb="FFFF9933"/>
      </left>
      <right style="medium">
        <color rgb="FFFF9933"/>
      </right>
      <top style="medium">
        <color rgb="FFFF9933"/>
      </top>
      <bottom style="medium">
        <color rgb="FFFF993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rgb="FFF79646"/>
      </left>
      <right style="medium">
        <color theme="5"/>
      </right>
      <top style="medium">
        <color rgb="FFF79646"/>
      </top>
      <bottom/>
      <diagonal/>
    </border>
    <border>
      <left style="medium">
        <color rgb="FFF79646"/>
      </left>
      <right style="medium">
        <color theme="5"/>
      </right>
      <top/>
      <bottom style="medium">
        <color rgb="FFF79646"/>
      </bottom>
      <diagonal/>
    </border>
    <border>
      <left style="medium">
        <color rgb="FFF79646"/>
      </left>
      <right style="medium">
        <color theme="5"/>
      </right>
      <top/>
      <bottom/>
      <diagonal/>
    </border>
  </borders>
  <cellStyleXfs count="2">
    <xf numFmtId="0" fontId="0" fillId="0" borderId="0"/>
    <xf numFmtId="0" fontId="30" fillId="0" borderId="0" applyNumberFormat="0" applyFill="0" applyBorder="0" applyAlignment="0" applyProtection="0"/>
  </cellStyleXfs>
  <cellXfs count="352">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5" fontId="1" fillId="0" borderId="1" xfId="0" applyNumberFormat="1" applyFont="1" applyBorder="1" applyAlignment="1">
      <alignment horizontal="center" vertical="center"/>
    </xf>
    <xf numFmtId="9" fontId="1" fillId="0" borderId="1" xfId="0" applyNumberFormat="1" applyFont="1" applyBorder="1" applyAlignment="1">
      <alignment horizontal="center" vertical="center"/>
    </xf>
    <xf numFmtId="16" fontId="1" fillId="0" borderId="1" xfId="0" applyNumberFormat="1" applyFont="1" applyBorder="1" applyAlignment="1">
      <alignment horizontal="center" vertical="center"/>
    </xf>
    <xf numFmtId="0" fontId="0" fillId="0" borderId="0" xfId="0" applyProtection="1">
      <protection locked="0"/>
    </xf>
    <xf numFmtId="0" fontId="0" fillId="0" borderId="0" xfId="0" applyAlignment="1">
      <alignment horizontal="center"/>
    </xf>
    <xf numFmtId="16" fontId="0" fillId="0" borderId="0" xfId="0" applyNumberFormat="1"/>
    <xf numFmtId="9" fontId="0" fillId="0" borderId="0" xfId="0" applyNumberFormat="1"/>
    <xf numFmtId="0" fontId="1"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3" fillId="0" borderId="0" xfId="0" applyFont="1"/>
    <xf numFmtId="0" fontId="0" fillId="5" borderId="0" xfId="0" applyFill="1" applyProtection="1">
      <protection locked="0"/>
    </xf>
    <xf numFmtId="164" fontId="0" fillId="5" borderId="0" xfId="0" applyNumberFormat="1" applyFill="1" applyAlignment="1" applyProtection="1">
      <alignment vertical="center"/>
      <protection locked="0"/>
    </xf>
    <xf numFmtId="0" fontId="5" fillId="0" borderId="0" xfId="0" applyFont="1" applyAlignment="1">
      <alignment vertical="center"/>
    </xf>
    <xf numFmtId="0" fontId="0" fillId="6" borderId="0" xfId="0" applyFill="1" applyProtection="1">
      <protection locked="0"/>
    </xf>
    <xf numFmtId="164" fontId="0" fillId="6" borderId="0" xfId="0" applyNumberFormat="1" applyFill="1" applyAlignment="1" applyProtection="1">
      <alignment vertical="center"/>
      <protection locked="0"/>
    </xf>
    <xf numFmtId="0" fontId="13" fillId="0" borderId="7" xfId="0" applyFont="1" applyBorder="1" applyAlignment="1">
      <alignment vertical="center" wrapText="1"/>
    </xf>
    <xf numFmtId="0" fontId="8" fillId="6" borderId="0" xfId="0" applyFont="1" applyFill="1" applyProtection="1">
      <protection locked="0"/>
    </xf>
    <xf numFmtId="0" fontId="16" fillId="6" borderId="0" xfId="0" applyFont="1" applyFill="1" applyProtection="1">
      <protection locked="0"/>
    </xf>
    <xf numFmtId="0" fontId="0" fillId="6" borderId="0" xfId="0" applyFill="1" applyAlignment="1" applyProtection="1">
      <alignment horizontal="left"/>
      <protection locked="0"/>
    </xf>
    <xf numFmtId="0" fontId="9" fillId="0" borderId="0" xfId="0" applyFont="1" applyAlignment="1">
      <alignment vertical="center"/>
    </xf>
    <xf numFmtId="165" fontId="17" fillId="6" borderId="0" xfId="0" applyNumberFormat="1" applyFont="1" applyFill="1" applyAlignment="1" applyProtection="1">
      <alignment vertical="center" wrapText="1"/>
      <protection locked="0"/>
    </xf>
    <xf numFmtId="0" fontId="15" fillId="6" borderId="0" xfId="0" applyFont="1" applyFill="1" applyAlignment="1" applyProtection="1">
      <alignment horizontal="left" vertical="center"/>
      <protection locked="0"/>
    </xf>
    <xf numFmtId="165" fontId="17" fillId="6" borderId="0" xfId="0" applyNumberFormat="1" applyFont="1" applyFill="1" applyAlignment="1" applyProtection="1">
      <alignment horizontal="left" vertical="top" wrapText="1"/>
      <protection locked="0"/>
    </xf>
    <xf numFmtId="165" fontId="17" fillId="6" borderId="0" xfId="0" applyNumberFormat="1" applyFont="1" applyFill="1" applyAlignment="1" applyProtection="1">
      <alignment horizontal="left" vertical="center" wrapText="1"/>
      <protection locked="0"/>
    </xf>
    <xf numFmtId="0" fontId="4" fillId="0" borderId="4" xfId="0" applyFont="1" applyBorder="1" applyAlignment="1">
      <alignment vertical="center" wrapText="1"/>
    </xf>
    <xf numFmtId="0" fontId="4" fillId="0" borderId="6" xfId="0" applyFont="1" applyBorder="1" applyAlignment="1">
      <alignment vertical="center" wrapText="1"/>
    </xf>
    <xf numFmtId="0" fontId="5" fillId="0" borderId="3" xfId="0" applyFont="1" applyBorder="1" applyAlignment="1">
      <alignment vertical="center" wrapText="1"/>
    </xf>
    <xf numFmtId="0" fontId="5" fillId="0" borderId="5" xfId="0" applyFont="1" applyBorder="1" applyAlignment="1">
      <alignment vertical="center" wrapText="1"/>
    </xf>
    <xf numFmtId="0" fontId="4" fillId="0" borderId="11" xfId="0" applyFont="1" applyBorder="1" applyAlignment="1">
      <alignment horizontal="justify" vertical="center" wrapText="1"/>
    </xf>
    <xf numFmtId="0" fontId="4" fillId="0" borderId="4" xfId="0" applyFont="1" applyBorder="1" applyAlignment="1">
      <alignment horizontal="justify" vertical="center" wrapText="1"/>
    </xf>
    <xf numFmtId="0" fontId="9" fillId="0" borderId="0" xfId="0" applyFont="1" applyAlignment="1" applyProtection="1">
      <alignment vertical="center"/>
      <protection locked="0"/>
    </xf>
    <xf numFmtId="0" fontId="9" fillId="0" borderId="3" xfId="0" applyFont="1" applyBorder="1" applyAlignment="1" applyProtection="1">
      <alignment vertical="center" wrapText="1"/>
      <protection locked="0"/>
    </xf>
    <xf numFmtId="0" fontId="9" fillId="0" borderId="4" xfId="0" applyFont="1" applyBorder="1" applyAlignment="1" applyProtection="1">
      <alignment vertical="center" wrapText="1"/>
      <protection locked="0"/>
    </xf>
    <xf numFmtId="0" fontId="10" fillId="0" borderId="6" xfId="0" applyFont="1" applyBorder="1" applyAlignment="1" applyProtection="1">
      <alignment vertical="center" wrapText="1"/>
      <protection locked="0"/>
    </xf>
    <xf numFmtId="165" fontId="18" fillId="8" borderId="29" xfId="0" applyNumberFormat="1" applyFont="1" applyFill="1" applyBorder="1" applyAlignment="1">
      <alignment vertical="center" wrapText="1"/>
    </xf>
    <xf numFmtId="165" fontId="17" fillId="6" borderId="19" xfId="0" applyNumberFormat="1" applyFont="1" applyFill="1" applyBorder="1" applyAlignment="1" applyProtection="1">
      <alignment vertical="center" wrapText="1"/>
      <protection locked="0"/>
    </xf>
    <xf numFmtId="165" fontId="18" fillId="6" borderId="19" xfId="0" applyNumberFormat="1" applyFont="1" applyFill="1" applyBorder="1" applyAlignment="1" applyProtection="1">
      <alignment vertical="center" wrapText="1"/>
      <protection locked="0"/>
    </xf>
    <xf numFmtId="0" fontId="8" fillId="0" borderId="0" xfId="0" applyFont="1"/>
    <xf numFmtId="0" fontId="8" fillId="0" borderId="0" xfId="0" applyFont="1" applyProtection="1">
      <protection locked="0"/>
    </xf>
    <xf numFmtId="0" fontId="10" fillId="0" borderId="19" xfId="0" applyFont="1" applyBorder="1" applyAlignment="1">
      <alignment horizontal="justify" vertical="center" wrapText="1"/>
    </xf>
    <xf numFmtId="0" fontId="5" fillId="0" borderId="16" xfId="0" applyFont="1" applyBorder="1" applyAlignment="1">
      <alignment vertical="center" wrapText="1"/>
    </xf>
    <xf numFmtId="0" fontId="3" fillId="5" borderId="37" xfId="0" applyFont="1" applyFill="1" applyBorder="1" applyAlignment="1" applyProtection="1">
      <alignment vertical="center"/>
      <protection locked="0"/>
    </xf>
    <xf numFmtId="0" fontId="0" fillId="5" borderId="37" xfId="0" applyFill="1" applyBorder="1" applyAlignment="1" applyProtection="1">
      <alignment vertical="center"/>
      <protection locked="0"/>
    </xf>
    <xf numFmtId="0" fontId="10" fillId="0" borderId="3" xfId="0" applyFont="1" applyBorder="1" applyAlignment="1" applyProtection="1">
      <alignment horizontal="left" vertical="center" wrapText="1"/>
      <protection locked="0"/>
    </xf>
    <xf numFmtId="0" fontId="6" fillId="6" borderId="4" xfId="0" applyFont="1" applyFill="1" applyBorder="1" applyAlignment="1" applyProtection="1">
      <alignment vertical="center"/>
      <protection locked="0"/>
    </xf>
    <xf numFmtId="0" fontId="6" fillId="6" borderId="6" xfId="0" applyFont="1" applyFill="1" applyBorder="1" applyAlignment="1" applyProtection="1">
      <alignment vertical="center"/>
      <protection locked="0"/>
    </xf>
    <xf numFmtId="0" fontId="10" fillId="0" borderId="5" xfId="0" applyFont="1" applyBorder="1" applyAlignment="1" applyProtection="1">
      <alignment vertical="center" wrapText="1"/>
      <protection locked="0"/>
    </xf>
    <xf numFmtId="0" fontId="22" fillId="0" borderId="0" xfId="0" applyFont="1" applyAlignment="1" applyProtection="1">
      <alignment vertical="center" wrapText="1"/>
      <protection locked="0"/>
    </xf>
    <xf numFmtId="0" fontId="9" fillId="0" borderId="9"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0" fillId="6" borderId="0" xfId="0" applyFill="1"/>
    <xf numFmtId="0" fontId="6" fillId="6" borderId="5"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20" fillId="0" borderId="0" xfId="0" applyFont="1" applyAlignment="1">
      <alignment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2" fillId="0" borderId="0" xfId="0" applyFont="1"/>
    <xf numFmtId="0" fontId="9" fillId="0" borderId="9" xfId="0" applyFont="1" applyBorder="1" applyAlignment="1">
      <alignment horizontal="left" vertical="center" wrapText="1"/>
    </xf>
    <xf numFmtId="0" fontId="9" fillId="0" borderId="3" xfId="0" applyFont="1" applyBorder="1" applyAlignment="1">
      <alignment vertical="center" wrapText="1"/>
    </xf>
    <xf numFmtId="0" fontId="11" fillId="6" borderId="0" xfId="0" applyFont="1" applyFill="1"/>
    <xf numFmtId="0" fontId="8" fillId="6" borderId="0" xfId="0" applyFont="1" applyFill="1"/>
    <xf numFmtId="0" fontId="10" fillId="0" borderId="0" xfId="0" applyFont="1" applyAlignment="1">
      <alignment horizontal="justify" vertical="center"/>
    </xf>
    <xf numFmtId="0" fontId="15" fillId="0" borderId="0" xfId="0" applyFont="1" applyAlignment="1">
      <alignment horizontal="left" vertical="center"/>
    </xf>
    <xf numFmtId="0" fontId="14" fillId="7" borderId="3" xfId="0" applyFont="1" applyFill="1" applyBorder="1" applyAlignment="1" applyProtection="1">
      <alignment vertical="center"/>
      <protection locked="0"/>
    </xf>
    <xf numFmtId="0" fontId="14" fillId="7" borderId="9" xfId="0" applyFont="1" applyFill="1" applyBorder="1" applyAlignment="1" applyProtection="1">
      <alignment vertical="center"/>
      <protection locked="0"/>
    </xf>
    <xf numFmtId="0" fontId="15" fillId="6" borderId="0" xfId="0" applyFont="1" applyFill="1" applyAlignment="1" applyProtection="1">
      <alignment horizontal="left" vertical="center" wrapText="1"/>
      <protection locked="0"/>
    </xf>
    <xf numFmtId="0" fontId="14" fillId="7" borderId="19" xfId="0" applyFont="1" applyFill="1" applyBorder="1" applyAlignment="1" applyProtection="1">
      <alignment horizontal="left" vertical="center"/>
      <protection locked="0"/>
    </xf>
    <xf numFmtId="0" fontId="4" fillId="6" borderId="3" xfId="0" applyFont="1" applyFill="1" applyBorder="1" applyAlignment="1" applyProtection="1">
      <alignment vertical="center"/>
      <protection locked="0"/>
    </xf>
    <xf numFmtId="0" fontId="4" fillId="6" borderId="4" xfId="0" applyFont="1" applyFill="1" applyBorder="1" applyAlignment="1" applyProtection="1">
      <alignment vertical="center"/>
      <protection locked="0"/>
    </xf>
    <xf numFmtId="0" fontId="4" fillId="6" borderId="4"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28" fillId="0" borderId="0" xfId="0" applyFont="1" applyAlignment="1">
      <alignment vertical="center"/>
    </xf>
    <xf numFmtId="0" fontId="27" fillId="0" borderId="0" xfId="0" applyFont="1" applyAlignment="1">
      <alignment vertical="center" wrapText="1"/>
    </xf>
    <xf numFmtId="0" fontId="29" fillId="0" borderId="0" xfId="0" applyFont="1" applyAlignment="1">
      <alignment vertical="center"/>
    </xf>
    <xf numFmtId="0" fontId="3" fillId="6" borderId="0" xfId="0" applyFont="1" applyFill="1" applyProtection="1">
      <protection locked="0"/>
    </xf>
    <xf numFmtId="0" fontId="5" fillId="0" borderId="48" xfId="0" applyFont="1" applyBorder="1" applyAlignment="1">
      <alignment vertical="center" wrapText="1"/>
    </xf>
    <xf numFmtId="0" fontId="5" fillId="0" borderId="43" xfId="0" applyFont="1" applyBorder="1" applyAlignment="1">
      <alignment vertical="center" wrapText="1"/>
    </xf>
    <xf numFmtId="0" fontId="6" fillId="6" borderId="10" xfId="0" applyFont="1" applyFill="1" applyBorder="1" applyAlignment="1" applyProtection="1">
      <alignment vertical="center"/>
      <protection locked="0"/>
    </xf>
    <xf numFmtId="0" fontId="6" fillId="6" borderId="52" xfId="0" applyFont="1" applyFill="1" applyBorder="1" applyAlignment="1" applyProtection="1">
      <alignment vertical="center"/>
      <protection locked="0"/>
    </xf>
    <xf numFmtId="0" fontId="3" fillId="0" borderId="52" xfId="0" applyFont="1" applyBorder="1"/>
    <xf numFmtId="43" fontId="0" fillId="0" borderId="0" xfId="0" applyNumberFormat="1"/>
    <xf numFmtId="43" fontId="10" fillId="0" borderId="17" xfId="0" applyNumberFormat="1" applyFont="1" applyBorder="1" applyAlignment="1" applyProtection="1">
      <alignment vertical="center" wrapText="1"/>
      <protection locked="0"/>
    </xf>
    <xf numFmtId="43" fontId="10" fillId="0" borderId="6" xfId="0" applyNumberFormat="1" applyFont="1" applyBorder="1" applyAlignment="1" applyProtection="1">
      <alignment vertical="center" wrapText="1"/>
      <protection locked="0"/>
    </xf>
    <xf numFmtId="0" fontId="3" fillId="0" borderId="40" xfId="0" applyFont="1" applyBorder="1"/>
    <xf numFmtId="0" fontId="3" fillId="0" borderId="41" xfId="0" applyFont="1" applyBorder="1"/>
    <xf numFmtId="17" fontId="26" fillId="6" borderId="37" xfId="0" applyNumberFormat="1" applyFont="1" applyFill="1" applyBorder="1" applyAlignment="1">
      <alignment horizontal="center" vertical="center"/>
    </xf>
    <xf numFmtId="0" fontId="0" fillId="5" borderId="53" xfId="0" applyFill="1" applyBorder="1" applyAlignment="1" applyProtection="1">
      <alignment vertical="center"/>
      <protection locked="0"/>
    </xf>
    <xf numFmtId="0" fontId="3" fillId="5" borderId="53" xfId="0" applyFont="1" applyFill="1" applyBorder="1" applyAlignment="1" applyProtection="1">
      <alignment horizontal="center" vertical="center"/>
      <protection locked="0"/>
    </xf>
    <xf numFmtId="0" fontId="0" fillId="6" borderId="0" xfId="0" applyFill="1" applyAlignment="1" applyProtection="1">
      <alignment horizontal="left" vertical="top"/>
      <protection locked="0"/>
    </xf>
    <xf numFmtId="165" fontId="17" fillId="6" borderId="22" xfId="0" applyNumberFormat="1" applyFont="1" applyFill="1" applyBorder="1" applyAlignment="1" applyProtection="1">
      <alignment vertical="center" wrapText="1"/>
      <protection locked="0"/>
    </xf>
    <xf numFmtId="0" fontId="10" fillId="0" borderId="52" xfId="0" applyFont="1" applyBorder="1" applyAlignment="1" applyProtection="1">
      <alignment horizontal="left" vertical="top" wrapText="1"/>
      <protection locked="0"/>
    </xf>
    <xf numFmtId="0" fontId="10" fillId="0" borderId="52"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43" fontId="10" fillId="0" borderId="0" xfId="0" applyNumberFormat="1" applyFont="1" applyAlignment="1" applyProtection="1">
      <alignment vertical="center" wrapText="1"/>
      <protection locked="0"/>
    </xf>
    <xf numFmtId="0" fontId="30" fillId="6" borderId="0" xfId="1" applyFill="1" applyProtection="1">
      <protection locked="0"/>
    </xf>
    <xf numFmtId="0" fontId="15" fillId="0" borderId="0" xfId="0" applyFont="1" applyAlignment="1" applyProtection="1">
      <alignment vertical="center"/>
      <protection locked="0"/>
    </xf>
    <xf numFmtId="0" fontId="14" fillId="0" borderId="0" xfId="0" applyFont="1" applyAlignment="1" applyProtection="1">
      <alignment vertical="center"/>
      <protection locked="0"/>
    </xf>
    <xf numFmtId="0" fontId="10" fillId="0" borderId="0" xfId="0" applyFont="1" applyAlignment="1" applyProtection="1">
      <alignment vertical="center"/>
      <protection locked="0"/>
    </xf>
    <xf numFmtId="0" fontId="9" fillId="0" borderId="13" xfId="0" applyFont="1" applyBorder="1" applyAlignment="1" applyProtection="1">
      <alignment vertical="center" wrapText="1"/>
      <protection locked="0"/>
    </xf>
    <xf numFmtId="0" fontId="10" fillId="0" borderId="0" xfId="0" applyFont="1" applyAlignment="1" applyProtection="1">
      <alignment horizontal="left" vertical="center" wrapText="1"/>
      <protection locked="0"/>
    </xf>
    <xf numFmtId="0" fontId="9" fillId="0" borderId="19" xfId="0" applyFont="1" applyBorder="1" applyAlignment="1" applyProtection="1">
      <alignment vertical="center" wrapText="1"/>
      <protection locked="0"/>
    </xf>
    <xf numFmtId="0" fontId="10" fillId="0" borderId="9"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0" fillId="0" borderId="9" xfId="0" applyFont="1" applyBorder="1" applyAlignment="1" applyProtection="1">
      <alignment horizontal="left" vertical="top" wrapText="1"/>
      <protection locked="0"/>
    </xf>
    <xf numFmtId="0" fontId="10" fillId="0" borderId="3" xfId="0" applyFont="1" applyBorder="1" applyAlignment="1">
      <alignment horizontal="left" vertical="center" wrapText="1"/>
    </xf>
    <xf numFmtId="0" fontId="4" fillId="6" borderId="4" xfId="0" applyFont="1" applyFill="1" applyBorder="1" applyAlignment="1" applyProtection="1">
      <alignment horizontal="left" vertical="center"/>
      <protection locked="0"/>
    </xf>
    <xf numFmtId="0" fontId="10" fillId="0" borderId="19" xfId="0" applyFont="1" applyBorder="1" applyAlignment="1" applyProtection="1">
      <alignment horizontal="left" vertical="center" wrapText="1"/>
      <protection locked="0"/>
    </xf>
    <xf numFmtId="0" fontId="10" fillId="0" borderId="13" xfId="0" applyFont="1" applyBorder="1" applyAlignment="1" applyProtection="1">
      <alignment horizontal="left" vertical="center" wrapText="1"/>
      <protection locked="0"/>
    </xf>
    <xf numFmtId="0" fontId="4" fillId="6" borderId="0" xfId="0" applyFont="1" applyFill="1" applyAlignment="1" applyProtection="1">
      <alignment vertical="center"/>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vertical="center"/>
      <protection locked="0"/>
    </xf>
    <xf numFmtId="0" fontId="4" fillId="6" borderId="0" xfId="0" applyFont="1" applyFill="1" applyAlignment="1" applyProtection="1">
      <alignment horizontal="left" vertical="center" indent="4"/>
      <protection locked="0"/>
    </xf>
    <xf numFmtId="0" fontId="4" fillId="6" borderId="0" xfId="0" quotePrefix="1" applyFont="1" applyFill="1" applyAlignment="1" applyProtection="1">
      <alignment horizontal="justify" vertical="center"/>
      <protection locked="0"/>
    </xf>
    <xf numFmtId="0" fontId="4" fillId="6" borderId="0" xfId="0" applyFont="1" applyFill="1" applyAlignment="1" applyProtection="1">
      <alignment horizontal="justify" vertical="center"/>
      <protection locked="0"/>
    </xf>
    <xf numFmtId="0" fontId="10" fillId="0" borderId="9" xfId="0" applyFont="1" applyBorder="1" applyAlignment="1">
      <alignment horizontal="left" vertical="center" wrapText="1"/>
    </xf>
    <xf numFmtId="0" fontId="10" fillId="0" borderId="5" xfId="0" applyFont="1" applyBorder="1" applyAlignment="1">
      <alignment horizontal="left" vertical="center" wrapText="1"/>
    </xf>
    <xf numFmtId="165" fontId="17" fillId="6" borderId="19" xfId="0" applyNumberFormat="1" applyFont="1" applyFill="1" applyBorder="1" applyAlignment="1">
      <alignment vertical="center" wrapText="1"/>
    </xf>
    <xf numFmtId="0" fontId="25" fillId="6" borderId="5"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6" xfId="0" applyFont="1" applyFill="1" applyBorder="1" applyAlignment="1" applyProtection="1">
      <alignment horizontal="left" vertical="center"/>
      <protection locked="0"/>
    </xf>
    <xf numFmtId="0" fontId="6" fillId="6" borderId="12" xfId="0" applyFont="1" applyFill="1" applyBorder="1" applyAlignment="1" applyProtection="1">
      <alignment horizontal="left" vertical="center"/>
      <protection locked="0"/>
    </xf>
    <xf numFmtId="0" fontId="6" fillId="6" borderId="52" xfId="0" applyFont="1" applyFill="1" applyBorder="1" applyAlignment="1" applyProtection="1">
      <alignment horizontal="left" vertical="center"/>
      <protection locked="0"/>
    </xf>
    <xf numFmtId="166" fontId="6" fillId="6" borderId="6" xfId="0" applyNumberFormat="1" applyFont="1" applyFill="1" applyBorder="1" applyAlignment="1" applyProtection="1">
      <alignment horizontal="left" vertical="center"/>
      <protection locked="0"/>
    </xf>
    <xf numFmtId="165" fontId="17" fillId="6" borderId="19" xfId="0" applyNumberFormat="1" applyFont="1" applyFill="1" applyBorder="1" applyAlignment="1" applyProtection="1">
      <alignment horizontal="left" vertical="center" wrapText="1"/>
      <protection locked="0"/>
    </xf>
    <xf numFmtId="165" fontId="17" fillId="6" borderId="19" xfId="0" applyNumberFormat="1" applyFont="1" applyFill="1" applyBorder="1" applyAlignment="1" applyProtection="1">
      <alignment horizontal="left" vertical="top" wrapText="1"/>
      <protection locked="0"/>
    </xf>
    <xf numFmtId="0" fontId="10" fillId="0" borderId="17" xfId="0" applyFont="1" applyBorder="1" applyAlignment="1" applyProtection="1">
      <alignment horizontal="left" vertical="center" wrapText="1"/>
      <protection locked="0"/>
    </xf>
    <xf numFmtId="0" fontId="10" fillId="0" borderId="59" xfId="0" applyFont="1" applyBorder="1" applyAlignment="1" applyProtection="1">
      <alignment vertical="center" wrapText="1"/>
      <protection locked="0"/>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164" fontId="0" fillId="6" borderId="0" xfId="0" applyNumberFormat="1" applyFill="1" applyAlignment="1" applyProtection="1">
      <alignment horizontal="left" vertical="top"/>
      <protection locked="0"/>
    </xf>
    <xf numFmtId="164" fontId="8" fillId="6" borderId="0" xfId="0" applyNumberFormat="1" applyFont="1" applyFill="1" applyAlignment="1" applyProtection="1">
      <alignment horizontal="left" vertical="top"/>
      <protection locked="0"/>
    </xf>
    <xf numFmtId="0" fontId="5" fillId="0" borderId="5" xfId="0" applyFont="1" applyBorder="1" applyAlignment="1">
      <alignment horizontal="left" vertical="top" wrapText="1"/>
    </xf>
    <xf numFmtId="0" fontId="4" fillId="0" borderId="19" xfId="0" applyFont="1" applyBorder="1" applyAlignment="1">
      <alignment horizontal="left" vertical="top" wrapText="1"/>
    </xf>
    <xf numFmtId="0" fontId="0" fillId="0" borderId="0" xfId="0" applyAlignment="1">
      <alignment horizontal="left" vertical="top"/>
    </xf>
    <xf numFmtId="0" fontId="5" fillId="0" borderId="51" xfId="0" applyFont="1" applyBorder="1" applyAlignment="1">
      <alignment horizontal="left" vertical="top" wrapText="1"/>
    </xf>
    <xf numFmtId="0" fontId="12" fillId="6" borderId="0" xfId="0" applyFont="1" applyFill="1" applyProtection="1">
      <protection locked="0"/>
    </xf>
    <xf numFmtId="0" fontId="31" fillId="6" borderId="0" xfId="0" applyFont="1" applyFill="1" applyAlignment="1" applyProtection="1">
      <alignment vertical="center"/>
      <protection locked="0"/>
    </xf>
    <xf numFmtId="0" fontId="10" fillId="0" borderId="3" xfId="0" applyFont="1" applyBorder="1" applyAlignment="1" applyProtection="1">
      <alignment horizontal="left" vertical="top" wrapText="1"/>
      <protection locked="0"/>
    </xf>
    <xf numFmtId="0" fontId="32" fillId="6" borderId="0" xfId="0" applyFont="1" applyFill="1" applyAlignment="1" applyProtection="1">
      <alignment horizontal="right" vertical="top"/>
      <protection locked="0"/>
    </xf>
    <xf numFmtId="0" fontId="34" fillId="6" borderId="0" xfId="0" applyFont="1" applyFill="1" applyAlignment="1" applyProtection="1">
      <alignment horizontal="left" vertical="top"/>
      <protection locked="0"/>
    </xf>
    <xf numFmtId="0" fontId="32" fillId="6" borderId="0" xfId="0" applyFont="1" applyFill="1" applyAlignment="1">
      <alignment horizontal="left" vertical="top"/>
    </xf>
    <xf numFmtId="0" fontId="35" fillId="0" borderId="0" xfId="0" applyFont="1" applyAlignment="1">
      <alignment horizontal="justify" vertical="center"/>
    </xf>
    <xf numFmtId="0" fontId="32" fillId="6" borderId="0" xfId="0" applyFont="1" applyFill="1" applyAlignment="1" applyProtection="1">
      <alignment horizontal="left" vertical="top" wrapText="1"/>
      <protection locked="0"/>
    </xf>
    <xf numFmtId="166" fontId="6" fillId="6" borderId="4" xfId="0" quotePrefix="1" applyNumberFormat="1" applyFont="1" applyFill="1" applyBorder="1" applyAlignment="1" applyProtection="1">
      <alignment horizontal="left" vertical="center"/>
      <protection locked="0"/>
    </xf>
    <xf numFmtId="0" fontId="28" fillId="0" borderId="0" xfId="0" applyFont="1" applyAlignment="1">
      <alignment vertical="center"/>
    </xf>
    <xf numFmtId="0" fontId="3" fillId="5" borderId="54" xfId="0" applyFont="1" applyFill="1" applyBorder="1" applyAlignment="1" applyProtection="1">
      <alignment horizontal="left" vertical="center" wrapText="1"/>
      <protection locked="0"/>
    </xf>
    <xf numFmtId="0" fontId="3" fillId="5" borderId="55" xfId="0" applyFont="1" applyFill="1" applyBorder="1" applyAlignment="1" applyProtection="1">
      <alignment horizontal="left" vertical="center" wrapText="1"/>
      <protection locked="0"/>
    </xf>
    <xf numFmtId="0" fontId="3" fillId="5" borderId="54" xfId="0" applyFont="1" applyFill="1" applyBorder="1" applyAlignment="1" applyProtection="1">
      <alignment horizontal="center" vertical="center"/>
      <protection locked="0"/>
    </xf>
    <xf numFmtId="0" fontId="3" fillId="5" borderId="55" xfId="0" applyFont="1" applyFill="1" applyBorder="1" applyAlignment="1" applyProtection="1">
      <alignment horizontal="center" vertical="center"/>
      <protection locked="0"/>
    </xf>
    <xf numFmtId="0" fontId="6" fillId="6" borderId="39" xfId="0" applyFont="1" applyFill="1" applyBorder="1" applyAlignment="1" applyProtection="1">
      <alignment vertical="center"/>
      <protection locked="0"/>
    </xf>
    <xf numFmtId="0" fontId="6" fillId="6" borderId="40" xfId="0" applyFont="1" applyFill="1" applyBorder="1" applyAlignment="1" applyProtection="1">
      <alignment vertical="center"/>
      <protection locked="0"/>
    </xf>
    <xf numFmtId="0" fontId="6" fillId="6" borderId="41" xfId="0" applyFont="1" applyFill="1" applyBorder="1" applyAlignment="1" applyProtection="1">
      <alignment vertical="center"/>
      <protection locked="0"/>
    </xf>
    <xf numFmtId="0" fontId="6" fillId="6" borderId="39" xfId="0" applyFont="1" applyFill="1" applyBorder="1" applyAlignment="1" applyProtection="1">
      <alignment vertical="center" wrapText="1"/>
      <protection locked="0"/>
    </xf>
    <xf numFmtId="0" fontId="6" fillId="6" borderId="40" xfId="0" applyFont="1" applyFill="1" applyBorder="1" applyAlignment="1" applyProtection="1">
      <alignment vertical="center" wrapText="1"/>
      <protection locked="0"/>
    </xf>
    <xf numFmtId="0" fontId="6" fillId="6" borderId="41" xfId="0" applyFont="1" applyFill="1" applyBorder="1" applyAlignment="1" applyProtection="1">
      <alignment vertical="center" wrapText="1"/>
      <protection locked="0"/>
    </xf>
    <xf numFmtId="0" fontId="4" fillId="6" borderId="0" xfId="0" applyFont="1" applyFill="1" applyAlignment="1" applyProtection="1">
      <alignment horizontal="left" vertical="top" wrapText="1"/>
      <protection locked="0"/>
    </xf>
    <xf numFmtId="0" fontId="4" fillId="6" borderId="0" xfId="0" applyFont="1" applyFill="1" applyAlignment="1" applyProtection="1">
      <alignment horizontal="left" vertical="center" wrapText="1"/>
      <protection locked="0"/>
    </xf>
    <xf numFmtId="0" fontId="6" fillId="6" borderId="9" xfId="0" applyFont="1" applyFill="1" applyBorder="1" applyAlignment="1" applyProtection="1">
      <alignment horizontal="left" vertical="center" wrapText="1"/>
      <protection locked="0"/>
    </xf>
    <xf numFmtId="0" fontId="6" fillId="6" borderId="5" xfId="0" applyFont="1" applyFill="1" applyBorder="1" applyAlignment="1" applyProtection="1">
      <alignment horizontal="left" vertical="center" wrapText="1"/>
      <protection locked="0"/>
    </xf>
    <xf numFmtId="0" fontId="6" fillId="6" borderId="9"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14" xfId="0" applyFont="1" applyFill="1" applyBorder="1" applyAlignment="1" applyProtection="1">
      <alignment horizontal="left" vertical="center"/>
      <protection locked="0"/>
    </xf>
    <xf numFmtId="0" fontId="6" fillId="6" borderId="15" xfId="0" applyFont="1" applyFill="1" applyBorder="1" applyAlignment="1" applyProtection="1">
      <alignment horizontal="left" vertical="center"/>
      <protection locked="0"/>
    </xf>
    <xf numFmtId="0" fontId="9" fillId="0" borderId="9" xfId="0" applyFont="1" applyBorder="1" applyAlignment="1">
      <alignment horizontal="left" vertical="top" wrapText="1"/>
    </xf>
    <xf numFmtId="0" fontId="9" fillId="0" borderId="16" xfId="0" applyFont="1" applyBorder="1" applyAlignment="1">
      <alignment horizontal="left" vertical="top" wrapText="1"/>
    </xf>
    <xf numFmtId="0" fontId="9" fillId="0" borderId="5" xfId="0" applyFont="1" applyBorder="1" applyAlignment="1">
      <alignment horizontal="left" vertical="top" wrapText="1"/>
    </xf>
    <xf numFmtId="0" fontId="10" fillId="0" borderId="9"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10" fillId="0" borderId="9" xfId="0" applyFont="1" applyBorder="1" applyAlignment="1">
      <alignment horizontal="left" vertical="top" wrapText="1"/>
    </xf>
    <xf numFmtId="0" fontId="10" fillId="0" borderId="5" xfId="0" applyFont="1" applyBorder="1" applyAlignment="1">
      <alignment horizontal="left" vertical="top" wrapText="1"/>
    </xf>
    <xf numFmtId="0" fontId="10" fillId="0" borderId="16" xfId="0" applyFont="1" applyBorder="1" applyAlignment="1">
      <alignment horizontal="left"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2" xfId="0" applyFont="1" applyBorder="1" applyAlignment="1">
      <alignment horizontal="left" vertical="top" wrapText="1"/>
    </xf>
    <xf numFmtId="0" fontId="10" fillId="0" borderId="20" xfId="0" applyFont="1" applyBorder="1" applyAlignment="1" applyProtection="1">
      <alignment horizontal="left" vertical="center" wrapText="1"/>
      <protection locked="0"/>
    </xf>
    <xf numFmtId="0" fontId="10" fillId="0" borderId="21" xfId="0" applyFont="1" applyBorder="1" applyAlignment="1" applyProtection="1">
      <alignment horizontal="left" vertical="center" wrapText="1"/>
      <protection locked="0"/>
    </xf>
    <xf numFmtId="0" fontId="10" fillId="0" borderId="22" xfId="0" applyFont="1" applyBorder="1" applyAlignment="1" applyProtection="1">
      <alignment horizontal="left" vertical="center" wrapText="1"/>
      <protection locked="0"/>
    </xf>
    <xf numFmtId="0" fontId="10" fillId="0" borderId="9" xfId="0" applyFont="1" applyBorder="1" applyAlignment="1">
      <alignment horizontal="left" vertical="center" wrapText="1"/>
    </xf>
    <xf numFmtId="0" fontId="10" fillId="0" borderId="16" xfId="0" applyFont="1" applyBorder="1" applyAlignment="1">
      <alignment horizontal="left"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left" vertical="center" wrapText="1"/>
    </xf>
    <xf numFmtId="0" fontId="11" fillId="6" borderId="0" xfId="0" applyFont="1" applyFill="1"/>
    <xf numFmtId="0" fontId="9" fillId="7" borderId="8" xfId="0" applyFont="1" applyFill="1" applyBorder="1" applyAlignment="1">
      <alignment horizontal="left" vertical="center"/>
    </xf>
    <xf numFmtId="0" fontId="9" fillId="7" borderId="0" xfId="0" applyFont="1" applyFill="1" applyAlignment="1">
      <alignment horizontal="left" vertical="center"/>
    </xf>
    <xf numFmtId="0" fontId="14" fillId="7" borderId="9" xfId="0" applyFont="1" applyFill="1" applyBorder="1" applyAlignment="1" applyProtection="1">
      <alignment horizontal="left" vertical="center"/>
      <protection locked="0"/>
    </xf>
    <xf numFmtId="0" fontId="14" fillId="7" borderId="16" xfId="0" applyFont="1" applyFill="1" applyBorder="1" applyAlignment="1" applyProtection="1">
      <alignment horizontal="left" vertical="center"/>
      <protection locked="0"/>
    </xf>
    <xf numFmtId="0" fontId="14" fillId="7" borderId="5" xfId="0" applyFont="1" applyFill="1" applyBorder="1" applyAlignment="1" applyProtection="1">
      <alignment horizontal="left" vertical="center"/>
      <protection locked="0"/>
    </xf>
    <xf numFmtId="0" fontId="0" fillId="6" borderId="18" xfId="0" applyFill="1" applyBorder="1" applyAlignment="1" applyProtection="1">
      <alignment horizontal="left" vertical="top" wrapText="1"/>
      <protection locked="0"/>
    </xf>
    <xf numFmtId="0" fontId="16" fillId="6" borderId="17" xfId="0" applyFont="1" applyFill="1" applyBorder="1" applyAlignment="1" applyProtection="1">
      <alignment horizontal="left" vertical="top" wrapText="1"/>
      <protection locked="0"/>
    </xf>
    <xf numFmtId="0" fontId="14" fillId="7" borderId="9" xfId="0" applyFont="1" applyFill="1" applyBorder="1" applyAlignment="1" applyProtection="1">
      <alignment horizontal="left" vertical="center" wrapText="1"/>
      <protection locked="0"/>
    </xf>
    <xf numFmtId="0" fontId="10" fillId="0" borderId="9" xfId="0" applyFont="1" applyBorder="1" applyAlignment="1" applyProtection="1">
      <alignment vertical="top" wrapText="1"/>
      <protection locked="0"/>
    </xf>
    <xf numFmtId="0" fontId="10" fillId="0" borderId="16" xfId="0" applyFont="1" applyBorder="1" applyAlignment="1" applyProtection="1">
      <alignment vertical="top" wrapText="1"/>
      <protection locked="0"/>
    </xf>
    <xf numFmtId="0" fontId="10" fillId="0" borderId="5" xfId="0" applyFont="1" applyBorder="1" applyAlignment="1" applyProtection="1">
      <alignment vertical="top" wrapText="1"/>
      <protection locked="0"/>
    </xf>
    <xf numFmtId="0" fontId="10" fillId="0" borderId="9" xfId="0" applyFont="1" applyBorder="1" applyAlignment="1" applyProtection="1">
      <alignment vertical="center" wrapText="1"/>
      <protection locked="0"/>
    </xf>
    <xf numFmtId="0" fontId="10" fillId="0" borderId="16" xfId="0" applyFont="1" applyBorder="1" applyAlignment="1" applyProtection="1">
      <alignment vertical="center" wrapText="1"/>
      <protection locked="0"/>
    </xf>
    <xf numFmtId="0" fontId="10" fillId="0" borderId="5" xfId="0" applyFont="1" applyBorder="1" applyAlignment="1" applyProtection="1">
      <alignment vertical="center" wrapText="1"/>
      <protection locked="0"/>
    </xf>
    <xf numFmtId="0" fontId="9" fillId="0" borderId="9"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9" fillId="0" borderId="5" xfId="0" applyFont="1" applyBorder="1" applyAlignment="1" applyProtection="1">
      <alignment horizontal="left" vertical="center" wrapText="1"/>
      <protection locked="0"/>
    </xf>
    <xf numFmtId="0" fontId="15" fillId="6" borderId="9" xfId="0" applyFont="1" applyFill="1" applyBorder="1" applyAlignment="1" applyProtection="1">
      <alignment horizontal="left" vertical="center" wrapText="1"/>
      <protection locked="0"/>
    </xf>
    <xf numFmtId="0" fontId="15" fillId="6" borderId="16" xfId="0" applyFont="1" applyFill="1" applyBorder="1" applyAlignment="1" applyProtection="1">
      <alignment horizontal="left" vertical="center" wrapText="1"/>
      <protection locked="0"/>
    </xf>
    <xf numFmtId="0" fontId="15" fillId="6" borderId="5" xfId="0" applyFont="1" applyFill="1" applyBorder="1" applyAlignment="1" applyProtection="1">
      <alignment horizontal="left" vertical="center" wrapText="1"/>
      <protection locked="0"/>
    </xf>
    <xf numFmtId="0" fontId="14" fillId="6" borderId="9" xfId="0" applyFont="1" applyFill="1" applyBorder="1" applyAlignment="1" applyProtection="1">
      <alignment horizontal="left" vertical="center" wrapText="1"/>
      <protection locked="0"/>
    </xf>
    <xf numFmtId="0" fontId="14" fillId="6" borderId="16" xfId="0" applyFont="1" applyFill="1" applyBorder="1" applyAlignment="1" applyProtection="1">
      <alignment horizontal="left" vertical="center" wrapText="1"/>
      <protection locked="0"/>
    </xf>
    <xf numFmtId="0" fontId="14" fillId="6" borderId="5" xfId="0" applyFont="1" applyFill="1" applyBorder="1" applyAlignment="1" applyProtection="1">
      <alignment horizontal="left" vertical="center" wrapText="1"/>
      <protection locked="0"/>
    </xf>
    <xf numFmtId="0" fontId="14" fillId="6" borderId="9"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14" fillId="6" borderId="5" xfId="0" applyFont="1" applyFill="1" applyBorder="1" applyAlignment="1" applyProtection="1">
      <alignment horizontal="left" vertical="center"/>
      <protection locked="0"/>
    </xf>
    <xf numFmtId="0" fontId="19" fillId="0" borderId="1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9" fillId="0" borderId="32" xfId="0" applyFont="1" applyBorder="1" applyAlignment="1" applyProtection="1">
      <alignment horizontal="left" vertical="center" wrapText="1"/>
      <protection locked="0"/>
    </xf>
    <xf numFmtId="0" fontId="9" fillId="0" borderId="31" xfId="0" applyFont="1" applyBorder="1" applyAlignment="1" applyProtection="1">
      <alignment horizontal="left" vertical="center" wrapText="1"/>
      <protection locked="0"/>
    </xf>
    <xf numFmtId="0" fontId="9" fillId="0" borderId="30" xfId="0" applyFont="1" applyBorder="1" applyAlignment="1" applyProtection="1">
      <alignment horizontal="left" vertical="center" wrapText="1"/>
      <protection locked="0"/>
    </xf>
    <xf numFmtId="0" fontId="10" fillId="0" borderId="33" xfId="0" applyFont="1" applyBorder="1" applyAlignment="1" applyProtection="1">
      <alignment horizontal="left" vertical="center" wrapText="1"/>
      <protection locked="0"/>
    </xf>
    <xf numFmtId="0" fontId="10" fillId="0" borderId="34" xfId="0" applyFont="1" applyBorder="1" applyAlignment="1" applyProtection="1">
      <alignment horizontal="left" vertical="center" wrapText="1"/>
      <protection locked="0"/>
    </xf>
    <xf numFmtId="0" fontId="15" fillId="6" borderId="9" xfId="0" applyFont="1" applyFill="1" applyBorder="1" applyAlignment="1" applyProtection="1">
      <alignment horizontal="left" vertical="center"/>
      <protection locked="0"/>
    </xf>
    <xf numFmtId="0" fontId="15" fillId="6" borderId="16" xfId="0" applyFont="1" applyFill="1" applyBorder="1" applyAlignment="1" applyProtection="1">
      <alignment horizontal="left" vertical="center"/>
      <protection locked="0"/>
    </xf>
    <xf numFmtId="0" fontId="15" fillId="6" borderId="5" xfId="0" applyFont="1" applyFill="1" applyBorder="1" applyAlignment="1" applyProtection="1">
      <alignment horizontal="left" vertical="center"/>
      <protection locked="0"/>
    </xf>
    <xf numFmtId="0" fontId="15" fillId="6" borderId="9" xfId="0" applyFont="1" applyFill="1" applyBorder="1" applyAlignment="1" applyProtection="1">
      <alignment horizontal="left" vertical="top" wrapText="1"/>
      <protection locked="0"/>
    </xf>
    <xf numFmtId="0" fontId="15" fillId="6" borderId="16" xfId="0" applyFont="1" applyFill="1" applyBorder="1" applyAlignment="1" applyProtection="1">
      <alignment horizontal="left" vertical="top" wrapText="1"/>
      <protection locked="0"/>
    </xf>
    <xf numFmtId="0" fontId="15" fillId="6" borderId="5" xfId="0" applyFont="1" applyFill="1" applyBorder="1" applyAlignment="1" applyProtection="1">
      <alignment horizontal="left" vertical="top" wrapText="1"/>
      <protection locked="0"/>
    </xf>
    <xf numFmtId="0" fontId="9" fillId="0" borderId="9" xfId="0" applyFont="1" applyBorder="1" applyAlignment="1" applyProtection="1">
      <alignment vertical="center" wrapText="1"/>
      <protection locked="0"/>
    </xf>
    <xf numFmtId="0" fontId="9" fillId="0" borderId="5" xfId="0" applyFont="1" applyBorder="1" applyAlignment="1" applyProtection="1">
      <alignment vertical="center" wrapText="1"/>
      <protection locked="0"/>
    </xf>
    <xf numFmtId="0" fontId="14" fillId="6" borderId="0" xfId="0" applyFont="1" applyFill="1" applyAlignment="1" applyProtection="1">
      <alignment horizontal="left" vertical="center"/>
      <protection locked="0"/>
    </xf>
    <xf numFmtId="0" fontId="18" fillId="0" borderId="20"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14" fillId="6" borderId="14" xfId="0" applyFont="1" applyFill="1" applyBorder="1" applyAlignment="1" applyProtection="1">
      <alignment horizontal="left" vertical="center"/>
      <protection locked="0"/>
    </xf>
    <xf numFmtId="0" fontId="14" fillId="6" borderId="18" xfId="0" applyFont="1" applyFill="1" applyBorder="1" applyAlignment="1" applyProtection="1">
      <alignment horizontal="left" vertical="center"/>
      <protection locked="0"/>
    </xf>
    <xf numFmtId="0" fontId="14" fillId="6" borderId="13" xfId="0" applyFont="1" applyFill="1" applyBorder="1" applyAlignment="1" applyProtection="1">
      <alignment horizontal="left" vertical="center"/>
      <protection locked="0"/>
    </xf>
    <xf numFmtId="0" fontId="9" fillId="0" borderId="20" xfId="0" applyFont="1" applyBorder="1" applyAlignment="1" applyProtection="1">
      <alignment horizontal="left" vertical="center" wrapText="1"/>
      <protection locked="0"/>
    </xf>
    <xf numFmtId="0" fontId="9" fillId="0" borderId="21"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5" fillId="6" borderId="9" xfId="0" applyFont="1" applyFill="1" applyBorder="1" applyAlignment="1" applyProtection="1">
      <alignment vertical="center"/>
      <protection locked="0"/>
    </xf>
    <xf numFmtId="0" fontId="15" fillId="6" borderId="16" xfId="0" applyFont="1" applyFill="1" applyBorder="1" applyAlignment="1" applyProtection="1">
      <alignment vertical="center"/>
      <protection locked="0"/>
    </xf>
    <xf numFmtId="0" fontId="15" fillId="6" borderId="5" xfId="0" applyFont="1" applyFill="1" applyBorder="1" applyAlignment="1" applyProtection="1">
      <alignment vertical="center"/>
      <protection locked="0"/>
    </xf>
    <xf numFmtId="0" fontId="15" fillId="6" borderId="15" xfId="0" applyFont="1" applyFill="1" applyBorder="1" applyAlignment="1" applyProtection="1">
      <alignment horizontal="left" vertical="center" wrapText="1"/>
      <protection locked="0"/>
    </xf>
    <xf numFmtId="0" fontId="15" fillId="6" borderId="17" xfId="0" applyFont="1" applyFill="1" applyBorder="1" applyAlignment="1" applyProtection="1">
      <alignment horizontal="left" vertical="center" wrapText="1"/>
      <protection locked="0"/>
    </xf>
    <xf numFmtId="0" fontId="15" fillId="6" borderId="6" xfId="0" applyFont="1" applyFill="1" applyBorder="1" applyAlignment="1" applyProtection="1">
      <alignment horizontal="left" vertical="center" wrapText="1"/>
      <protection locked="0"/>
    </xf>
    <xf numFmtId="0" fontId="14" fillId="7" borderId="20" xfId="0" applyFont="1" applyFill="1" applyBorder="1" applyAlignment="1" applyProtection="1">
      <alignment horizontal="left" vertical="center"/>
      <protection locked="0"/>
    </xf>
    <xf numFmtId="0" fontId="14" fillId="7" borderId="21" xfId="0" applyFont="1" applyFill="1" applyBorder="1" applyAlignment="1" applyProtection="1">
      <alignment horizontal="left" vertical="center"/>
      <protection locked="0"/>
    </xf>
    <xf numFmtId="0" fontId="14" fillId="7" borderId="22" xfId="0" applyFont="1" applyFill="1" applyBorder="1" applyAlignment="1" applyProtection="1">
      <alignment horizontal="left" vertical="center"/>
      <protection locked="0"/>
    </xf>
    <xf numFmtId="0" fontId="14" fillId="6" borderId="17" xfId="0" applyFont="1" applyFill="1" applyBorder="1" applyAlignment="1" applyProtection="1">
      <alignment horizontal="left" vertical="center"/>
      <protection locked="0"/>
    </xf>
    <xf numFmtId="0" fontId="14" fillId="6" borderId="6" xfId="0" applyFont="1" applyFill="1" applyBorder="1" applyAlignment="1" applyProtection="1">
      <alignment horizontal="left" vertical="center"/>
      <protection locked="0"/>
    </xf>
    <xf numFmtId="0" fontId="14" fillId="6" borderId="31" xfId="0" applyFont="1" applyFill="1" applyBorder="1" applyAlignment="1" applyProtection="1">
      <alignment horizontal="left" vertical="center"/>
      <protection locked="0"/>
    </xf>
    <xf numFmtId="0" fontId="14" fillId="6" borderId="30" xfId="0" applyFont="1" applyFill="1" applyBorder="1" applyAlignment="1" applyProtection="1">
      <alignment horizontal="left" vertical="center"/>
      <protection locked="0"/>
    </xf>
    <xf numFmtId="0" fontId="14" fillId="7" borderId="14" xfId="0"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0" fontId="14" fillId="7" borderId="26" xfId="0" applyFont="1" applyFill="1" applyBorder="1" applyAlignment="1" applyProtection="1">
      <alignment horizontal="left" vertical="center"/>
      <protection locked="0"/>
    </xf>
    <xf numFmtId="0" fontId="14" fillId="7" borderId="27" xfId="0" applyFont="1" applyFill="1" applyBorder="1" applyAlignment="1" applyProtection="1">
      <alignment horizontal="left" vertical="center"/>
      <protection locked="0"/>
    </xf>
    <xf numFmtId="0" fontId="14" fillId="7" borderId="38" xfId="0" applyFont="1" applyFill="1" applyBorder="1" applyAlignment="1" applyProtection="1">
      <alignment horizontal="left" vertical="center"/>
      <protection locked="0"/>
    </xf>
    <xf numFmtId="0" fontId="14" fillId="7" borderId="20" xfId="0" applyFont="1" applyFill="1" applyBorder="1" applyAlignment="1">
      <alignment horizontal="left" vertical="center" wrapText="1"/>
    </xf>
    <xf numFmtId="0" fontId="14" fillId="7" borderId="21" xfId="0" applyFont="1" applyFill="1" applyBorder="1" applyAlignment="1">
      <alignment horizontal="left" vertical="center" wrapText="1"/>
    </xf>
    <xf numFmtId="0" fontId="14" fillId="7" borderId="22" xfId="0" applyFont="1" applyFill="1" applyBorder="1" applyAlignment="1">
      <alignment horizontal="left" vertical="center" wrapText="1"/>
    </xf>
    <xf numFmtId="165" fontId="17" fillId="6" borderId="23" xfId="0" applyNumberFormat="1" applyFont="1" applyFill="1" applyBorder="1" applyAlignment="1" applyProtection="1">
      <alignment horizontal="left" vertical="center" wrapText="1"/>
      <protection locked="0"/>
    </xf>
    <xf numFmtId="165" fontId="17" fillId="6" borderId="25" xfId="0" applyNumberFormat="1" applyFont="1" applyFill="1" applyBorder="1" applyAlignment="1" applyProtection="1">
      <alignment horizontal="left" vertical="center" wrapText="1"/>
      <protection locked="0"/>
    </xf>
    <xf numFmtId="165" fontId="17" fillId="6" borderId="20" xfId="0" applyNumberFormat="1" applyFont="1" applyFill="1" applyBorder="1" applyAlignment="1" applyProtection="1">
      <alignment horizontal="left" vertical="center" wrapText="1"/>
      <protection locked="0"/>
    </xf>
    <xf numFmtId="165" fontId="17" fillId="6" borderId="21" xfId="0" applyNumberFormat="1" applyFont="1" applyFill="1" applyBorder="1" applyAlignment="1" applyProtection="1">
      <alignment horizontal="left" vertical="center" wrapText="1"/>
      <protection locked="0"/>
    </xf>
    <xf numFmtId="165" fontId="17" fillId="6" borderId="22"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4" fillId="7" borderId="22" xfId="0" applyFont="1" applyFill="1" applyBorder="1" applyAlignment="1">
      <alignment horizontal="left" vertical="center"/>
    </xf>
    <xf numFmtId="0" fontId="14" fillId="7" borderId="56" xfId="0" applyFont="1" applyFill="1" applyBorder="1" applyAlignment="1">
      <alignment horizontal="left" vertical="center"/>
    </xf>
    <xf numFmtId="0" fontId="14" fillId="7" borderId="57" xfId="0" applyFont="1" applyFill="1" applyBorder="1" applyAlignment="1">
      <alignment horizontal="left" vertical="center"/>
    </xf>
    <xf numFmtId="0" fontId="14" fillId="7" borderId="53" xfId="0" applyFont="1" applyFill="1" applyBorder="1" applyAlignment="1">
      <alignment horizontal="left" vertical="center"/>
    </xf>
    <xf numFmtId="165" fontId="17" fillId="6" borderId="20" xfId="0" applyNumberFormat="1" applyFont="1" applyFill="1" applyBorder="1" applyAlignment="1" applyProtection="1">
      <alignment horizontal="left" vertical="top" wrapText="1"/>
      <protection locked="0"/>
    </xf>
    <xf numFmtId="165" fontId="17" fillId="6" borderId="21" xfId="0" applyNumberFormat="1" applyFont="1" applyFill="1" applyBorder="1" applyAlignment="1" applyProtection="1">
      <alignment horizontal="left" vertical="top" wrapText="1"/>
      <protection locked="0"/>
    </xf>
    <xf numFmtId="165" fontId="17" fillId="6" borderId="22" xfId="0" applyNumberFormat="1" applyFont="1" applyFill="1" applyBorder="1" applyAlignment="1" applyProtection="1">
      <alignment horizontal="left" vertical="top" wrapText="1"/>
      <protection locked="0"/>
    </xf>
    <xf numFmtId="165" fontId="18" fillId="6" borderId="24" xfId="0" applyNumberFormat="1" applyFont="1" applyFill="1" applyBorder="1" applyAlignment="1" applyProtection="1">
      <alignment horizontal="left" vertical="center" wrapText="1"/>
      <protection locked="0"/>
    </xf>
    <xf numFmtId="165" fontId="18" fillId="6" borderId="23" xfId="0" applyNumberFormat="1" applyFont="1" applyFill="1" applyBorder="1" applyAlignment="1" applyProtection="1">
      <alignment horizontal="left" vertical="center" wrapText="1"/>
      <protection locked="0"/>
    </xf>
    <xf numFmtId="165" fontId="18" fillId="6" borderId="25" xfId="0" applyNumberFormat="1" applyFont="1" applyFill="1" applyBorder="1" applyAlignment="1" applyProtection="1">
      <alignment horizontal="left" vertical="center" wrapText="1"/>
      <protection locked="0"/>
    </xf>
    <xf numFmtId="0" fontId="9" fillId="0" borderId="14"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4" fillId="9" borderId="20" xfId="0" applyFont="1" applyFill="1" applyBorder="1" applyAlignment="1" applyProtection="1">
      <alignment horizontal="center" vertical="center" wrapText="1"/>
      <protection locked="0"/>
    </xf>
    <xf numFmtId="0" fontId="14" fillId="9" borderId="21" xfId="0" applyFont="1" applyFill="1" applyBorder="1" applyAlignment="1" applyProtection="1">
      <alignment horizontal="center" vertical="center" wrapText="1"/>
      <protection locked="0"/>
    </xf>
    <xf numFmtId="0" fontId="14" fillId="9" borderId="22" xfId="0" applyFont="1" applyFill="1" applyBorder="1" applyAlignment="1" applyProtection="1">
      <alignment horizontal="center" vertical="center" wrapText="1"/>
      <protection locked="0"/>
    </xf>
    <xf numFmtId="0" fontId="10" fillId="0" borderId="20" xfId="0" applyFont="1" applyBorder="1" applyAlignment="1" applyProtection="1">
      <alignment horizontal="left" vertical="top" wrapText="1"/>
      <protection locked="0"/>
    </xf>
    <xf numFmtId="0" fontId="10" fillId="0" borderId="21" xfId="0" applyFont="1" applyBorder="1" applyAlignment="1" applyProtection="1">
      <alignment horizontal="left" vertical="top" wrapText="1"/>
      <protection locked="0"/>
    </xf>
    <xf numFmtId="0" fontId="10" fillId="0" borderId="22" xfId="0" applyFont="1" applyBorder="1" applyAlignment="1" applyProtection="1">
      <alignment horizontal="left" vertical="top" wrapText="1"/>
      <protection locked="0"/>
    </xf>
    <xf numFmtId="0" fontId="10" fillId="0" borderId="26" xfId="0" applyFont="1" applyBorder="1" applyAlignment="1" applyProtection="1">
      <alignment horizontal="left" vertical="center" wrapText="1"/>
      <protection locked="0"/>
    </xf>
    <xf numFmtId="0" fontId="10" fillId="0" borderId="27" xfId="0" applyFont="1" applyBorder="1" applyAlignment="1" applyProtection="1">
      <alignment horizontal="left" vertical="center" wrapText="1"/>
      <protection locked="0"/>
    </xf>
    <xf numFmtId="0" fontId="10" fillId="0" borderId="28" xfId="0" applyFont="1" applyBorder="1" applyAlignment="1" applyProtection="1">
      <alignment horizontal="left" vertical="center" wrapText="1"/>
      <protection locked="0"/>
    </xf>
    <xf numFmtId="0" fontId="24" fillId="0" borderId="20" xfId="0" applyFont="1" applyBorder="1" applyAlignment="1" applyProtection="1">
      <alignment horizontal="left" vertical="center"/>
      <protection locked="0"/>
    </xf>
    <xf numFmtId="0" fontId="24" fillId="0" borderId="21"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14" fillId="9" borderId="20" xfId="0" applyFont="1" applyFill="1" applyBorder="1" applyAlignment="1" applyProtection="1">
      <alignment horizontal="left" vertical="center" wrapText="1"/>
      <protection locked="0"/>
    </xf>
    <xf numFmtId="0" fontId="14" fillId="9" borderId="21" xfId="0" applyFont="1" applyFill="1" applyBorder="1" applyAlignment="1" applyProtection="1">
      <alignment horizontal="left" vertical="center" wrapText="1"/>
      <protection locked="0"/>
    </xf>
    <xf numFmtId="0" fontId="14" fillId="9" borderId="22" xfId="0" applyFont="1" applyFill="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6" xfId="0" applyFont="1" applyBorder="1" applyAlignment="1" applyProtection="1">
      <alignment horizontal="left" vertical="top" wrapText="1"/>
      <protection locked="0"/>
    </xf>
    <xf numFmtId="0" fontId="4" fillId="0" borderId="28" xfId="0" applyFont="1" applyBorder="1" applyAlignment="1" applyProtection="1">
      <alignment horizontal="left" vertical="top" wrapText="1"/>
      <protection locked="0"/>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4" fillId="0" borderId="49" xfId="0" applyFont="1" applyBorder="1" applyAlignment="1">
      <alignment horizontal="left" vertical="top" wrapText="1"/>
    </xf>
    <xf numFmtId="0" fontId="4" fillId="0" borderId="50" xfId="0" applyFont="1" applyBorder="1" applyAlignment="1">
      <alignment horizontal="left" vertical="top" wrapText="1"/>
    </xf>
    <xf numFmtId="0" fontId="4" fillId="0" borderId="42"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7"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2" xfId="0" applyFont="1" applyBorder="1" applyAlignment="1">
      <alignment horizontal="center" vertical="center" wrapText="1"/>
    </xf>
    <xf numFmtId="0" fontId="14" fillId="9" borderId="20" xfId="0" applyFont="1" applyFill="1" applyBorder="1" applyAlignment="1">
      <alignment horizontal="left" vertical="center" wrapText="1"/>
    </xf>
    <xf numFmtId="0" fontId="14" fillId="9" borderId="21" xfId="0" applyFont="1" applyFill="1" applyBorder="1" applyAlignment="1">
      <alignment horizontal="left" vertical="center" wrapText="1"/>
    </xf>
    <xf numFmtId="0" fontId="14" fillId="9" borderId="22" xfId="0" applyFont="1" applyFill="1" applyBorder="1" applyAlignment="1">
      <alignment horizontal="left" vertical="center" wrapText="1"/>
    </xf>
    <xf numFmtId="0" fontId="5" fillId="0" borderId="20" xfId="0" applyFont="1" applyBorder="1" applyAlignment="1">
      <alignment horizontal="center" vertical="center" wrapText="1"/>
    </xf>
    <xf numFmtId="0" fontId="5" fillId="0" borderId="22" xfId="0" applyFont="1" applyBorder="1" applyAlignment="1">
      <alignment horizontal="center"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4" fillId="0" borderId="28" xfId="0" applyFont="1" applyBorder="1" applyAlignment="1" applyProtection="1">
      <alignment horizontal="center" vertical="center" wrapText="1"/>
      <protection locked="0"/>
    </xf>
    <xf numFmtId="0" fontId="10" fillId="0" borderId="24" xfId="0" applyFont="1" applyBorder="1" applyAlignment="1" applyProtection="1">
      <alignment horizontal="center" vertical="center" wrapText="1"/>
      <protection locked="0"/>
    </xf>
    <xf numFmtId="0" fontId="10" fillId="0" borderId="25" xfId="0" applyFont="1" applyBorder="1" applyAlignment="1" applyProtection="1">
      <alignment horizontal="center" vertical="center" wrapText="1"/>
      <protection locked="0"/>
    </xf>
    <xf numFmtId="0" fontId="10" fillId="0" borderId="26" xfId="0" applyFont="1" applyBorder="1" applyAlignment="1" applyProtection="1">
      <alignment horizontal="center" vertical="center" wrapText="1"/>
      <protection locked="0"/>
    </xf>
    <xf numFmtId="0" fontId="10" fillId="0" borderId="28"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9" fillId="0" borderId="22" xfId="0" applyFont="1" applyBorder="1" applyAlignment="1">
      <alignment horizontal="center" vertical="center" wrapText="1"/>
    </xf>
    <xf numFmtId="0" fontId="10" fillId="0" borderId="35" xfId="0" applyFont="1" applyBorder="1" applyAlignment="1" applyProtection="1">
      <alignment horizontal="center" vertical="center" wrapText="1"/>
      <protection locked="0"/>
    </xf>
    <xf numFmtId="0" fontId="10" fillId="0" borderId="36" xfId="0" applyFont="1" applyBorder="1" applyAlignment="1" applyProtection="1">
      <alignment horizontal="center" vertical="center" wrapText="1"/>
      <protection locked="0"/>
    </xf>
    <xf numFmtId="0" fontId="4" fillId="0" borderId="58" xfId="0" applyFont="1" applyBorder="1" applyAlignment="1" applyProtection="1">
      <alignment horizontal="left" vertical="center" wrapText="1"/>
      <protection locked="0"/>
    </xf>
    <xf numFmtId="0" fontId="4" fillId="0" borderId="59" xfId="0" applyFont="1" applyBorder="1" applyAlignment="1" applyProtection="1">
      <alignment horizontal="left" vertical="center" wrapText="1"/>
      <protection locked="0"/>
    </xf>
    <xf numFmtId="0" fontId="10" fillId="0" borderId="11" xfId="0" applyFont="1" applyBorder="1" applyAlignment="1">
      <alignment vertical="center" wrapText="1"/>
    </xf>
    <xf numFmtId="0" fontId="10" fillId="0" borderId="4" xfId="0" applyFont="1" applyBorder="1" applyAlignment="1">
      <alignment vertical="center" wrapText="1"/>
    </xf>
    <xf numFmtId="0" fontId="10" fillId="0" borderId="58" xfId="0" applyFont="1" applyBorder="1" applyAlignment="1" applyProtection="1">
      <alignment horizontal="left" vertical="center" wrapText="1"/>
      <protection locked="0"/>
    </xf>
    <xf numFmtId="0" fontId="10" fillId="0" borderId="59" xfId="0" applyFont="1" applyBorder="1" applyAlignment="1" applyProtection="1">
      <alignment horizontal="left" vertical="center" wrapText="1"/>
      <protection locked="0"/>
    </xf>
    <xf numFmtId="0" fontId="10" fillId="0" borderId="20" xfId="0" applyFont="1" applyBorder="1" applyAlignment="1" applyProtection="1">
      <alignment horizontal="center" vertical="center" wrapText="1"/>
      <protection locked="0"/>
    </xf>
    <xf numFmtId="0" fontId="10" fillId="0" borderId="22" xfId="0" applyFont="1" applyBorder="1" applyAlignment="1" applyProtection="1">
      <alignment horizontal="center" vertical="center" wrapText="1"/>
      <protection locked="0"/>
    </xf>
    <xf numFmtId="0" fontId="4" fillId="0" borderId="24" xfId="0" applyFont="1" applyBorder="1" applyAlignment="1" applyProtection="1">
      <alignment horizontal="left" vertical="center" wrapText="1"/>
      <protection locked="0"/>
    </xf>
    <xf numFmtId="0" fontId="4" fillId="0" borderId="25" xfId="0" applyFont="1" applyBorder="1" applyAlignment="1" applyProtection="1">
      <alignment horizontal="left" vertical="center" wrapText="1"/>
      <protection locked="0"/>
    </xf>
    <xf numFmtId="0" fontId="4" fillId="0" borderId="26" xfId="0" applyFont="1" applyBorder="1" applyAlignment="1" applyProtection="1">
      <alignment horizontal="left" vertical="center" wrapText="1"/>
      <protection locked="0"/>
    </xf>
    <xf numFmtId="0" fontId="4" fillId="0" borderId="28" xfId="0" applyFont="1" applyBorder="1" applyAlignment="1" applyProtection="1">
      <alignment horizontal="left" vertical="center" wrapText="1"/>
      <protection locked="0"/>
    </xf>
    <xf numFmtId="0" fontId="10" fillId="0" borderId="11"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10" xfId="0" applyFont="1" applyBorder="1" applyAlignment="1">
      <alignment horizontal="justify" vertical="center" wrapText="1"/>
    </xf>
    <xf numFmtId="0" fontId="10" fillId="0" borderId="60" xfId="0" applyFont="1" applyBorder="1" applyAlignment="1" applyProtection="1">
      <alignment horizontal="left" vertical="center" wrapText="1"/>
      <protection locked="0"/>
    </xf>
    <xf numFmtId="0" fontId="32" fillId="6" borderId="0" xfId="0" applyFont="1" applyFill="1" applyAlignment="1" applyProtection="1">
      <alignment horizontal="left" vertical="top" wrapText="1"/>
      <protection locked="0"/>
    </xf>
    <xf numFmtId="0" fontId="33" fillId="6" borderId="0" xfId="0" applyFont="1" applyFill="1" applyAlignment="1" applyProtection="1">
      <alignment horizontal="left" vertical="top" wrapText="1"/>
      <protection locked="0"/>
    </xf>
    <xf numFmtId="0" fontId="34" fillId="6" borderId="0" xfId="0" applyFont="1" applyFill="1" applyAlignment="1" applyProtection="1">
      <alignment horizontal="left" vertical="top" wrapText="1"/>
      <protection locked="0"/>
    </xf>
    <xf numFmtId="0" fontId="5" fillId="0" borderId="0" xfId="0" applyFont="1" applyAlignment="1">
      <alignment horizontal="left" vertical="top"/>
    </xf>
    <xf numFmtId="0" fontId="31" fillId="0" borderId="0" xfId="0" applyFont="1" applyAlignment="1">
      <alignment horizontal="left" vertical="top" wrapText="1"/>
    </xf>
    <xf numFmtId="0" fontId="3" fillId="0" borderId="0" xfId="0" applyFont="1" applyAlignment="1">
      <alignment horizontal="center"/>
    </xf>
    <xf numFmtId="164" fontId="0" fillId="0" borderId="0" xfId="0" applyNumberFormat="1" applyAlignment="1">
      <alignment horizontal="center" vertical="center"/>
    </xf>
  </cellXfs>
  <cellStyles count="2">
    <cellStyle name="Hyperlink" xfId="1" builtinId="8"/>
    <cellStyle name="Normal" xfId="0" builtinId="0"/>
  </cellStyles>
  <dxfs count="25">
    <dxf>
      <fill>
        <patternFill>
          <bgColor rgb="FFFF0000"/>
        </patternFill>
      </fill>
    </dxf>
    <dxf>
      <fill>
        <patternFill>
          <bgColor theme="7"/>
        </patternFill>
      </fill>
    </dxf>
    <dxf>
      <fill>
        <patternFill>
          <bgColor rgb="FF92D05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92D050"/>
        </patternFill>
      </fill>
    </dxf>
    <dxf>
      <fill>
        <patternFill>
          <bgColor rgb="FFFF5050"/>
        </patternFill>
      </fill>
    </dxf>
    <dxf>
      <fill>
        <patternFill>
          <bgColor rgb="FF92D050"/>
        </patternFill>
      </fill>
    </dxf>
    <dxf>
      <fill>
        <patternFill>
          <bgColor rgb="FFFF5050"/>
        </patternFill>
      </fill>
    </dxf>
  </dxfs>
  <tableStyles count="0" defaultTableStyle="TableStyleMedium2" defaultPivotStyle="PivotStyleLight16"/>
  <colors>
    <mruColors>
      <color rgb="FFFF505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_rels/drawing2.xml.rels><?xml version="1.0" encoding="UTF-8" standalone="yes"?>
<Relationships xmlns="http://schemas.openxmlformats.org/package/2006/relationships"><Relationship Id="rId8" Type="http://schemas.openxmlformats.org/officeDocument/2006/relationships/hyperlink" Target="#'Other Issues'!A1"/><Relationship Id="rId3" Type="http://schemas.openxmlformats.org/officeDocument/2006/relationships/hyperlink" Target="#'Step 2'!A1"/><Relationship Id="rId7" Type="http://schemas.openxmlformats.org/officeDocument/2006/relationships/hyperlink" Target="#Cost!A1"/><Relationship Id="rId2" Type="http://schemas.openxmlformats.org/officeDocument/2006/relationships/hyperlink" Target="#'Step 1'!A1"/><Relationship Id="rId1" Type="http://schemas.openxmlformats.org/officeDocument/2006/relationships/hyperlink" Target="#Dashboard!A1"/><Relationship Id="rId6" Type="http://schemas.openxmlformats.org/officeDocument/2006/relationships/hyperlink" Target="#'Step 5'!A1"/><Relationship Id="rId5" Type="http://schemas.openxmlformats.org/officeDocument/2006/relationships/hyperlink" Target="#'Step 4'!A1"/><Relationship Id="rId10" Type="http://schemas.openxmlformats.org/officeDocument/2006/relationships/hyperlink" Target="#Assesment!A1"/><Relationship Id="rId4" Type="http://schemas.openxmlformats.org/officeDocument/2006/relationships/hyperlink" Target="#'Step 3'!A1"/><Relationship Id="rId9" Type="http://schemas.openxmlformats.org/officeDocument/2006/relationships/hyperlink" Target="#'Contract Clause'!A1"/></Relationships>
</file>

<file path=xl/drawings/_rels/drawing3.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4.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5.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6.xml.rels><?xml version="1.0" encoding="UTF-8" standalone="yes"?>
<Relationships xmlns="http://schemas.openxmlformats.org/package/2006/relationships"><Relationship Id="rId3" Type="http://schemas.openxmlformats.org/officeDocument/2006/relationships/hyperlink" Target="#'Other Issues'!A1"/><Relationship Id="rId2" Type="http://schemas.openxmlformats.org/officeDocument/2006/relationships/hyperlink" Target="#Cost!A1"/><Relationship Id="rId1" Type="http://schemas.openxmlformats.org/officeDocument/2006/relationships/hyperlink" Target="#'Step 5'!A1"/><Relationship Id="rId5" Type="http://schemas.openxmlformats.org/officeDocument/2006/relationships/hyperlink" Target="#Assesment!A1"/><Relationship Id="rId4" Type="http://schemas.openxmlformats.org/officeDocument/2006/relationships/hyperlink" Target="#'Contract Clause'!A1"/></Relationships>
</file>

<file path=xl/drawings/_rels/drawing7.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8.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9.xml.rels><?xml version="1.0" encoding="UTF-8" standalone="yes"?>
<Relationships xmlns="http://schemas.openxmlformats.org/package/2006/relationships"><Relationship Id="rId8" Type="http://schemas.openxmlformats.org/officeDocument/2006/relationships/hyperlink" Target="#'Step 3'!A1"/><Relationship Id="rId3" Type="http://schemas.openxmlformats.org/officeDocument/2006/relationships/hyperlink" Target="#'Step 4'!A1"/><Relationship Id="rId7" Type="http://schemas.openxmlformats.org/officeDocument/2006/relationships/hyperlink" Target="#'Step 2'!A1"/><Relationship Id="rId2" Type="http://schemas.openxmlformats.org/officeDocument/2006/relationships/hyperlink" Target="#Assesment!A1"/><Relationship Id="rId1" Type="http://schemas.openxmlformats.org/officeDocument/2006/relationships/hyperlink" Target="#'Contract Clause'!A1"/><Relationship Id="rId6" Type="http://schemas.openxmlformats.org/officeDocument/2006/relationships/hyperlink" Target="#'Step 1'!A1"/><Relationship Id="rId11" Type="http://schemas.openxmlformats.org/officeDocument/2006/relationships/hyperlink" Target="#'Other Issues'!A1"/><Relationship Id="rId5" Type="http://schemas.openxmlformats.org/officeDocument/2006/relationships/hyperlink" Target="#Intro!A1"/><Relationship Id="rId10" Type="http://schemas.openxmlformats.org/officeDocument/2006/relationships/hyperlink" Target="#Cost!A1"/><Relationship Id="rId4" Type="http://schemas.openxmlformats.org/officeDocument/2006/relationships/hyperlink" Target="#Dashboard!A1"/><Relationship Id="rId9" Type="http://schemas.openxmlformats.org/officeDocument/2006/relationships/hyperlink" Target="#'Step 5'!A1"/></Relationships>
</file>

<file path=xl/drawings/_rels/drawing10.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654050</xdr:colOff>
      <xdr:row>28</xdr:row>
      <xdr:rowOff>165099</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13893800" cy="5499099"/>
          <a:chOff x="0" y="0"/>
          <a:chExt cx="14653315" cy="5795347"/>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0" y="452753"/>
            <a:ext cx="1364274" cy="247184"/>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Home</a:t>
            </a:r>
            <a:r>
              <a:rPr lang="en-US" sz="1000" b="0" cap="none" spc="0" baseline="0">
                <a:ln w="0"/>
                <a:solidFill>
                  <a:schemeClr val="tx1"/>
                </a:solidFill>
                <a:effectLst/>
                <a:latin typeface="Arial" panose="020B0604020202020204" pitchFamily="34" charset="0"/>
                <a:cs typeface="Arial" panose="020B0604020202020204" pitchFamily="34" charset="0"/>
              </a:rPr>
              <a:t> Page</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sp macro="" textlink="">
        <xdr:nvSpPr>
          <xdr:cNvPr id="5" name="Rectangle 4">
            <a:hlinkClick xmlns:r="http://schemas.openxmlformats.org/officeDocument/2006/relationships" r:id="rId2" tooltip="Gantt View"/>
            <a:extLst>
              <a:ext uri="{FF2B5EF4-FFF2-40B4-BE49-F238E27FC236}">
                <a16:creationId xmlns:a16="http://schemas.microsoft.com/office/drawing/2014/main" id="{00000000-0008-0000-0000-000005000000}"/>
              </a:ext>
            </a:extLst>
          </xdr:cNvPr>
          <xdr:cNvSpPr/>
        </xdr:nvSpPr>
        <xdr:spPr>
          <a:xfrm>
            <a:off x="0" y="773961"/>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grpSp>
    <xdr:clientData/>
  </xdr:twoCellAnchor>
  <xdr:twoCellAnchor editAs="absolute">
    <xdr:from>
      <xdr:col>3</xdr:col>
      <xdr:colOff>654050</xdr:colOff>
      <xdr:row>0</xdr:row>
      <xdr:rowOff>44450</xdr:rowOff>
    </xdr:from>
    <xdr:to>
      <xdr:col>5</xdr:col>
      <xdr:colOff>4740275</xdr:colOff>
      <xdr:row>3</xdr:row>
      <xdr:rowOff>6236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7</xdr:row>
      <xdr:rowOff>101600</xdr:rowOff>
    </xdr:from>
    <xdr:to>
      <xdr:col>1</xdr:col>
      <xdr:colOff>529641</xdr:colOff>
      <xdr:row>8</xdr:row>
      <xdr:rowOff>151998</xdr:rowOff>
    </xdr:to>
    <xdr:sp macro="" textlink="">
      <xdr:nvSpPr>
        <xdr:cNvPr id="50" name="Rectangle 49">
          <a:hlinkClick xmlns:r="http://schemas.openxmlformats.org/officeDocument/2006/relationships" r:id="rId3" tooltip="Risks and Issues"/>
          <a:extLst>
            <a:ext uri="{FF2B5EF4-FFF2-40B4-BE49-F238E27FC236}">
              <a16:creationId xmlns:a16="http://schemas.microsoft.com/office/drawing/2014/main" id="{CD863B64-B272-4EB6-9219-292E150D7651}"/>
            </a:ext>
          </a:extLst>
        </xdr:cNvPr>
        <xdr:cNvSpPr/>
      </xdr:nvSpPr>
      <xdr:spPr>
        <a:xfrm>
          <a:off x="0" y="11303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38100</xdr:rowOff>
    </xdr:from>
    <xdr:to>
      <xdr:col>1</xdr:col>
      <xdr:colOff>529641</xdr:colOff>
      <xdr:row>9</xdr:row>
      <xdr:rowOff>272648</xdr:rowOff>
    </xdr:to>
    <xdr:sp macro="" textlink="">
      <xdr:nvSpPr>
        <xdr:cNvPr id="51" name="Rectangle 50">
          <a:hlinkClick xmlns:r="http://schemas.openxmlformats.org/officeDocument/2006/relationships" r:id="rId4" tooltip="Risks and Issues"/>
          <a:extLst>
            <a:ext uri="{FF2B5EF4-FFF2-40B4-BE49-F238E27FC236}">
              <a16:creationId xmlns:a16="http://schemas.microsoft.com/office/drawing/2014/main" id="{455DFDCF-38D6-4E2B-84F2-3737FE243AFA}"/>
            </a:ext>
          </a:extLst>
        </xdr:cNvPr>
        <xdr:cNvSpPr/>
      </xdr:nvSpPr>
      <xdr:spPr>
        <a:xfrm>
          <a:off x="0" y="14351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1416050</xdr:colOff>
      <xdr:row>10</xdr:row>
      <xdr:rowOff>158750</xdr:rowOff>
    </xdr:from>
    <xdr:to>
      <xdr:col>5</xdr:col>
      <xdr:colOff>2432050</xdr:colOff>
      <xdr:row>11</xdr:row>
      <xdr:rowOff>171450</xdr:rowOff>
    </xdr:to>
    <xdr:sp macro="[0]!CreateNew" textlink="">
      <xdr:nvSpPr>
        <xdr:cNvPr id="12" name="Rectangle: Rounded Corners 11">
          <a:extLst>
            <a:ext uri="{FF2B5EF4-FFF2-40B4-BE49-F238E27FC236}">
              <a16:creationId xmlns:a16="http://schemas.microsoft.com/office/drawing/2014/main" id="{B7579287-686E-9A37-231A-D28597AB3F82}"/>
            </a:ext>
          </a:extLst>
        </xdr:cNvPr>
        <xdr:cNvSpPr/>
      </xdr:nvSpPr>
      <xdr:spPr>
        <a:xfrm>
          <a:off x="5740400" y="1936750"/>
          <a:ext cx="1016000" cy="3556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Create</a:t>
          </a:r>
          <a:r>
            <a:rPr lang="en-IN" sz="1100" b="1" baseline="0"/>
            <a:t> New</a:t>
          </a:r>
          <a:endParaRPr lang="en-IN" sz="1100" b="1"/>
        </a:p>
      </xdr:txBody>
    </xdr:sp>
    <xdr:clientData/>
  </xdr:twoCellAnchor>
  <xdr:twoCellAnchor>
    <xdr:from>
      <xdr:col>4</xdr:col>
      <xdr:colOff>76200</xdr:colOff>
      <xdr:row>9</xdr:row>
      <xdr:rowOff>44450</xdr:rowOff>
    </xdr:from>
    <xdr:to>
      <xdr:col>4</xdr:col>
      <xdr:colOff>908050</xdr:colOff>
      <xdr:row>9</xdr:row>
      <xdr:rowOff>323850</xdr:rowOff>
    </xdr:to>
    <xdr:sp macro="[0]!SelectFolder_OutputFolder" textlink="">
      <xdr:nvSpPr>
        <xdr:cNvPr id="13" name="Rectangle: Rounded Corners 12">
          <a:extLst>
            <a:ext uri="{FF2B5EF4-FFF2-40B4-BE49-F238E27FC236}">
              <a16:creationId xmlns:a16="http://schemas.microsoft.com/office/drawing/2014/main" id="{6EE558E6-3A1C-411E-8CCB-6A74419690C5}"/>
            </a:ext>
          </a:extLst>
        </xdr:cNvPr>
        <xdr:cNvSpPr/>
      </xdr:nvSpPr>
      <xdr:spPr>
        <a:xfrm>
          <a:off x="3086100" y="1441450"/>
          <a:ext cx="831850" cy="2794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Browse</a:t>
          </a:r>
        </a:p>
      </xdr:txBody>
    </xdr:sp>
    <xdr:clientData/>
  </xdr:twoCellAnchor>
  <xdr:twoCellAnchor>
    <xdr:from>
      <xdr:col>0</xdr:col>
      <xdr:colOff>0</xdr:colOff>
      <xdr:row>10</xdr:row>
      <xdr:rowOff>19050</xdr:rowOff>
    </xdr:from>
    <xdr:to>
      <xdr:col>1</xdr:col>
      <xdr:colOff>529641</xdr:colOff>
      <xdr:row>10</xdr:row>
      <xdr:rowOff>258859</xdr:rowOff>
    </xdr:to>
    <xdr:sp macro="" textlink="">
      <xdr:nvSpPr>
        <xdr:cNvPr id="24" name="Rectangle 23">
          <a:hlinkClick xmlns:r="http://schemas.openxmlformats.org/officeDocument/2006/relationships" r:id="rId5" tooltip="Heatmap View"/>
          <a:extLst>
            <a:ext uri="{FF2B5EF4-FFF2-40B4-BE49-F238E27FC236}">
              <a16:creationId xmlns:a16="http://schemas.microsoft.com/office/drawing/2014/main" id="{4EF14F12-052D-4EC7-AFD0-AB66223AC4DB}"/>
            </a:ext>
          </a:extLst>
        </xdr:cNvPr>
        <xdr:cNvSpPr/>
      </xdr:nvSpPr>
      <xdr:spPr>
        <a:xfrm>
          <a:off x="0" y="17970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clientData/>
  </xdr:twoCellAnchor>
  <xdr:twoCellAnchor>
    <xdr:from>
      <xdr:col>0</xdr:col>
      <xdr:colOff>0</xdr:colOff>
      <xdr:row>11</xdr:row>
      <xdr:rowOff>95250</xdr:rowOff>
    </xdr:from>
    <xdr:to>
      <xdr:col>1</xdr:col>
      <xdr:colOff>529641</xdr:colOff>
      <xdr:row>12</xdr:row>
      <xdr:rowOff>81059</xdr:rowOff>
    </xdr:to>
    <xdr:sp macro="" textlink="">
      <xdr:nvSpPr>
        <xdr:cNvPr id="25" name="Rectangle 24">
          <a:hlinkClick xmlns:r="http://schemas.openxmlformats.org/officeDocument/2006/relationships" r:id="rId6" tooltip="Heatmap View"/>
          <a:extLst>
            <a:ext uri="{FF2B5EF4-FFF2-40B4-BE49-F238E27FC236}">
              <a16:creationId xmlns:a16="http://schemas.microsoft.com/office/drawing/2014/main" id="{989A529C-A95C-4F3D-BA76-B37E216E8FFE}"/>
            </a:ext>
          </a:extLst>
        </xdr:cNvPr>
        <xdr:cNvSpPr/>
      </xdr:nvSpPr>
      <xdr:spPr>
        <a:xfrm>
          <a:off x="0" y="22161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5</xdr:col>
      <xdr:colOff>1447800</xdr:colOff>
      <xdr:row>15</xdr:row>
      <xdr:rowOff>127000</xdr:rowOff>
    </xdr:from>
    <xdr:to>
      <xdr:col>5</xdr:col>
      <xdr:colOff>2470150</xdr:colOff>
      <xdr:row>17</xdr:row>
      <xdr:rowOff>139700</xdr:rowOff>
    </xdr:to>
    <xdr:sp macro="[0]!Review" textlink="">
      <xdr:nvSpPr>
        <xdr:cNvPr id="6" name="Rectangle: Rounded Corners 5">
          <a:extLst>
            <a:ext uri="{FF2B5EF4-FFF2-40B4-BE49-F238E27FC236}">
              <a16:creationId xmlns:a16="http://schemas.microsoft.com/office/drawing/2014/main" id="{3E1F438B-DB44-4E0B-A04C-E0AFB39F1063}"/>
            </a:ext>
          </a:extLst>
        </xdr:cNvPr>
        <xdr:cNvSpPr/>
      </xdr:nvSpPr>
      <xdr:spPr>
        <a:xfrm>
          <a:off x="5772150" y="3181350"/>
          <a:ext cx="1022350" cy="355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000" b="1">
              <a:latin typeface="+mn-lt"/>
            </a:rPr>
            <a:t>Review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10</xdr:col>
      <xdr:colOff>596903</xdr:colOff>
      <xdr:row>10</xdr:row>
      <xdr:rowOff>107950</xdr:rowOff>
    </xdr:to>
    <xdr:grpSp>
      <xdr:nvGrpSpPr>
        <xdr:cNvPr id="2" name="Group 1">
          <a:extLst>
            <a:ext uri="{FF2B5EF4-FFF2-40B4-BE49-F238E27FC236}">
              <a16:creationId xmlns:a16="http://schemas.microsoft.com/office/drawing/2014/main" id="{ECCA609C-682F-4844-B119-DFA328EB2E0A}"/>
            </a:ext>
          </a:extLst>
        </xdr:cNvPr>
        <xdr:cNvGrpSpPr/>
      </xdr:nvGrpSpPr>
      <xdr:grpSpPr>
        <a:xfrm>
          <a:off x="19050" y="0"/>
          <a:ext cx="13893803" cy="2273300"/>
          <a:chOff x="0" y="0"/>
          <a:chExt cx="14653315" cy="2292590"/>
        </a:xfrm>
      </xdr:grpSpPr>
      <xdr:sp macro="" textlink="">
        <xdr:nvSpPr>
          <xdr:cNvPr id="3" name="Rectangle 2">
            <a:extLst>
              <a:ext uri="{FF2B5EF4-FFF2-40B4-BE49-F238E27FC236}">
                <a16:creationId xmlns:a16="http://schemas.microsoft.com/office/drawing/2014/main" id="{B07A090C-9656-F832-2489-8B8A52017ECE}"/>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251BAE88-A3B3-8E0C-D1DB-23BA83A0B708}"/>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7" name="Rectangle 6">
            <a:hlinkClick xmlns:r="http://schemas.openxmlformats.org/officeDocument/2006/relationships" r:id="rId2" tooltip="Resource View"/>
            <a:extLst>
              <a:ext uri="{FF2B5EF4-FFF2-40B4-BE49-F238E27FC236}">
                <a16:creationId xmlns:a16="http://schemas.microsoft.com/office/drawing/2014/main" id="{0949087A-9D06-C2A2-3A7F-2F62BA3DAFD3}"/>
              </a:ext>
            </a:extLst>
          </xdr:cNvPr>
          <xdr:cNvSpPr/>
        </xdr:nvSpPr>
        <xdr:spPr>
          <a:xfrm>
            <a:off x="0" y="10483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3" tooltip="Timeline View"/>
            <a:extLst>
              <a:ext uri="{FF2B5EF4-FFF2-40B4-BE49-F238E27FC236}">
                <a16:creationId xmlns:a16="http://schemas.microsoft.com/office/drawing/2014/main" id="{0027EF4C-0DAB-0253-2D9B-7A0105FC55F5}"/>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4" tooltip="Heatmap View"/>
            <a:extLst>
              <a:ext uri="{FF2B5EF4-FFF2-40B4-BE49-F238E27FC236}">
                <a16:creationId xmlns:a16="http://schemas.microsoft.com/office/drawing/2014/main" id="{FF815796-77C4-A5B7-F0F5-93264EAAB4E1}"/>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5" tooltip="Risks and Issues"/>
            <a:extLst>
              <a:ext uri="{FF2B5EF4-FFF2-40B4-BE49-F238E27FC236}">
                <a16:creationId xmlns:a16="http://schemas.microsoft.com/office/drawing/2014/main" id="{AE10BEBE-66D9-3268-7A08-7C3C0C67CCA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2</xdr:col>
      <xdr:colOff>768350</xdr:colOff>
      <xdr:row>0</xdr:row>
      <xdr:rowOff>44450</xdr:rowOff>
    </xdr:from>
    <xdr:to>
      <xdr:col>4</xdr:col>
      <xdr:colOff>1730375</xdr:colOff>
      <xdr:row>3</xdr:row>
      <xdr:rowOff>6236</xdr:rowOff>
    </xdr:to>
    <xdr:sp macro="" textlink="">
      <xdr:nvSpPr>
        <xdr:cNvPr id="11" name="Rectangle 10">
          <a:extLst>
            <a:ext uri="{FF2B5EF4-FFF2-40B4-BE49-F238E27FC236}">
              <a16:creationId xmlns:a16="http://schemas.microsoft.com/office/drawing/2014/main" id="{9944B8FC-1655-4183-B4F9-413DDB9A8D1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6350</xdr:colOff>
      <xdr:row>11</xdr:row>
      <xdr:rowOff>146050</xdr:rowOff>
    </xdr:from>
    <xdr:to>
      <xdr:col>1</xdr:col>
      <xdr:colOff>535991</xdr:colOff>
      <xdr:row>12</xdr:row>
      <xdr:rowOff>196448</xdr:rowOff>
    </xdr:to>
    <xdr:sp macro="" textlink="">
      <xdr:nvSpPr>
        <xdr:cNvPr id="12" name="Rectangle 11">
          <a:hlinkClick xmlns:r="http://schemas.openxmlformats.org/officeDocument/2006/relationships" r:id="rId6" tooltip="Risks and Issues"/>
          <a:extLst>
            <a:ext uri="{FF2B5EF4-FFF2-40B4-BE49-F238E27FC236}">
              <a16:creationId xmlns:a16="http://schemas.microsoft.com/office/drawing/2014/main" id="{47395EC7-6C2F-4DED-8DA1-D197AEC54708}"/>
            </a:ext>
          </a:extLst>
        </xdr:cNvPr>
        <xdr:cNvSpPr/>
      </xdr:nvSpPr>
      <xdr:spPr>
        <a:xfrm>
          <a:off x="6350" y="233680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6350</xdr:colOff>
      <xdr:row>13</xdr:row>
      <xdr:rowOff>88900</xdr:rowOff>
    </xdr:from>
    <xdr:to>
      <xdr:col>1</xdr:col>
      <xdr:colOff>535991</xdr:colOff>
      <xdr:row>14</xdr:row>
      <xdr:rowOff>151998</xdr:rowOff>
    </xdr:to>
    <xdr:sp macro="" textlink="">
      <xdr:nvSpPr>
        <xdr:cNvPr id="13" name="Rectangle 12">
          <a:hlinkClick xmlns:r="http://schemas.openxmlformats.org/officeDocument/2006/relationships" r:id="rId7" tooltip="Risks and Issues"/>
          <a:extLst>
            <a:ext uri="{FF2B5EF4-FFF2-40B4-BE49-F238E27FC236}">
              <a16:creationId xmlns:a16="http://schemas.microsoft.com/office/drawing/2014/main" id="{82EA4F96-4284-4DEC-BC5E-D5A6429B79A0}"/>
            </a:ext>
          </a:extLst>
        </xdr:cNvPr>
        <xdr:cNvSpPr/>
      </xdr:nvSpPr>
      <xdr:spPr>
        <a:xfrm>
          <a:off x="6350" y="27876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6350</xdr:colOff>
      <xdr:row>14</xdr:row>
      <xdr:rowOff>209550</xdr:rowOff>
    </xdr:from>
    <xdr:to>
      <xdr:col>1</xdr:col>
      <xdr:colOff>535991</xdr:colOff>
      <xdr:row>16</xdr:row>
      <xdr:rowOff>18648</xdr:rowOff>
    </xdr:to>
    <xdr:sp macro="" textlink="">
      <xdr:nvSpPr>
        <xdr:cNvPr id="14" name="Rectangle 13">
          <a:hlinkClick xmlns:r="http://schemas.openxmlformats.org/officeDocument/2006/relationships" r:id="rId8" tooltip="Risks and Issues"/>
          <a:extLst>
            <a:ext uri="{FF2B5EF4-FFF2-40B4-BE49-F238E27FC236}">
              <a16:creationId xmlns:a16="http://schemas.microsoft.com/office/drawing/2014/main" id="{227FE390-0607-4BAE-910A-50F127F1EED5}"/>
            </a:ext>
          </a:extLst>
        </xdr:cNvPr>
        <xdr:cNvSpPr/>
      </xdr:nvSpPr>
      <xdr:spPr>
        <a:xfrm>
          <a:off x="6350" y="316230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6350</xdr:colOff>
      <xdr:row>16</xdr:row>
      <xdr:rowOff>63500</xdr:rowOff>
    </xdr:from>
    <xdr:to>
      <xdr:col>1</xdr:col>
      <xdr:colOff>535991</xdr:colOff>
      <xdr:row>22</xdr:row>
      <xdr:rowOff>44048</xdr:rowOff>
    </xdr:to>
    <xdr:sp macro="" textlink="">
      <xdr:nvSpPr>
        <xdr:cNvPr id="15" name="Rectangle 14">
          <a:hlinkClick xmlns:r="http://schemas.openxmlformats.org/officeDocument/2006/relationships" r:id="rId9" tooltip="Risks and Issues"/>
          <a:extLst>
            <a:ext uri="{FF2B5EF4-FFF2-40B4-BE49-F238E27FC236}">
              <a16:creationId xmlns:a16="http://schemas.microsoft.com/office/drawing/2014/main" id="{4DC676C6-69F0-4A71-8A6D-B82D581A222F}"/>
            </a:ext>
          </a:extLst>
        </xdr:cNvPr>
        <xdr:cNvSpPr/>
      </xdr:nvSpPr>
      <xdr:spPr>
        <a:xfrm>
          <a:off x="6350" y="35242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6350</xdr:colOff>
      <xdr:row>22</xdr:row>
      <xdr:rowOff>114300</xdr:rowOff>
    </xdr:from>
    <xdr:to>
      <xdr:col>1</xdr:col>
      <xdr:colOff>535991</xdr:colOff>
      <xdr:row>24</xdr:row>
      <xdr:rowOff>5948</xdr:rowOff>
    </xdr:to>
    <xdr:sp macro="" textlink="">
      <xdr:nvSpPr>
        <xdr:cNvPr id="16" name="Rectangle 15">
          <a:hlinkClick xmlns:r="http://schemas.openxmlformats.org/officeDocument/2006/relationships" r:id="rId10" tooltip="Risks and Issues"/>
          <a:extLst>
            <a:ext uri="{FF2B5EF4-FFF2-40B4-BE49-F238E27FC236}">
              <a16:creationId xmlns:a16="http://schemas.microsoft.com/office/drawing/2014/main" id="{12FB09C5-A944-46B2-9956-BF127AAFC65A}"/>
            </a:ext>
          </a:extLst>
        </xdr:cNvPr>
        <xdr:cNvSpPr/>
      </xdr:nvSpPr>
      <xdr:spPr>
        <a:xfrm>
          <a:off x="6350" y="3829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4</xdr:col>
      <xdr:colOff>714375</xdr:colOff>
      <xdr:row>65</xdr:row>
      <xdr:rowOff>0</xdr:rowOff>
    </xdr:from>
    <xdr:to>
      <xdr:col>4</xdr:col>
      <xdr:colOff>1730375</xdr:colOff>
      <xdr:row>68</xdr:row>
      <xdr:rowOff>0</xdr:rowOff>
    </xdr:to>
    <xdr:sp macro="[0]!intro" textlink="">
      <xdr:nvSpPr>
        <xdr:cNvPr id="17" name="Arrow: Right 16">
          <a:extLst>
            <a:ext uri="{FF2B5EF4-FFF2-40B4-BE49-F238E27FC236}">
              <a16:creationId xmlns:a16="http://schemas.microsoft.com/office/drawing/2014/main" id="{CE37C5D2-E50C-424B-996C-8E459067DC1F}"/>
            </a:ext>
          </a:extLst>
        </xdr:cNvPr>
        <xdr:cNvSpPr/>
      </xdr:nvSpPr>
      <xdr:spPr>
        <a:xfrm>
          <a:off x="8048625" y="14490700"/>
          <a:ext cx="1016000" cy="55245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25400</xdr:colOff>
      <xdr:row>0</xdr:row>
      <xdr:rowOff>0</xdr:rowOff>
    </xdr:from>
    <xdr:to>
      <xdr:col>7</xdr:col>
      <xdr:colOff>2000997</xdr:colOff>
      <xdr:row>21</xdr:row>
      <xdr:rowOff>25400</xdr:rowOff>
    </xdr:to>
    <xdr:grpSp>
      <xdr:nvGrpSpPr>
        <xdr:cNvPr id="2" name="Group 1">
          <a:extLst>
            <a:ext uri="{FF2B5EF4-FFF2-40B4-BE49-F238E27FC236}">
              <a16:creationId xmlns:a16="http://schemas.microsoft.com/office/drawing/2014/main" id="{B9A3D348-3C4B-45EC-8A8F-74A8D0CEB4D7}"/>
            </a:ext>
          </a:extLst>
        </xdr:cNvPr>
        <xdr:cNvGrpSpPr/>
      </xdr:nvGrpSpPr>
      <xdr:grpSpPr>
        <a:xfrm>
          <a:off x="25400" y="0"/>
          <a:ext cx="13891185" cy="4037106"/>
          <a:chOff x="0" y="0"/>
          <a:chExt cx="14653315" cy="4189247"/>
        </a:xfrm>
      </xdr:grpSpPr>
      <xdr:sp macro="" textlink="">
        <xdr:nvSpPr>
          <xdr:cNvPr id="3" name="Rectangle 2">
            <a:extLst>
              <a:ext uri="{FF2B5EF4-FFF2-40B4-BE49-F238E27FC236}">
                <a16:creationId xmlns:a16="http://schemas.microsoft.com/office/drawing/2014/main" id="{1D8A16FC-BC8A-7239-EF16-EB2CB7A5AAC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E90B1C82-376F-6C6E-E218-88A07FBF06CF}"/>
              </a:ext>
            </a:extLst>
          </xdr:cNvPr>
          <xdr:cNvSpPr/>
        </xdr:nvSpPr>
        <xdr:spPr>
          <a:xfrm>
            <a:off x="0" y="381450"/>
            <a:ext cx="1258485" cy="3807797"/>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B89E8888-AD07-1F9E-6EB5-4840F5CF6B0A}"/>
              </a:ext>
            </a:extLst>
          </xdr:cNvPr>
          <xdr:cNvSpPr/>
        </xdr:nvSpPr>
        <xdr:spPr>
          <a:xfrm>
            <a:off x="0" y="439923"/>
            <a:ext cx="1231709"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C23679D9-373D-0974-D9A8-A2D9F8081D73}"/>
              </a:ext>
            </a:extLst>
          </xdr:cNvPr>
          <xdr:cNvSpPr/>
        </xdr:nvSpPr>
        <xdr:spPr>
          <a:xfrm>
            <a:off x="0" y="766149"/>
            <a:ext cx="1218320"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6B6BBE29-6EE1-081D-C53A-4AE02F288FA6}"/>
              </a:ext>
            </a:extLst>
          </xdr:cNvPr>
          <xdr:cNvSpPr/>
        </xdr:nvSpPr>
        <xdr:spPr>
          <a:xfrm>
            <a:off x="0" y="1045552"/>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F18FDFA5-B7BF-9879-5D80-7999A61A5637}"/>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4F61B0EF-3D32-0D1E-CCC5-CAA530E48B75}"/>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7A36A58E-512B-01A0-5ED6-F6E05F7866A3}"/>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165100</xdr:colOff>
      <xdr:row>0</xdr:row>
      <xdr:rowOff>44450</xdr:rowOff>
    </xdr:from>
    <xdr:to>
      <xdr:col>5</xdr:col>
      <xdr:colOff>1038972</xdr:colOff>
      <xdr:row>3</xdr:row>
      <xdr:rowOff>6236</xdr:rowOff>
    </xdr:to>
    <xdr:sp macro="" textlink="">
      <xdr:nvSpPr>
        <xdr:cNvPr id="11" name="Rectangle 10">
          <a:extLst>
            <a:ext uri="{FF2B5EF4-FFF2-40B4-BE49-F238E27FC236}">
              <a16:creationId xmlns:a16="http://schemas.microsoft.com/office/drawing/2014/main" id="{98897AAC-2C43-4572-A96F-34349488CA66}"/>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13</xdr:row>
      <xdr:rowOff>63500</xdr:rowOff>
    </xdr:from>
    <xdr:to>
      <xdr:col>1</xdr:col>
      <xdr:colOff>529641</xdr:colOff>
      <xdr:row>14</xdr:row>
      <xdr:rowOff>113898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3F2C95D4-FC74-4E62-8C6F-95E84A634D26}"/>
            </a:ext>
          </a:extLst>
        </xdr:cNvPr>
        <xdr:cNvSpPr/>
      </xdr:nvSpPr>
      <xdr:spPr>
        <a:xfrm>
          <a:off x="0" y="22669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15</xdr:row>
      <xdr:rowOff>6350</xdr:rowOff>
    </xdr:from>
    <xdr:to>
      <xdr:col>1</xdr:col>
      <xdr:colOff>529641</xdr:colOff>
      <xdr:row>16</xdr:row>
      <xdr:rowOff>69448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B3B795CE-F1DE-438B-81FB-B7940A68C874}"/>
            </a:ext>
          </a:extLst>
        </xdr:cNvPr>
        <xdr:cNvSpPr/>
      </xdr:nvSpPr>
      <xdr:spPr>
        <a:xfrm>
          <a:off x="0" y="25654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16</xdr:row>
      <xdr:rowOff>127000</xdr:rowOff>
    </xdr:from>
    <xdr:to>
      <xdr:col>1</xdr:col>
      <xdr:colOff>529641</xdr:colOff>
      <xdr:row>18</xdr:row>
      <xdr:rowOff>18648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3B8FFED7-280E-46B6-874A-482B93059DC9}"/>
            </a:ext>
          </a:extLst>
        </xdr:cNvPr>
        <xdr:cNvSpPr/>
      </xdr:nvSpPr>
      <xdr:spPr>
        <a:xfrm>
          <a:off x="0" y="28575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18</xdr:row>
      <xdr:rowOff>63500</xdr:rowOff>
    </xdr:from>
    <xdr:to>
      <xdr:col>1</xdr:col>
      <xdr:colOff>529641</xdr:colOff>
      <xdr:row>19</xdr:row>
      <xdr:rowOff>126598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39277495-461F-4591-997D-B1402EFC365D}"/>
            </a:ext>
          </a:extLst>
        </xdr:cNvPr>
        <xdr:cNvSpPr/>
      </xdr:nvSpPr>
      <xdr:spPr>
        <a:xfrm>
          <a:off x="0" y="31369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29882</xdr:colOff>
      <xdr:row>19</xdr:row>
      <xdr:rowOff>152400</xdr:rowOff>
    </xdr:from>
    <xdr:to>
      <xdr:col>1</xdr:col>
      <xdr:colOff>559523</xdr:colOff>
      <xdr:row>20</xdr:row>
      <xdr:rowOff>215497</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B614456-F2D8-4276-A166-DC18207F84B4}"/>
            </a:ext>
          </a:extLst>
        </xdr:cNvPr>
        <xdr:cNvSpPr/>
      </xdr:nvSpPr>
      <xdr:spPr>
        <a:xfrm>
          <a:off x="29882" y="3521635"/>
          <a:ext cx="1172112" cy="38433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4482353</xdr:colOff>
      <xdr:row>76</xdr:row>
      <xdr:rowOff>70971</xdr:rowOff>
    </xdr:from>
    <xdr:to>
      <xdr:col>5</xdr:col>
      <xdr:colOff>52294</xdr:colOff>
      <xdr:row>79</xdr:row>
      <xdr:rowOff>56031</xdr:rowOff>
    </xdr:to>
    <xdr:sp macro="[0]!Step1Next" textlink="">
      <xdr:nvSpPr>
        <xdr:cNvPr id="18" name="Arrow: Right 17">
          <a:extLst>
            <a:ext uri="{FF2B5EF4-FFF2-40B4-BE49-F238E27FC236}">
              <a16:creationId xmlns:a16="http://schemas.microsoft.com/office/drawing/2014/main" id="{70A771F3-A942-00A0-CAE7-6357A273AC4B}"/>
            </a:ext>
          </a:extLst>
        </xdr:cNvPr>
        <xdr:cNvSpPr/>
      </xdr:nvSpPr>
      <xdr:spPr>
        <a:xfrm>
          <a:off x="6895353" y="14578853"/>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1</xdr:col>
      <xdr:colOff>993590</xdr:colOff>
      <xdr:row>76</xdr:row>
      <xdr:rowOff>70972</xdr:rowOff>
    </xdr:from>
    <xdr:to>
      <xdr:col>3</xdr:col>
      <xdr:colOff>231589</xdr:colOff>
      <xdr:row>79</xdr:row>
      <xdr:rowOff>56031</xdr:rowOff>
    </xdr:to>
    <xdr:sp macro="[0]!Step1Back" textlink="">
      <xdr:nvSpPr>
        <xdr:cNvPr id="21" name="Arrow: Left 20">
          <a:hlinkClick xmlns:r="http://schemas.openxmlformats.org/officeDocument/2006/relationships" r:id="rId2"/>
          <a:extLst>
            <a:ext uri="{FF2B5EF4-FFF2-40B4-BE49-F238E27FC236}">
              <a16:creationId xmlns:a16="http://schemas.microsoft.com/office/drawing/2014/main" id="{F7E71A5B-9CB1-82AA-3521-D441905E1204}"/>
            </a:ext>
          </a:extLst>
        </xdr:cNvPr>
        <xdr:cNvSpPr/>
      </xdr:nvSpPr>
      <xdr:spPr>
        <a:xfrm>
          <a:off x="1636061" y="14578854"/>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2898322</xdr:colOff>
      <xdr:row>21</xdr:row>
      <xdr:rowOff>58056</xdr:rowOff>
    </xdr:to>
    <xdr:grpSp>
      <xdr:nvGrpSpPr>
        <xdr:cNvPr id="2" name="Group 1">
          <a:extLst>
            <a:ext uri="{FF2B5EF4-FFF2-40B4-BE49-F238E27FC236}">
              <a16:creationId xmlns:a16="http://schemas.microsoft.com/office/drawing/2014/main" id="{E5DEC21B-8F7F-4F1E-B93A-AEA4D42445BE}"/>
            </a:ext>
          </a:extLst>
        </xdr:cNvPr>
        <xdr:cNvGrpSpPr/>
      </xdr:nvGrpSpPr>
      <xdr:grpSpPr>
        <a:xfrm>
          <a:off x="0" y="0"/>
          <a:ext cx="13911036" cy="5500913"/>
          <a:chOff x="0" y="0"/>
          <a:chExt cx="14653315" cy="5795347"/>
        </a:xfrm>
      </xdr:grpSpPr>
      <xdr:sp macro="" textlink="">
        <xdr:nvSpPr>
          <xdr:cNvPr id="3" name="Rectangle 2">
            <a:extLst>
              <a:ext uri="{FF2B5EF4-FFF2-40B4-BE49-F238E27FC236}">
                <a16:creationId xmlns:a16="http://schemas.microsoft.com/office/drawing/2014/main" id="{3F69E73B-8E13-5EB8-23D3-C5137DB2F5B4}"/>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65EF072E-F752-AE37-24F1-25FF706A3D0C}"/>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5EEB1105-140F-F8C8-EBC0-D698D0AADD36}"/>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4C5828F8-FE7D-E470-2F0D-BF11CF302DB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695054C-8AD0-D548-F4A3-53F8E68E4E6C}"/>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20DCECB-90E1-1933-D3AB-6664CDC4F70A}"/>
              </a:ext>
            </a:extLst>
          </xdr:cNvPr>
          <xdr:cNvSpPr/>
        </xdr:nvSpPr>
        <xdr:spPr>
          <a:xfrm>
            <a:off x="0" y="1360067"/>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436C853-46AD-3DB2-031A-F9E4E9F420DD}"/>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A302097B-AD79-C0E6-A0DC-C382AD146074}"/>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654050</xdr:colOff>
      <xdr:row>0</xdr:row>
      <xdr:rowOff>44450</xdr:rowOff>
    </xdr:from>
    <xdr:to>
      <xdr:col>5</xdr:col>
      <xdr:colOff>111125</xdr:colOff>
      <xdr:row>3</xdr:row>
      <xdr:rowOff>6236</xdr:rowOff>
    </xdr:to>
    <xdr:sp macro="" textlink="">
      <xdr:nvSpPr>
        <xdr:cNvPr id="11" name="Rectangle 10">
          <a:extLst>
            <a:ext uri="{FF2B5EF4-FFF2-40B4-BE49-F238E27FC236}">
              <a16:creationId xmlns:a16="http://schemas.microsoft.com/office/drawing/2014/main" id="{578AD872-5B7D-43D5-BAA5-405E8E0508F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146050</xdr:rowOff>
    </xdr:from>
    <xdr:to>
      <xdr:col>1</xdr:col>
      <xdr:colOff>529641</xdr:colOff>
      <xdr:row>13</xdr:row>
      <xdr:rowOff>222250</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246C82A9-4682-490A-B383-F081DA5C4592}"/>
            </a:ext>
          </a:extLst>
        </xdr:cNvPr>
        <xdr:cNvSpPr/>
      </xdr:nvSpPr>
      <xdr:spPr>
        <a:xfrm>
          <a:off x="0" y="22669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13</xdr:row>
      <xdr:rowOff>317500</xdr:rowOff>
    </xdr:from>
    <xdr:to>
      <xdr:col>1</xdr:col>
      <xdr:colOff>529641</xdr:colOff>
      <xdr:row>13</xdr:row>
      <xdr:rowOff>603250</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32B3674A-C761-4030-9A23-1EEFFCBA9DC3}"/>
            </a:ext>
          </a:extLst>
        </xdr:cNvPr>
        <xdr:cNvSpPr/>
      </xdr:nvSpPr>
      <xdr:spPr>
        <a:xfrm>
          <a:off x="0" y="26289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13</xdr:row>
      <xdr:rowOff>654050</xdr:rowOff>
    </xdr:from>
    <xdr:to>
      <xdr:col>1</xdr:col>
      <xdr:colOff>529641</xdr:colOff>
      <xdr:row>13</xdr:row>
      <xdr:rowOff>977900</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7BD7EBC9-3A86-485E-8208-7F34CE649DFE}"/>
            </a:ext>
          </a:extLst>
        </xdr:cNvPr>
        <xdr:cNvSpPr/>
      </xdr:nvSpPr>
      <xdr:spPr>
        <a:xfrm>
          <a:off x="0" y="29654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990600</xdr:rowOff>
    </xdr:from>
    <xdr:to>
      <xdr:col>1</xdr:col>
      <xdr:colOff>529641</xdr:colOff>
      <xdr:row>15</xdr:row>
      <xdr:rowOff>57150</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1099AB54-4369-44FC-951C-620DCB774B22}"/>
            </a:ext>
          </a:extLst>
        </xdr:cNvPr>
        <xdr:cNvSpPr/>
      </xdr:nvSpPr>
      <xdr:spPr>
        <a:xfrm>
          <a:off x="0" y="33020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15</xdr:row>
      <xdr:rowOff>139700</xdr:rowOff>
    </xdr:from>
    <xdr:to>
      <xdr:col>1</xdr:col>
      <xdr:colOff>548691</xdr:colOff>
      <xdr:row>16</xdr:row>
      <xdr:rowOff>75798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B68A9B1-BD12-4EF1-BF23-139055F210E6}"/>
            </a:ext>
          </a:extLst>
        </xdr:cNvPr>
        <xdr:cNvSpPr/>
      </xdr:nvSpPr>
      <xdr:spPr>
        <a:xfrm>
          <a:off x="19050" y="36576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7</xdr:col>
      <xdr:colOff>2748643</xdr:colOff>
      <xdr:row>30</xdr:row>
      <xdr:rowOff>-1</xdr:rowOff>
    </xdr:from>
    <xdr:to>
      <xdr:col>8</xdr:col>
      <xdr:colOff>0</xdr:colOff>
      <xdr:row>34</xdr:row>
      <xdr:rowOff>0</xdr:rowOff>
    </xdr:to>
    <xdr:sp macro="[0]!Step2Next" textlink="">
      <xdr:nvSpPr>
        <xdr:cNvPr id="17" name="Arrow: Right 16">
          <a:extLst>
            <a:ext uri="{FF2B5EF4-FFF2-40B4-BE49-F238E27FC236}">
              <a16:creationId xmlns:a16="http://schemas.microsoft.com/office/drawing/2014/main" id="{B28814C3-5139-4C25-B286-6EC3D03A6D24}"/>
            </a:ext>
          </a:extLst>
        </xdr:cNvPr>
        <xdr:cNvSpPr/>
      </xdr:nvSpPr>
      <xdr:spPr>
        <a:xfrm>
          <a:off x="13761357" y="7737928"/>
          <a:ext cx="1016000" cy="725715"/>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546553</xdr:colOff>
      <xdr:row>30</xdr:row>
      <xdr:rowOff>0</xdr:rowOff>
    </xdr:from>
    <xdr:to>
      <xdr:col>3</xdr:col>
      <xdr:colOff>911010</xdr:colOff>
      <xdr:row>34</xdr:row>
      <xdr:rowOff>0</xdr:rowOff>
    </xdr:to>
    <xdr:sp macro="[0]!Step2Back" textlink="">
      <xdr:nvSpPr>
        <xdr:cNvPr id="18" name="Arrow: Left 17">
          <a:extLst>
            <a:ext uri="{FF2B5EF4-FFF2-40B4-BE49-F238E27FC236}">
              <a16:creationId xmlns:a16="http://schemas.microsoft.com/office/drawing/2014/main" id="{787D405F-DB47-484A-992A-20E3B7821F18}"/>
            </a:ext>
          </a:extLst>
        </xdr:cNvPr>
        <xdr:cNvSpPr/>
      </xdr:nvSpPr>
      <xdr:spPr>
        <a:xfrm>
          <a:off x="1834696" y="7737929"/>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77321</xdr:colOff>
      <xdr:row>17</xdr:row>
      <xdr:rowOff>132975</xdr:rowOff>
    </xdr:to>
    <xdr:grpSp>
      <xdr:nvGrpSpPr>
        <xdr:cNvPr id="2" name="Group 1">
          <a:extLst>
            <a:ext uri="{FF2B5EF4-FFF2-40B4-BE49-F238E27FC236}">
              <a16:creationId xmlns:a16="http://schemas.microsoft.com/office/drawing/2014/main" id="{26CEF573-B344-41D7-9BF7-6D996EA0F1FC}"/>
            </a:ext>
          </a:extLst>
        </xdr:cNvPr>
        <xdr:cNvGrpSpPr/>
      </xdr:nvGrpSpPr>
      <xdr:grpSpPr>
        <a:xfrm>
          <a:off x="0" y="0"/>
          <a:ext cx="13905380" cy="5541681"/>
          <a:chOff x="0" y="0"/>
          <a:chExt cx="14653315" cy="5795347"/>
        </a:xfrm>
      </xdr:grpSpPr>
      <xdr:sp macro="" textlink="">
        <xdr:nvSpPr>
          <xdr:cNvPr id="3" name="Rectangle 2">
            <a:extLst>
              <a:ext uri="{FF2B5EF4-FFF2-40B4-BE49-F238E27FC236}">
                <a16:creationId xmlns:a16="http://schemas.microsoft.com/office/drawing/2014/main" id="{CDC80AE0-E890-BA86-E15B-AF5B4E65492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B483C8C-B3F2-B270-6253-C73B9C0C20F2}"/>
              </a:ext>
            </a:extLst>
          </xdr:cNvPr>
          <xdr:cNvSpPr/>
        </xdr:nvSpPr>
        <xdr:spPr>
          <a:xfrm>
            <a:off x="0" y="381449"/>
            <a:ext cx="1198238"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6BF350B1-3279-30B3-5CB4-063B35D9720D}"/>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86706964-7A0D-9C30-E5D2-3CE55DC0019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7A4E290-0D3F-2647-9EF4-C5825B4BBDB0}"/>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6B5F6BD3-C787-68A4-D5C6-1D1039CDD38E}"/>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F756586-D3F7-03ED-8981-26EE5AD807CF}"/>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F9C5133-61FC-2AAE-82B9-AC2DB238137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585321</xdr:colOff>
      <xdr:row>0</xdr:row>
      <xdr:rowOff>44450</xdr:rowOff>
    </xdr:from>
    <xdr:to>
      <xdr:col>5</xdr:col>
      <xdr:colOff>1292225</xdr:colOff>
      <xdr:row>2</xdr:row>
      <xdr:rowOff>18936</xdr:rowOff>
    </xdr:to>
    <xdr:sp macro="" textlink="">
      <xdr:nvSpPr>
        <xdr:cNvPr id="11" name="Rectangle 10">
          <a:extLst>
            <a:ext uri="{FF2B5EF4-FFF2-40B4-BE49-F238E27FC236}">
              <a16:creationId xmlns:a16="http://schemas.microsoft.com/office/drawing/2014/main" id="{80ED67BB-2DD8-4E5D-ACAE-0317E2197CE1}"/>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9</xdr:row>
      <xdr:rowOff>298450</xdr:rowOff>
    </xdr:from>
    <xdr:to>
      <xdr:col>1</xdr:col>
      <xdr:colOff>529641</xdr:colOff>
      <xdr:row>10</xdr:row>
      <xdr:rowOff>215498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C04EB34-2891-43C4-9728-3CFACA55E895}"/>
            </a:ext>
          </a:extLst>
        </xdr:cNvPr>
        <xdr:cNvSpPr/>
      </xdr:nvSpPr>
      <xdr:spPr>
        <a:xfrm>
          <a:off x="0" y="2305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10</xdr:row>
      <xdr:rowOff>292100</xdr:rowOff>
    </xdr:from>
    <xdr:to>
      <xdr:col>1</xdr:col>
      <xdr:colOff>529641</xdr:colOff>
      <xdr:row>11</xdr:row>
      <xdr:rowOff>221848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463C20A3-593E-45FF-A73B-3F3EF9D0A0FE}"/>
            </a:ext>
          </a:extLst>
        </xdr:cNvPr>
        <xdr:cNvSpPr/>
      </xdr:nvSpPr>
      <xdr:spPr>
        <a:xfrm>
          <a:off x="0" y="26162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279400</xdr:rowOff>
    </xdr:from>
    <xdr:to>
      <xdr:col>1</xdr:col>
      <xdr:colOff>529641</xdr:colOff>
      <xdr:row>12</xdr:row>
      <xdr:rowOff>221848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16620DF-3D15-46F1-BA24-8C0B153440B2}"/>
            </a:ext>
          </a:extLst>
        </xdr:cNvPr>
        <xdr:cNvSpPr/>
      </xdr:nvSpPr>
      <xdr:spPr>
        <a:xfrm>
          <a:off x="0" y="2921000"/>
          <a:ext cx="1170991" cy="2599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12</xdr:row>
      <xdr:rowOff>266700</xdr:rowOff>
    </xdr:from>
    <xdr:to>
      <xdr:col>1</xdr:col>
      <xdr:colOff>529641</xdr:colOff>
      <xdr:row>13</xdr:row>
      <xdr:rowOff>196448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908A47BA-D44A-489E-B77B-7568E2E36B5C}"/>
            </a:ext>
          </a:extLst>
        </xdr:cNvPr>
        <xdr:cNvSpPr/>
      </xdr:nvSpPr>
      <xdr:spPr>
        <a:xfrm>
          <a:off x="0" y="32258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279400</xdr:rowOff>
    </xdr:from>
    <xdr:to>
      <xdr:col>1</xdr:col>
      <xdr:colOff>529641</xdr:colOff>
      <xdr:row>15</xdr:row>
      <xdr:rowOff>24998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05669AA-5F84-47B7-A29B-2A4DFCCED840}"/>
            </a:ext>
          </a:extLst>
        </xdr:cNvPr>
        <xdr:cNvSpPr/>
      </xdr:nvSpPr>
      <xdr:spPr>
        <a:xfrm>
          <a:off x="0" y="35560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editAs="absolute">
    <xdr:from>
      <xdr:col>0</xdr:col>
      <xdr:colOff>52294</xdr:colOff>
      <xdr:row>0</xdr:row>
      <xdr:rowOff>14941</xdr:rowOff>
    </xdr:from>
    <xdr:to>
      <xdr:col>9</xdr:col>
      <xdr:colOff>135965</xdr:colOff>
      <xdr:row>17</xdr:row>
      <xdr:rowOff>147916</xdr:rowOff>
    </xdr:to>
    <xdr:grpSp>
      <xdr:nvGrpSpPr>
        <xdr:cNvPr id="18" name="Group 17">
          <a:extLst>
            <a:ext uri="{FF2B5EF4-FFF2-40B4-BE49-F238E27FC236}">
              <a16:creationId xmlns:a16="http://schemas.microsoft.com/office/drawing/2014/main" id="{554B1858-0B22-8092-C26A-DE490D77F6AF}"/>
            </a:ext>
          </a:extLst>
        </xdr:cNvPr>
        <xdr:cNvGrpSpPr/>
      </xdr:nvGrpSpPr>
      <xdr:grpSpPr>
        <a:xfrm>
          <a:off x="52294" y="14941"/>
          <a:ext cx="13911730" cy="5541681"/>
          <a:chOff x="-6694" y="0"/>
          <a:chExt cx="14660009" cy="5795347"/>
        </a:xfrm>
      </xdr:grpSpPr>
      <xdr:sp macro="" textlink="">
        <xdr:nvSpPr>
          <xdr:cNvPr id="19" name="Rectangle 18">
            <a:extLst>
              <a:ext uri="{FF2B5EF4-FFF2-40B4-BE49-F238E27FC236}">
                <a16:creationId xmlns:a16="http://schemas.microsoft.com/office/drawing/2014/main" id="{709FB863-C13F-829B-C716-08AFB57FD2D3}"/>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912679EA-6A81-462B-EF83-8C9FE58C8A85}"/>
              </a:ext>
            </a:extLst>
          </xdr:cNvPr>
          <xdr:cNvSpPr/>
        </xdr:nvSpPr>
        <xdr:spPr>
          <a:xfrm>
            <a:off x="0" y="381449"/>
            <a:ext cx="1352202"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hlinkClick xmlns:r="http://schemas.openxmlformats.org/officeDocument/2006/relationships" r:id="rId1"/>
            <a:extLst>
              <a:ext uri="{FF2B5EF4-FFF2-40B4-BE49-F238E27FC236}">
                <a16:creationId xmlns:a16="http://schemas.microsoft.com/office/drawing/2014/main" id="{978539EC-4DB1-6B03-CB3B-2978D2C97506}"/>
              </a:ext>
            </a:extLst>
          </xdr:cNvPr>
          <xdr:cNvSpPr/>
        </xdr:nvSpPr>
        <xdr:spPr>
          <a:xfrm>
            <a:off x="-6694" y="483442"/>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22" name="Rectangle 21">
            <a:hlinkClick xmlns:r="http://schemas.openxmlformats.org/officeDocument/2006/relationships" r:id="rId2" tooltip="Gantt View"/>
            <a:extLst>
              <a:ext uri="{FF2B5EF4-FFF2-40B4-BE49-F238E27FC236}">
                <a16:creationId xmlns:a16="http://schemas.microsoft.com/office/drawing/2014/main" id="{C0DDF327-04CD-CA38-1BE2-D47F5CF29C2A}"/>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23" name="Rectangle 22">
            <a:hlinkClick xmlns:r="http://schemas.openxmlformats.org/officeDocument/2006/relationships" r:id="rId3" tooltip="Resource View"/>
            <a:extLst>
              <a:ext uri="{FF2B5EF4-FFF2-40B4-BE49-F238E27FC236}">
                <a16:creationId xmlns:a16="http://schemas.microsoft.com/office/drawing/2014/main" id="{9D3C17A1-C0F4-EFA6-E7FB-0562D421C1CA}"/>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4" name="Rectangle 23">
            <a:hlinkClick xmlns:r="http://schemas.openxmlformats.org/officeDocument/2006/relationships" r:id="rId4" tooltip="Timeline View"/>
            <a:extLst>
              <a:ext uri="{FF2B5EF4-FFF2-40B4-BE49-F238E27FC236}">
                <a16:creationId xmlns:a16="http://schemas.microsoft.com/office/drawing/2014/main" id="{9B7FA1A0-EFAE-03F1-2173-78A7AF33C3E3}"/>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5" name="Rectangle 24">
            <a:hlinkClick xmlns:r="http://schemas.openxmlformats.org/officeDocument/2006/relationships" r:id="rId5" tooltip="Heatmap View"/>
            <a:extLst>
              <a:ext uri="{FF2B5EF4-FFF2-40B4-BE49-F238E27FC236}">
                <a16:creationId xmlns:a16="http://schemas.microsoft.com/office/drawing/2014/main" id="{52218CC0-1635-8D9C-E72A-4FE66C350DC2}"/>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26" name="Rectangle 25">
            <a:hlinkClick xmlns:r="http://schemas.openxmlformats.org/officeDocument/2006/relationships" r:id="rId6" tooltip="Risks and Issues"/>
            <a:extLst>
              <a:ext uri="{FF2B5EF4-FFF2-40B4-BE49-F238E27FC236}">
                <a16:creationId xmlns:a16="http://schemas.microsoft.com/office/drawing/2014/main" id="{24FC9F2F-6092-EFD7-35B0-2CF9928CE2F8}"/>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xdr:from>
      <xdr:col>0</xdr:col>
      <xdr:colOff>0</xdr:colOff>
      <xdr:row>7</xdr:row>
      <xdr:rowOff>285750</xdr:rowOff>
    </xdr:from>
    <xdr:to>
      <xdr:col>1</xdr:col>
      <xdr:colOff>529641</xdr:colOff>
      <xdr:row>7</xdr:row>
      <xdr:rowOff>552450</xdr:rowOff>
    </xdr:to>
    <xdr:sp macro="" textlink="">
      <xdr:nvSpPr>
        <xdr:cNvPr id="27" name="Rectangle 26">
          <a:hlinkClick xmlns:r="http://schemas.openxmlformats.org/officeDocument/2006/relationships" r:id="rId7" tooltip="Risks and Issues"/>
          <a:extLst>
            <a:ext uri="{FF2B5EF4-FFF2-40B4-BE49-F238E27FC236}">
              <a16:creationId xmlns:a16="http://schemas.microsoft.com/office/drawing/2014/main" id="{F760D0D4-4844-48D6-9F10-D411D3E26368}"/>
            </a:ext>
          </a:extLst>
        </xdr:cNvPr>
        <xdr:cNvSpPr/>
      </xdr:nvSpPr>
      <xdr:spPr>
        <a:xfrm>
          <a:off x="0" y="22923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8</xdr:row>
      <xdr:rowOff>12700</xdr:rowOff>
    </xdr:from>
    <xdr:to>
      <xdr:col>1</xdr:col>
      <xdr:colOff>529641</xdr:colOff>
      <xdr:row>9</xdr:row>
      <xdr:rowOff>120650</xdr:rowOff>
    </xdr:to>
    <xdr:sp macro="" textlink="">
      <xdr:nvSpPr>
        <xdr:cNvPr id="28" name="Rectangle 27">
          <a:hlinkClick xmlns:r="http://schemas.openxmlformats.org/officeDocument/2006/relationships" r:id="rId8" tooltip="Risks and Issues"/>
          <a:extLst>
            <a:ext uri="{FF2B5EF4-FFF2-40B4-BE49-F238E27FC236}">
              <a16:creationId xmlns:a16="http://schemas.microsoft.com/office/drawing/2014/main" id="{71D53C98-CB8C-48A4-956E-6A91FA612632}"/>
            </a:ext>
          </a:extLst>
        </xdr:cNvPr>
        <xdr:cNvSpPr/>
      </xdr:nvSpPr>
      <xdr:spPr>
        <a:xfrm>
          <a:off x="0" y="26543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9</xdr:row>
      <xdr:rowOff>171450</xdr:rowOff>
    </xdr:from>
    <xdr:to>
      <xdr:col>1</xdr:col>
      <xdr:colOff>529641</xdr:colOff>
      <xdr:row>10</xdr:row>
      <xdr:rowOff>177800</xdr:rowOff>
    </xdr:to>
    <xdr:sp macro="" textlink="">
      <xdr:nvSpPr>
        <xdr:cNvPr id="29" name="Rectangle 28">
          <a:hlinkClick xmlns:r="http://schemas.openxmlformats.org/officeDocument/2006/relationships" r:id="rId9" tooltip="Risks and Issues"/>
          <a:extLst>
            <a:ext uri="{FF2B5EF4-FFF2-40B4-BE49-F238E27FC236}">
              <a16:creationId xmlns:a16="http://schemas.microsoft.com/office/drawing/2014/main" id="{8F2D9A12-DB08-481A-842B-21C0495F6CAD}"/>
            </a:ext>
          </a:extLst>
        </xdr:cNvPr>
        <xdr:cNvSpPr/>
      </xdr:nvSpPr>
      <xdr:spPr>
        <a:xfrm>
          <a:off x="0" y="29908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10</xdr:row>
      <xdr:rowOff>190500</xdr:rowOff>
    </xdr:from>
    <xdr:to>
      <xdr:col>1</xdr:col>
      <xdr:colOff>529641</xdr:colOff>
      <xdr:row>11</xdr:row>
      <xdr:rowOff>146050</xdr:rowOff>
    </xdr:to>
    <xdr:sp macro="" textlink="">
      <xdr:nvSpPr>
        <xdr:cNvPr id="30" name="Rectangle 29">
          <a:hlinkClick xmlns:r="http://schemas.openxmlformats.org/officeDocument/2006/relationships" r:id="rId10" tooltip="Risks and Issues"/>
          <a:extLst>
            <a:ext uri="{FF2B5EF4-FFF2-40B4-BE49-F238E27FC236}">
              <a16:creationId xmlns:a16="http://schemas.microsoft.com/office/drawing/2014/main" id="{029DCCC1-016F-4201-AC2E-E7EA9FA42B65}"/>
            </a:ext>
          </a:extLst>
        </xdr:cNvPr>
        <xdr:cNvSpPr/>
      </xdr:nvSpPr>
      <xdr:spPr>
        <a:xfrm>
          <a:off x="0" y="33274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11</xdr:row>
      <xdr:rowOff>228600</xdr:rowOff>
    </xdr:from>
    <xdr:to>
      <xdr:col>1</xdr:col>
      <xdr:colOff>548691</xdr:colOff>
      <xdr:row>12</xdr:row>
      <xdr:rowOff>164698</xdr:rowOff>
    </xdr:to>
    <xdr:sp macro="" textlink="">
      <xdr:nvSpPr>
        <xdr:cNvPr id="31" name="Rectangle 30">
          <a:hlinkClick xmlns:r="http://schemas.openxmlformats.org/officeDocument/2006/relationships" r:id="rId11" tooltip="Risks and Issues"/>
          <a:extLst>
            <a:ext uri="{FF2B5EF4-FFF2-40B4-BE49-F238E27FC236}">
              <a16:creationId xmlns:a16="http://schemas.microsoft.com/office/drawing/2014/main" id="{EF17EF18-81E8-4466-9443-10569B68517B}"/>
            </a:ext>
          </a:extLst>
        </xdr:cNvPr>
        <xdr:cNvSpPr/>
      </xdr:nvSpPr>
      <xdr:spPr>
        <a:xfrm>
          <a:off x="19050" y="36830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3115236</xdr:colOff>
      <xdr:row>120</xdr:row>
      <xdr:rowOff>22411</xdr:rowOff>
    </xdr:from>
    <xdr:to>
      <xdr:col>6</xdr:col>
      <xdr:colOff>0</xdr:colOff>
      <xdr:row>123</xdr:row>
      <xdr:rowOff>7471</xdr:rowOff>
    </xdr:to>
    <xdr:sp macro="[0]!Step3Next" textlink="">
      <xdr:nvSpPr>
        <xdr:cNvPr id="17" name="Arrow: Right 16">
          <a:extLst>
            <a:ext uri="{FF2B5EF4-FFF2-40B4-BE49-F238E27FC236}">
              <a16:creationId xmlns:a16="http://schemas.microsoft.com/office/drawing/2014/main" id="{4D7F884E-A550-42B1-9DD0-3D5B54DA3F10}"/>
            </a:ext>
          </a:extLst>
        </xdr:cNvPr>
        <xdr:cNvSpPr/>
      </xdr:nvSpPr>
      <xdr:spPr>
        <a:xfrm>
          <a:off x="10892118" y="31787352"/>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306294</xdr:colOff>
      <xdr:row>120</xdr:row>
      <xdr:rowOff>14941</xdr:rowOff>
    </xdr:from>
    <xdr:to>
      <xdr:col>3</xdr:col>
      <xdr:colOff>933822</xdr:colOff>
      <xdr:row>123</xdr:row>
      <xdr:rowOff>0</xdr:rowOff>
    </xdr:to>
    <xdr:sp macro="[0]!StartUp.Step3Back" textlink="">
      <xdr:nvSpPr>
        <xdr:cNvPr id="32" name="Arrow: Left 31">
          <a:extLst>
            <a:ext uri="{FF2B5EF4-FFF2-40B4-BE49-F238E27FC236}">
              <a16:creationId xmlns:a16="http://schemas.microsoft.com/office/drawing/2014/main" id="{9275AE0B-E5B7-4391-BCEF-93DAD10FD7A9}"/>
            </a:ext>
          </a:extLst>
        </xdr:cNvPr>
        <xdr:cNvSpPr/>
      </xdr:nvSpPr>
      <xdr:spPr>
        <a:xfrm>
          <a:off x="1919941" y="31779882"/>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59767</xdr:colOff>
      <xdr:row>22</xdr:row>
      <xdr:rowOff>298825</xdr:rowOff>
    </xdr:from>
    <xdr:to>
      <xdr:col>1</xdr:col>
      <xdr:colOff>298824</xdr:colOff>
      <xdr:row>24</xdr:row>
      <xdr:rowOff>52296</xdr:rowOff>
    </xdr:to>
    <xdr:sp macro="[0]!ADDROWS" textlink="">
      <xdr:nvSpPr>
        <xdr:cNvPr id="33" name="Rectangle: Rounded Corners 32">
          <a:extLst>
            <a:ext uri="{FF2B5EF4-FFF2-40B4-BE49-F238E27FC236}">
              <a16:creationId xmlns:a16="http://schemas.microsoft.com/office/drawing/2014/main" id="{8829D89E-99DD-FFC8-9E6F-44B9FA5FFAEC}"/>
            </a:ext>
          </a:extLst>
        </xdr:cNvPr>
        <xdr:cNvSpPr/>
      </xdr:nvSpPr>
      <xdr:spPr>
        <a:xfrm>
          <a:off x="59767" y="7194178"/>
          <a:ext cx="881528"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Add Rows</a:t>
          </a:r>
        </a:p>
      </xdr:txBody>
    </xdr:sp>
    <xdr:clientData/>
  </xdr:twoCellAnchor>
  <xdr:twoCellAnchor>
    <xdr:from>
      <xdr:col>1</xdr:col>
      <xdr:colOff>373528</xdr:colOff>
      <xdr:row>23</xdr:row>
      <xdr:rowOff>0</xdr:rowOff>
    </xdr:from>
    <xdr:to>
      <xdr:col>2</xdr:col>
      <xdr:colOff>261469</xdr:colOff>
      <xdr:row>24</xdr:row>
      <xdr:rowOff>37353</xdr:rowOff>
    </xdr:to>
    <xdr:sp macro="[0]!DeleteRow" textlink="">
      <xdr:nvSpPr>
        <xdr:cNvPr id="34" name="Rectangle: Rounded Corners 33">
          <a:extLst>
            <a:ext uri="{FF2B5EF4-FFF2-40B4-BE49-F238E27FC236}">
              <a16:creationId xmlns:a16="http://schemas.microsoft.com/office/drawing/2014/main" id="{3F413CEB-9D89-D08C-3EA4-58CAD59349AF}"/>
            </a:ext>
          </a:extLst>
        </xdr:cNvPr>
        <xdr:cNvSpPr/>
      </xdr:nvSpPr>
      <xdr:spPr>
        <a:xfrm>
          <a:off x="1015999" y="7201647"/>
          <a:ext cx="859117" cy="3585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Delete row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6</xdr:col>
      <xdr:colOff>35299</xdr:colOff>
      <xdr:row>3</xdr:row>
      <xdr:rowOff>6236</xdr:rowOff>
    </xdr:to>
    <xdr:sp macro="" textlink="">
      <xdr:nvSpPr>
        <xdr:cNvPr id="11" name="Rectangle 10">
          <a:extLst>
            <a:ext uri="{FF2B5EF4-FFF2-40B4-BE49-F238E27FC236}">
              <a16:creationId xmlns:a16="http://schemas.microsoft.com/office/drawing/2014/main" id="{24BA6824-5501-4FCC-BBFB-357E811029DB}"/>
            </a:ext>
          </a:extLst>
        </xdr:cNvPr>
        <xdr:cNvSpPr/>
      </xdr:nvSpPr>
      <xdr:spPr>
        <a:xfrm>
          <a:off x="2578100" y="44450"/>
          <a:ext cx="6486525" cy="342786"/>
        </a:xfrm>
        <a:prstGeom prst="rect">
          <a:avLst/>
        </a:prstGeom>
        <a:solidFill>
          <a:schemeClr val="tx2"/>
        </a:solid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110191</xdr:rowOff>
    </xdr:from>
    <xdr:to>
      <xdr:col>1</xdr:col>
      <xdr:colOff>529641</xdr:colOff>
      <xdr:row>20</xdr:row>
      <xdr:rowOff>44823</xdr:rowOff>
    </xdr:to>
    <xdr:sp macro="" textlink="">
      <xdr:nvSpPr>
        <xdr:cNvPr id="12" name="Rectangle 11">
          <a:hlinkClick xmlns:r="http://schemas.openxmlformats.org/officeDocument/2006/relationships" r:id="rId1" tooltip="Risks and Issues"/>
          <a:extLst>
            <a:ext uri="{FF2B5EF4-FFF2-40B4-BE49-F238E27FC236}">
              <a16:creationId xmlns:a16="http://schemas.microsoft.com/office/drawing/2014/main" id="{AE8B44FD-E928-4A1E-98CA-8914E2A61193}"/>
            </a:ext>
          </a:extLst>
        </xdr:cNvPr>
        <xdr:cNvSpPr/>
      </xdr:nvSpPr>
      <xdr:spPr>
        <a:xfrm>
          <a:off x="0"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14</xdr:row>
      <xdr:rowOff>37727</xdr:rowOff>
    </xdr:from>
    <xdr:to>
      <xdr:col>1</xdr:col>
      <xdr:colOff>529641</xdr:colOff>
      <xdr:row>15</xdr:row>
      <xdr:rowOff>79160</xdr:rowOff>
    </xdr:to>
    <xdr:sp macro="" textlink="">
      <xdr:nvSpPr>
        <xdr:cNvPr id="13" name="Rectangle 12">
          <a:hlinkClick xmlns:r="http://schemas.openxmlformats.org/officeDocument/2006/relationships" r:id="rId2" tooltip="Risks and Issues"/>
          <a:extLst>
            <a:ext uri="{FF2B5EF4-FFF2-40B4-BE49-F238E27FC236}">
              <a16:creationId xmlns:a16="http://schemas.microsoft.com/office/drawing/2014/main" id="{DAD7D8F1-C278-4B9E-B878-A6963CA41DF2}"/>
            </a:ext>
          </a:extLst>
        </xdr:cNvPr>
        <xdr:cNvSpPr/>
      </xdr:nvSpPr>
      <xdr:spPr>
        <a:xfrm>
          <a:off x="0" y="2667374"/>
          <a:ext cx="1172112" cy="2281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15</xdr:row>
      <xdr:rowOff>146797</xdr:rowOff>
    </xdr:from>
    <xdr:to>
      <xdr:col>1</xdr:col>
      <xdr:colOff>529641</xdr:colOff>
      <xdr:row>17</xdr:row>
      <xdr:rowOff>52295</xdr:rowOff>
    </xdr:to>
    <xdr:sp macro="" textlink="">
      <xdr:nvSpPr>
        <xdr:cNvPr id="14" name="Rectangle 13">
          <a:hlinkClick xmlns:r="http://schemas.openxmlformats.org/officeDocument/2006/relationships" r:id="rId3" tooltip="Risks and Issues"/>
          <a:extLst>
            <a:ext uri="{FF2B5EF4-FFF2-40B4-BE49-F238E27FC236}">
              <a16:creationId xmlns:a16="http://schemas.microsoft.com/office/drawing/2014/main" id="{32B09C8C-13C6-42EE-95BF-51E4A475AA3C}"/>
            </a:ext>
          </a:extLst>
        </xdr:cNvPr>
        <xdr:cNvSpPr/>
      </xdr:nvSpPr>
      <xdr:spPr>
        <a:xfrm>
          <a:off x="0" y="2963209"/>
          <a:ext cx="1172112" cy="27902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17</xdr:row>
      <xdr:rowOff>156883</xdr:rowOff>
    </xdr:from>
    <xdr:to>
      <xdr:col>1</xdr:col>
      <xdr:colOff>529641</xdr:colOff>
      <xdr:row>18</xdr:row>
      <xdr:rowOff>33216</xdr:rowOff>
    </xdr:to>
    <xdr:sp macro="" textlink="">
      <xdr:nvSpPr>
        <xdr:cNvPr id="15" name="Rectangle 14">
          <a:hlinkClick xmlns:r="http://schemas.openxmlformats.org/officeDocument/2006/relationships" r:id="rId4" tooltip="Risks and Issues"/>
          <a:extLst>
            <a:ext uri="{FF2B5EF4-FFF2-40B4-BE49-F238E27FC236}">
              <a16:creationId xmlns:a16="http://schemas.microsoft.com/office/drawing/2014/main" id="{C046ABCA-2466-408B-A79B-885987511259}"/>
            </a:ext>
          </a:extLst>
        </xdr:cNvPr>
        <xdr:cNvSpPr/>
      </xdr:nvSpPr>
      <xdr:spPr>
        <a:xfrm>
          <a:off x="0" y="3346824"/>
          <a:ext cx="1172112" cy="63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36</xdr:row>
      <xdr:rowOff>7470</xdr:rowOff>
    </xdr:from>
    <xdr:to>
      <xdr:col>1</xdr:col>
      <xdr:colOff>529641</xdr:colOff>
      <xdr:row>38</xdr:row>
      <xdr:rowOff>104588</xdr:rowOff>
    </xdr:to>
    <xdr:sp macro="" textlink="">
      <xdr:nvSpPr>
        <xdr:cNvPr id="16" name="Rectangle 15">
          <a:hlinkClick xmlns:r="http://schemas.openxmlformats.org/officeDocument/2006/relationships" r:id="rId5" tooltip="Risks and Issues"/>
          <a:extLst>
            <a:ext uri="{FF2B5EF4-FFF2-40B4-BE49-F238E27FC236}">
              <a16:creationId xmlns:a16="http://schemas.microsoft.com/office/drawing/2014/main" id="{C985A46A-3E28-4DA2-B6E5-AA3537DFD018}"/>
            </a:ext>
          </a:extLst>
        </xdr:cNvPr>
        <xdr:cNvSpPr/>
      </xdr:nvSpPr>
      <xdr:spPr>
        <a:xfrm>
          <a:off x="0"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22412</xdr:colOff>
      <xdr:row>12</xdr:row>
      <xdr:rowOff>110191</xdr:rowOff>
    </xdr:from>
    <xdr:to>
      <xdr:col>1</xdr:col>
      <xdr:colOff>552053</xdr:colOff>
      <xdr:row>20</xdr:row>
      <xdr:rowOff>44823</xdr:rowOff>
    </xdr:to>
    <xdr:sp macro="" textlink="">
      <xdr:nvSpPr>
        <xdr:cNvPr id="20" name="Rectangle 19">
          <a:hlinkClick xmlns:r="http://schemas.openxmlformats.org/officeDocument/2006/relationships" r:id="rId1" tooltip="Risks and Issues"/>
          <a:extLst>
            <a:ext uri="{FF2B5EF4-FFF2-40B4-BE49-F238E27FC236}">
              <a16:creationId xmlns:a16="http://schemas.microsoft.com/office/drawing/2014/main" id="{9A340492-87EB-A144-22DE-CE366659984D}"/>
            </a:ext>
          </a:extLst>
        </xdr:cNvPr>
        <xdr:cNvSpPr/>
      </xdr:nvSpPr>
      <xdr:spPr>
        <a:xfrm>
          <a:off x="22412"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22412</xdr:colOff>
      <xdr:row>36</xdr:row>
      <xdr:rowOff>7470</xdr:rowOff>
    </xdr:from>
    <xdr:to>
      <xdr:col>1</xdr:col>
      <xdr:colOff>552053</xdr:colOff>
      <xdr:row>38</xdr:row>
      <xdr:rowOff>104588</xdr:rowOff>
    </xdr:to>
    <xdr:sp macro="" textlink="">
      <xdr:nvSpPr>
        <xdr:cNvPr id="24" name="Rectangle 23">
          <a:hlinkClick xmlns:r="http://schemas.openxmlformats.org/officeDocument/2006/relationships" r:id="rId5" tooltip="Risks and Issues"/>
          <a:extLst>
            <a:ext uri="{FF2B5EF4-FFF2-40B4-BE49-F238E27FC236}">
              <a16:creationId xmlns:a16="http://schemas.microsoft.com/office/drawing/2014/main" id="{F664ED5E-44D5-6581-76F2-BECD35D72901}"/>
            </a:ext>
          </a:extLst>
        </xdr:cNvPr>
        <xdr:cNvSpPr/>
      </xdr:nvSpPr>
      <xdr:spPr>
        <a:xfrm>
          <a:off x="22412"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44824</xdr:colOff>
      <xdr:row>12</xdr:row>
      <xdr:rowOff>110191</xdr:rowOff>
    </xdr:from>
    <xdr:to>
      <xdr:col>1</xdr:col>
      <xdr:colOff>574465</xdr:colOff>
      <xdr:row>20</xdr:row>
      <xdr:rowOff>44823</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BFC7753D-2169-F21F-9B5C-0BB051C71CD7}"/>
            </a:ext>
          </a:extLst>
        </xdr:cNvPr>
        <xdr:cNvSpPr/>
      </xdr:nvSpPr>
      <xdr:spPr>
        <a:xfrm>
          <a:off x="44824"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5</xdr:col>
      <xdr:colOff>512112</xdr:colOff>
      <xdr:row>40</xdr:row>
      <xdr:rowOff>22411</xdr:rowOff>
    </xdr:from>
    <xdr:to>
      <xdr:col>6</xdr:col>
      <xdr:colOff>362700</xdr:colOff>
      <xdr:row>43</xdr:row>
      <xdr:rowOff>7471</xdr:rowOff>
    </xdr:to>
    <xdr:sp macro="[0]!Step4Next" textlink="">
      <xdr:nvSpPr>
        <xdr:cNvPr id="29" name="Arrow: Right 28">
          <a:extLst>
            <a:ext uri="{FF2B5EF4-FFF2-40B4-BE49-F238E27FC236}">
              <a16:creationId xmlns:a16="http://schemas.microsoft.com/office/drawing/2014/main" id="{5CFCEB32-608C-4453-859D-03FCEE740250}"/>
            </a:ext>
          </a:extLst>
        </xdr:cNvPr>
        <xdr:cNvSpPr/>
      </xdr:nvSpPr>
      <xdr:spPr>
        <a:xfrm>
          <a:off x="9850347" y="630517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168464</xdr:colOff>
      <xdr:row>41</xdr:row>
      <xdr:rowOff>0</xdr:rowOff>
    </xdr:from>
    <xdr:to>
      <xdr:col>3</xdr:col>
      <xdr:colOff>534521</xdr:colOff>
      <xdr:row>43</xdr:row>
      <xdr:rowOff>171823</xdr:rowOff>
    </xdr:to>
    <xdr:sp macro="[0]!Step4Back" textlink="">
      <xdr:nvSpPr>
        <xdr:cNvPr id="30" name="Arrow: Left 29">
          <a:extLst>
            <a:ext uri="{FF2B5EF4-FFF2-40B4-BE49-F238E27FC236}">
              <a16:creationId xmlns:a16="http://schemas.microsoft.com/office/drawing/2014/main" id="{CBF5E08A-DF6D-45D0-A3AF-C36C8D15406C}"/>
            </a:ext>
          </a:extLst>
        </xdr:cNvPr>
        <xdr:cNvSpPr/>
      </xdr:nvSpPr>
      <xdr:spPr>
        <a:xfrm>
          <a:off x="1453405" y="6469529"/>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515097</xdr:colOff>
      <xdr:row>18</xdr:row>
      <xdr:rowOff>421341</xdr:rowOff>
    </xdr:to>
    <xdr:grpSp>
      <xdr:nvGrpSpPr>
        <xdr:cNvPr id="2" name="Group 1">
          <a:extLst>
            <a:ext uri="{FF2B5EF4-FFF2-40B4-BE49-F238E27FC236}">
              <a16:creationId xmlns:a16="http://schemas.microsoft.com/office/drawing/2014/main" id="{4228F392-DAEF-4002-9BD0-4FB2CAD11109}"/>
            </a:ext>
          </a:extLst>
        </xdr:cNvPr>
        <xdr:cNvGrpSpPr/>
      </xdr:nvGrpSpPr>
      <xdr:grpSpPr>
        <a:xfrm>
          <a:off x="0" y="0"/>
          <a:ext cx="13909862" cy="5531223"/>
          <a:chOff x="0" y="0"/>
          <a:chExt cx="14653315" cy="5795347"/>
        </a:xfrm>
      </xdr:grpSpPr>
      <xdr:sp macro="" textlink="">
        <xdr:nvSpPr>
          <xdr:cNvPr id="3" name="Rectangle 2">
            <a:extLst>
              <a:ext uri="{FF2B5EF4-FFF2-40B4-BE49-F238E27FC236}">
                <a16:creationId xmlns:a16="http://schemas.microsoft.com/office/drawing/2014/main" id="{1D125D5A-94B2-DB8A-800A-ACA0310BF967}"/>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F36704DD-E6E9-359B-28A3-0C00E959B3B3}"/>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EC209480-5CE2-8ACB-6FA4-ABCD3F1DEF2A}"/>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69AC028-BB67-40A0-2EB0-739BA5EFC3DC}"/>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E3012910-6F14-F0D6-3C7F-80A6D5881D4D}"/>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0A176B31-6C1D-6846-0551-67377BAC490F}"/>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F459806F-49BD-E70E-4342-06F2DD325D7F}"/>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804951B-8E64-CD48-5DB8-1BEE3D44444E}"/>
              </a:ext>
            </a:extLst>
          </xdr:cNvPr>
          <xdr:cNvSpPr/>
        </xdr:nvSpPr>
        <xdr:spPr>
          <a:xfrm>
            <a:off x="0" y="204263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grpSp>
    <xdr:clientData/>
  </xdr:twoCellAnchor>
  <xdr:twoCellAnchor editAs="absolute">
    <xdr:from>
      <xdr:col>3</xdr:col>
      <xdr:colOff>1009650</xdr:colOff>
      <xdr:row>0</xdr:row>
      <xdr:rowOff>44450</xdr:rowOff>
    </xdr:from>
    <xdr:to>
      <xdr:col>6</xdr:col>
      <xdr:colOff>111125</xdr:colOff>
      <xdr:row>3</xdr:row>
      <xdr:rowOff>6236</xdr:rowOff>
    </xdr:to>
    <xdr:sp macro="" textlink="">
      <xdr:nvSpPr>
        <xdr:cNvPr id="11" name="Rectangle 10">
          <a:extLst>
            <a:ext uri="{FF2B5EF4-FFF2-40B4-BE49-F238E27FC236}">
              <a16:creationId xmlns:a16="http://schemas.microsoft.com/office/drawing/2014/main" id="{4979E967-2D51-48D6-947D-F7113CCE479C}"/>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118020</xdr:rowOff>
    </xdr:from>
    <xdr:to>
      <xdr:col>1</xdr:col>
      <xdr:colOff>529641</xdr:colOff>
      <xdr:row>10</xdr:row>
      <xdr:rowOff>357829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0621D603-3BCF-4FB5-AEC9-C5FC35FDDDFE}"/>
            </a:ext>
          </a:extLst>
        </xdr:cNvPr>
        <xdr:cNvSpPr/>
      </xdr:nvSpPr>
      <xdr:spPr>
        <a:xfrm>
          <a:off x="0" y="23214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0</xdr:colOff>
      <xdr:row>11</xdr:row>
      <xdr:rowOff>38100</xdr:rowOff>
    </xdr:from>
    <xdr:to>
      <xdr:col>1</xdr:col>
      <xdr:colOff>529641</xdr:colOff>
      <xdr:row>11</xdr:row>
      <xdr:rowOff>272648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75C7B71A-5E52-4242-B070-97C6EAED84B7}"/>
            </a:ext>
          </a:extLst>
        </xdr:cNvPr>
        <xdr:cNvSpPr/>
      </xdr:nvSpPr>
      <xdr:spPr>
        <a:xfrm>
          <a:off x="0" y="26225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330200</xdr:rowOff>
    </xdr:from>
    <xdr:to>
      <xdr:col>1</xdr:col>
      <xdr:colOff>529641</xdr:colOff>
      <xdr:row>12</xdr:row>
      <xdr:rowOff>348848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0338866-BD14-4335-A14C-77B99063BD1D}"/>
            </a:ext>
          </a:extLst>
        </xdr:cNvPr>
        <xdr:cNvSpPr/>
      </xdr:nvSpPr>
      <xdr:spPr>
        <a:xfrm>
          <a:off x="0" y="2914650"/>
          <a:ext cx="1170991" cy="3996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12700</xdr:rowOff>
    </xdr:from>
    <xdr:to>
      <xdr:col>1</xdr:col>
      <xdr:colOff>529641</xdr:colOff>
      <xdr:row>14</xdr:row>
      <xdr:rowOff>145648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72A277A9-05B9-4C7E-8976-9B996B577BB3}"/>
            </a:ext>
          </a:extLst>
        </xdr:cNvPr>
        <xdr:cNvSpPr/>
      </xdr:nvSpPr>
      <xdr:spPr>
        <a:xfrm>
          <a:off x="0" y="33591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44450</xdr:rowOff>
    </xdr:from>
    <xdr:to>
      <xdr:col>1</xdr:col>
      <xdr:colOff>529641</xdr:colOff>
      <xdr:row>16</xdr:row>
      <xdr:rowOff>253598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0267F9F-9413-4DE2-9E24-1002CAE8BEF2}"/>
            </a:ext>
          </a:extLst>
        </xdr:cNvPr>
        <xdr:cNvSpPr/>
      </xdr:nvSpPr>
      <xdr:spPr>
        <a:xfrm>
          <a:off x="0" y="3746500"/>
          <a:ext cx="1170991" cy="380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0</xdr:colOff>
      <xdr:row>43</xdr:row>
      <xdr:rowOff>0</xdr:rowOff>
    </xdr:from>
    <xdr:to>
      <xdr:col>3</xdr:col>
      <xdr:colOff>1009650</xdr:colOff>
      <xdr:row>45</xdr:row>
      <xdr:rowOff>0</xdr:rowOff>
    </xdr:to>
    <xdr:sp macro="[0]!Step5Back" textlink="">
      <xdr:nvSpPr>
        <xdr:cNvPr id="18" name="Arrow: Left 17">
          <a:extLst>
            <a:ext uri="{FF2B5EF4-FFF2-40B4-BE49-F238E27FC236}">
              <a16:creationId xmlns:a16="http://schemas.microsoft.com/office/drawing/2014/main" id="{1D898576-6722-5E7C-F74F-B10034FEF027}"/>
            </a:ext>
          </a:extLst>
        </xdr:cNvPr>
        <xdr:cNvSpPr/>
      </xdr:nvSpPr>
      <xdr:spPr>
        <a:xfrm>
          <a:off x="1568824" y="11056471"/>
          <a:ext cx="1009650" cy="5080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Back</a:t>
          </a:r>
        </a:p>
      </xdr:txBody>
    </xdr:sp>
    <xdr:clientData/>
  </xdr:twoCellAnchor>
  <xdr:twoCellAnchor>
    <xdr:from>
      <xdr:col>7</xdr:col>
      <xdr:colOff>1201644</xdr:colOff>
      <xdr:row>42</xdr:row>
      <xdr:rowOff>97118</xdr:rowOff>
    </xdr:from>
    <xdr:to>
      <xdr:col>8</xdr:col>
      <xdr:colOff>0</xdr:colOff>
      <xdr:row>44</xdr:row>
      <xdr:rowOff>164353</xdr:rowOff>
    </xdr:to>
    <xdr:sp macro="[0]!Step5Next" textlink="">
      <xdr:nvSpPr>
        <xdr:cNvPr id="20" name="Arrow: Right 19">
          <a:extLst>
            <a:ext uri="{FF2B5EF4-FFF2-40B4-BE49-F238E27FC236}">
              <a16:creationId xmlns:a16="http://schemas.microsoft.com/office/drawing/2014/main" id="{4D0CBF2F-BB9A-92B5-0872-5DE75D2DA12B}"/>
            </a:ext>
          </a:extLst>
        </xdr:cNvPr>
        <xdr:cNvSpPr/>
      </xdr:nvSpPr>
      <xdr:spPr>
        <a:xfrm>
          <a:off x="10801350" y="10966824"/>
          <a:ext cx="1009650" cy="508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Next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1073150</xdr:colOff>
      <xdr:row>31</xdr:row>
      <xdr:rowOff>112432</xdr:rowOff>
    </xdr:to>
    <xdr:grpSp>
      <xdr:nvGrpSpPr>
        <xdr:cNvPr id="2" name="Group 1">
          <a:extLst>
            <a:ext uri="{FF2B5EF4-FFF2-40B4-BE49-F238E27FC236}">
              <a16:creationId xmlns:a16="http://schemas.microsoft.com/office/drawing/2014/main" id="{DE199E98-7B0D-4ACE-B4A3-D98986E81833}"/>
            </a:ext>
          </a:extLst>
        </xdr:cNvPr>
        <xdr:cNvGrpSpPr/>
      </xdr:nvGrpSpPr>
      <xdr:grpSpPr>
        <a:xfrm>
          <a:off x="0" y="0"/>
          <a:ext cx="13915091" cy="5528608"/>
          <a:chOff x="0" y="0"/>
          <a:chExt cx="14653315" cy="5795347"/>
        </a:xfrm>
      </xdr:grpSpPr>
      <xdr:sp macro="" textlink="">
        <xdr:nvSpPr>
          <xdr:cNvPr id="3" name="Rectangle 2">
            <a:extLst>
              <a:ext uri="{FF2B5EF4-FFF2-40B4-BE49-F238E27FC236}">
                <a16:creationId xmlns:a16="http://schemas.microsoft.com/office/drawing/2014/main" id="{34DB7389-D366-8010-43C7-192BBE874F61}"/>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5326B31-E7B0-7410-8F8C-5E9601244FDF}"/>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C8FA657D-9CBC-C4C2-6D76-236E625B0AFB}"/>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9B6166C-9457-CC70-323C-4FE1D71F650E}"/>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6711214-77EA-DB47-104A-7856BF2BD76F}"/>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30D9D6C-2950-9ACF-C07A-607C999C5ED0}"/>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B65CD548-D233-4971-3C2B-4D07F4D9733D}"/>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8DF2BB85-7C01-BB29-47CA-954FB12C9509}"/>
              </a:ext>
            </a:extLst>
          </xdr:cNvPr>
          <xdr:cNvSpPr/>
        </xdr:nvSpPr>
        <xdr:spPr>
          <a:xfrm>
            <a:off x="0" y="2022558"/>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sp macro="" textlink="">
        <xdr:nvSpPr>
          <xdr:cNvPr id="17" name="Rectangle 16">
            <a:hlinkClick xmlns:r="http://schemas.openxmlformats.org/officeDocument/2006/relationships" r:id="rId1"/>
            <a:extLst>
              <a:ext uri="{FF2B5EF4-FFF2-40B4-BE49-F238E27FC236}">
                <a16:creationId xmlns:a16="http://schemas.microsoft.com/office/drawing/2014/main" id="{CC87A682-532F-737F-F934-04572B6CBDC9}"/>
              </a:ext>
            </a:extLst>
          </xdr:cNvPr>
          <xdr:cNvSpPr/>
        </xdr:nvSpPr>
        <xdr:spPr>
          <a:xfrm>
            <a:off x="0" y="473474"/>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18" name="Rectangle 17">
            <a:hlinkClick xmlns:r="http://schemas.openxmlformats.org/officeDocument/2006/relationships" r:id="rId2" tooltip="Gantt View"/>
            <a:extLst>
              <a:ext uri="{FF2B5EF4-FFF2-40B4-BE49-F238E27FC236}">
                <a16:creationId xmlns:a16="http://schemas.microsoft.com/office/drawing/2014/main" id="{3BE04980-35A2-72F4-B1B6-51AEC7776A22}"/>
              </a:ext>
            </a:extLst>
          </xdr:cNvPr>
          <xdr:cNvSpPr/>
        </xdr:nvSpPr>
        <xdr:spPr>
          <a:xfrm>
            <a:off x="0" y="791323"/>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19" name="Rectangle 18">
            <a:hlinkClick xmlns:r="http://schemas.openxmlformats.org/officeDocument/2006/relationships" r:id="rId3" tooltip="Resource View"/>
            <a:extLst>
              <a:ext uri="{FF2B5EF4-FFF2-40B4-BE49-F238E27FC236}">
                <a16:creationId xmlns:a16="http://schemas.microsoft.com/office/drawing/2014/main" id="{744C1B8E-B340-2EDF-6C09-CB987ED60A0A}"/>
              </a:ext>
            </a:extLst>
          </xdr:cNvPr>
          <xdr:cNvSpPr/>
        </xdr:nvSpPr>
        <xdr:spPr>
          <a:xfrm>
            <a:off x="0" y="1069045"/>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0" name="Rectangle 19">
            <a:hlinkClick xmlns:r="http://schemas.openxmlformats.org/officeDocument/2006/relationships" r:id="rId4" tooltip="Timeline View"/>
            <a:extLst>
              <a:ext uri="{FF2B5EF4-FFF2-40B4-BE49-F238E27FC236}">
                <a16:creationId xmlns:a16="http://schemas.microsoft.com/office/drawing/2014/main" id="{648D9D2B-F680-7BC0-42CB-723548FCE83A}"/>
              </a:ext>
            </a:extLst>
          </xdr:cNvPr>
          <xdr:cNvSpPr/>
        </xdr:nvSpPr>
        <xdr:spPr>
          <a:xfrm>
            <a:off x="0" y="1383560"/>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1" name="Rectangle 20">
            <a:hlinkClick xmlns:r="http://schemas.openxmlformats.org/officeDocument/2006/relationships" r:id="rId5" tooltip="Heatmap View"/>
            <a:extLst>
              <a:ext uri="{FF2B5EF4-FFF2-40B4-BE49-F238E27FC236}">
                <a16:creationId xmlns:a16="http://schemas.microsoft.com/office/drawing/2014/main" id="{1AE7C2E7-BCC2-7243-3649-5210E23D7E33}"/>
              </a:ext>
            </a:extLst>
          </xdr:cNvPr>
          <xdr:cNvSpPr/>
        </xdr:nvSpPr>
        <xdr:spPr>
          <a:xfrm>
            <a:off x="0" y="172484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grpSp>
    <xdr:clientData/>
  </xdr:twoCellAnchor>
  <xdr:twoCellAnchor editAs="absolute">
    <xdr:from>
      <xdr:col>3</xdr:col>
      <xdr:colOff>683932</xdr:colOff>
      <xdr:row>0</xdr:row>
      <xdr:rowOff>51921</xdr:rowOff>
    </xdr:from>
    <xdr:to>
      <xdr:col>7</xdr:col>
      <xdr:colOff>64807</xdr:colOff>
      <xdr:row>3</xdr:row>
      <xdr:rowOff>13707</xdr:rowOff>
    </xdr:to>
    <xdr:sp macro="" textlink="">
      <xdr:nvSpPr>
        <xdr:cNvPr id="11" name="Rectangle 10">
          <a:extLst>
            <a:ext uri="{FF2B5EF4-FFF2-40B4-BE49-F238E27FC236}">
              <a16:creationId xmlns:a16="http://schemas.microsoft.com/office/drawing/2014/main" id="{16F59CA1-E84A-4720-8866-849A81D26143}"/>
            </a:ext>
          </a:extLst>
        </xdr:cNvPr>
        <xdr:cNvSpPr/>
      </xdr:nvSpPr>
      <xdr:spPr>
        <a:xfrm>
          <a:off x="2611344" y="51921"/>
          <a:ext cx="649287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632370</xdr:rowOff>
    </xdr:from>
    <xdr:to>
      <xdr:col>1</xdr:col>
      <xdr:colOff>529641</xdr:colOff>
      <xdr:row>11</xdr:row>
      <xdr:rowOff>141929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D0BB0E5-812B-4CAB-8137-DCAE6C9D817F}"/>
            </a:ext>
          </a:extLst>
        </xdr:cNvPr>
        <xdr:cNvSpPr/>
      </xdr:nvSpPr>
      <xdr:spPr>
        <a:xfrm>
          <a:off x="0" y="2232570"/>
          <a:ext cx="1170991" cy="23345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19050</xdr:colOff>
      <xdr:row>12</xdr:row>
      <xdr:rowOff>48170</xdr:rowOff>
    </xdr:from>
    <xdr:to>
      <xdr:col>1</xdr:col>
      <xdr:colOff>548691</xdr:colOff>
      <xdr:row>13</xdr:row>
      <xdr:rowOff>33979</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1AB3283C-772A-45E3-BF3B-265794A65AFC}"/>
            </a:ext>
          </a:extLst>
        </xdr:cNvPr>
        <xdr:cNvSpPr/>
      </xdr:nvSpPr>
      <xdr:spPr>
        <a:xfrm>
          <a:off x="19050" y="25627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0</xdr:colOff>
      <xdr:row>13</xdr:row>
      <xdr:rowOff>158750</xdr:rowOff>
    </xdr:from>
    <xdr:to>
      <xdr:col>1</xdr:col>
      <xdr:colOff>529641</xdr:colOff>
      <xdr:row>14</xdr:row>
      <xdr:rowOff>82148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C995AA3-C97D-4BCB-AA21-113E4FC84DFD}"/>
            </a:ext>
          </a:extLst>
        </xdr:cNvPr>
        <xdr:cNvSpPr/>
      </xdr:nvSpPr>
      <xdr:spPr>
        <a:xfrm>
          <a:off x="0" y="292735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15</xdr:row>
      <xdr:rowOff>0</xdr:rowOff>
    </xdr:from>
    <xdr:to>
      <xdr:col>1</xdr:col>
      <xdr:colOff>529641</xdr:colOff>
      <xdr:row>16</xdr:row>
      <xdr:rowOff>63098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C5DAE614-9DBE-4B7F-9306-3C19CCAA641B}"/>
            </a:ext>
          </a:extLst>
        </xdr:cNvPr>
        <xdr:cNvSpPr/>
      </xdr:nvSpPr>
      <xdr:spPr>
        <a:xfrm>
          <a:off x="0" y="3321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17</xdr:row>
      <xdr:rowOff>82550</xdr:rowOff>
    </xdr:from>
    <xdr:to>
      <xdr:col>1</xdr:col>
      <xdr:colOff>529641</xdr:colOff>
      <xdr:row>17</xdr:row>
      <xdr:rowOff>317098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BB27E816-C9C7-41C6-983B-395D174E0AD4}"/>
            </a:ext>
          </a:extLst>
        </xdr:cNvPr>
        <xdr:cNvSpPr/>
      </xdr:nvSpPr>
      <xdr:spPr>
        <a:xfrm>
          <a:off x="0" y="36893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179294</xdr:colOff>
      <xdr:row>51</xdr:row>
      <xdr:rowOff>149411</xdr:rowOff>
    </xdr:from>
    <xdr:to>
      <xdr:col>6</xdr:col>
      <xdr:colOff>336177</xdr:colOff>
      <xdr:row>54</xdr:row>
      <xdr:rowOff>134471</xdr:rowOff>
    </xdr:to>
    <xdr:sp macro="[0]!CostNext" textlink="">
      <xdr:nvSpPr>
        <xdr:cNvPr id="22" name="Arrow: Right 21">
          <a:extLst>
            <a:ext uri="{FF2B5EF4-FFF2-40B4-BE49-F238E27FC236}">
              <a16:creationId xmlns:a16="http://schemas.microsoft.com/office/drawing/2014/main" id="{6BC73E1C-5639-4F4C-A3B5-8712C7E5C65D}"/>
            </a:ext>
          </a:extLst>
        </xdr:cNvPr>
        <xdr:cNvSpPr/>
      </xdr:nvSpPr>
      <xdr:spPr>
        <a:xfrm>
          <a:off x="7717118" y="1418664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317875</xdr:colOff>
      <xdr:row>52</xdr:row>
      <xdr:rowOff>0</xdr:rowOff>
    </xdr:from>
    <xdr:to>
      <xdr:col>3</xdr:col>
      <xdr:colOff>683932</xdr:colOff>
      <xdr:row>54</xdr:row>
      <xdr:rowOff>171824</xdr:rowOff>
    </xdr:to>
    <xdr:sp macro="[0]!CostBack" textlink="">
      <xdr:nvSpPr>
        <xdr:cNvPr id="23" name="Arrow: Left 22">
          <a:extLst>
            <a:ext uri="{FF2B5EF4-FFF2-40B4-BE49-F238E27FC236}">
              <a16:creationId xmlns:a16="http://schemas.microsoft.com/office/drawing/2014/main" id="{6E518387-1402-4DD4-AABC-BC23CAA71311}"/>
            </a:ext>
          </a:extLst>
        </xdr:cNvPr>
        <xdr:cNvSpPr/>
      </xdr:nvSpPr>
      <xdr:spPr>
        <a:xfrm>
          <a:off x="1602816" y="14224000"/>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5</xdr:col>
      <xdr:colOff>535455</xdr:colOff>
      <xdr:row>3</xdr:row>
      <xdr:rowOff>6236</xdr:rowOff>
    </xdr:to>
    <xdr:sp macro="" textlink="">
      <xdr:nvSpPr>
        <xdr:cNvPr id="11" name="Rectangle 10">
          <a:extLst>
            <a:ext uri="{FF2B5EF4-FFF2-40B4-BE49-F238E27FC236}">
              <a16:creationId xmlns:a16="http://schemas.microsoft.com/office/drawing/2014/main" id="{4705DB2D-3B49-47D9-BC1F-0D45EF3DADA2}"/>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15" name="Rectangle 14">
          <a:hlinkClick xmlns:r="http://schemas.openxmlformats.org/officeDocument/2006/relationships" r:id="rId1" tooltip="Risks and Issues"/>
          <a:extLst>
            <a:ext uri="{FF2B5EF4-FFF2-40B4-BE49-F238E27FC236}">
              <a16:creationId xmlns:a16="http://schemas.microsoft.com/office/drawing/2014/main" id="{B51F3124-CD2B-4DEA-9E3E-DC7EBF9CF5F2}"/>
            </a:ext>
          </a:extLst>
        </xdr:cNvPr>
        <xdr:cNvSpPr/>
      </xdr:nvSpPr>
      <xdr:spPr>
        <a:xfrm>
          <a:off x="0" y="3529854"/>
          <a:ext cx="1202764" cy="24279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16" name="Rectangle 15">
          <a:hlinkClick xmlns:r="http://schemas.openxmlformats.org/officeDocument/2006/relationships" r:id="rId2" tooltip="Risks and Issues"/>
          <a:extLst>
            <a:ext uri="{FF2B5EF4-FFF2-40B4-BE49-F238E27FC236}">
              <a16:creationId xmlns:a16="http://schemas.microsoft.com/office/drawing/2014/main" id="{C71E92BA-3B18-4BD5-B0F0-B849C6D894D6}"/>
            </a:ext>
          </a:extLst>
        </xdr:cNvPr>
        <xdr:cNvSpPr/>
      </xdr:nvSpPr>
      <xdr:spPr>
        <a:xfrm>
          <a:off x="0" y="3925047"/>
          <a:ext cx="1172112" cy="23492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90" name="Rectangle 89">
          <a:extLst>
            <a:ext uri="{FF2B5EF4-FFF2-40B4-BE49-F238E27FC236}">
              <a16:creationId xmlns:a16="http://schemas.microsoft.com/office/drawing/2014/main" id="{AC59B498-2807-499E-A0C6-1845AE93C087}"/>
            </a:ext>
          </a:extLst>
        </xdr:cNvPr>
        <xdr:cNvSpPr/>
      </xdr:nvSpPr>
      <xdr:spPr>
        <a:xfrm>
          <a:off x="36286" y="0"/>
          <a:ext cx="1750786" cy="6985000"/>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91" name="Rectangle 90">
          <a:extLst>
            <a:ext uri="{FF2B5EF4-FFF2-40B4-BE49-F238E27FC236}">
              <a16:creationId xmlns:a16="http://schemas.microsoft.com/office/drawing/2014/main" id="{73B1283A-58DE-45BF-8F1F-9A290BC0E113}"/>
            </a:ext>
          </a:extLst>
        </xdr:cNvPr>
        <xdr:cNvSpPr/>
      </xdr:nvSpPr>
      <xdr:spPr>
        <a:xfrm>
          <a:off x="644071" y="0"/>
          <a:ext cx="13900150"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92" name="Rectangle 91">
          <a:extLst>
            <a:ext uri="{FF2B5EF4-FFF2-40B4-BE49-F238E27FC236}">
              <a16:creationId xmlns:a16="http://schemas.microsoft.com/office/drawing/2014/main" id="{C1BC9685-F25E-49D3-9D92-75EEB482B5A7}"/>
            </a:ext>
          </a:extLst>
        </xdr:cNvPr>
        <xdr:cNvSpPr/>
      </xdr:nvSpPr>
      <xdr:spPr>
        <a:xfrm>
          <a:off x="644071" y="0"/>
          <a:ext cx="13900150"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3" name="Rectangle 92">
          <a:hlinkClick xmlns:r="http://schemas.openxmlformats.org/officeDocument/2006/relationships" r:id="rId3" tooltip="Risks and Issues"/>
          <a:extLst>
            <a:ext uri="{FF2B5EF4-FFF2-40B4-BE49-F238E27FC236}">
              <a16:creationId xmlns:a16="http://schemas.microsoft.com/office/drawing/2014/main" id="{AC0953C5-C731-443B-B91A-5CAF694A734B}"/>
            </a:ext>
          </a:extLst>
        </xdr:cNvPr>
        <xdr:cNvSpPr/>
      </xdr:nvSpPr>
      <xdr:spPr>
        <a:xfrm>
          <a:off x="154215" y="2448428"/>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94" name="Rectangle 93">
          <a:hlinkClick xmlns:r="http://schemas.openxmlformats.org/officeDocument/2006/relationships" r:id="rId4"/>
          <a:extLst>
            <a:ext uri="{FF2B5EF4-FFF2-40B4-BE49-F238E27FC236}">
              <a16:creationId xmlns:a16="http://schemas.microsoft.com/office/drawing/2014/main" id="{2AFF390F-11CF-43F1-8DFD-EF39DBEAAFF8}"/>
            </a:ext>
          </a:extLst>
        </xdr:cNvPr>
        <xdr:cNvSpPr/>
      </xdr:nvSpPr>
      <xdr:spPr>
        <a:xfrm>
          <a:off x="181429" y="861786"/>
          <a:ext cx="1295543" cy="241096"/>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95" name="Rectangle 94">
          <a:hlinkClick xmlns:r="http://schemas.openxmlformats.org/officeDocument/2006/relationships" r:id="rId5" tooltip="Gantt View"/>
          <a:extLst>
            <a:ext uri="{FF2B5EF4-FFF2-40B4-BE49-F238E27FC236}">
              <a16:creationId xmlns:a16="http://schemas.microsoft.com/office/drawing/2014/main" id="{D48306CD-EB99-470D-AAAD-B67C08A5D491}"/>
            </a:ext>
          </a:extLst>
        </xdr:cNvPr>
        <xdr:cNvSpPr/>
      </xdr:nvSpPr>
      <xdr:spPr>
        <a:xfrm>
          <a:off x="154215" y="1273862"/>
          <a:ext cx="1290436"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96" name="Rectangle 95">
          <a:hlinkClick xmlns:r="http://schemas.openxmlformats.org/officeDocument/2006/relationships" r:id="rId6" tooltip="Resource View"/>
          <a:extLst>
            <a:ext uri="{FF2B5EF4-FFF2-40B4-BE49-F238E27FC236}">
              <a16:creationId xmlns:a16="http://schemas.microsoft.com/office/drawing/2014/main" id="{45720E3F-EE44-4B35-B6C5-7DB666DCECD4}"/>
            </a:ext>
          </a:extLst>
        </xdr:cNvPr>
        <xdr:cNvSpPr/>
      </xdr:nvSpPr>
      <xdr:spPr>
        <a:xfrm>
          <a:off x="154215" y="1538802"/>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97" name="Rectangle 96">
          <a:hlinkClick xmlns:r="http://schemas.openxmlformats.org/officeDocument/2006/relationships" r:id="rId7" tooltip="Timeline View"/>
          <a:extLst>
            <a:ext uri="{FF2B5EF4-FFF2-40B4-BE49-F238E27FC236}">
              <a16:creationId xmlns:a16="http://schemas.microsoft.com/office/drawing/2014/main" id="{A4743EEA-6BAA-4E32-B407-E50A90D713B1}"/>
            </a:ext>
          </a:extLst>
        </xdr:cNvPr>
        <xdr:cNvSpPr/>
      </xdr:nvSpPr>
      <xdr:spPr>
        <a:xfrm>
          <a:off x="154215" y="1838841"/>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98" name="Rectangle 97">
          <a:hlinkClick xmlns:r="http://schemas.openxmlformats.org/officeDocument/2006/relationships" r:id="rId8" tooltip="Heatmap View"/>
          <a:extLst>
            <a:ext uri="{FF2B5EF4-FFF2-40B4-BE49-F238E27FC236}">
              <a16:creationId xmlns:a16="http://schemas.microsoft.com/office/drawing/2014/main" id="{94970175-B5D5-4BE5-AEE0-133E8EB1CD6F}"/>
            </a:ext>
          </a:extLst>
        </xdr:cNvPr>
        <xdr:cNvSpPr/>
      </xdr:nvSpPr>
      <xdr:spPr>
        <a:xfrm>
          <a:off x="154215" y="2164417"/>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99" name="Rectangle 98">
          <a:hlinkClick xmlns:r="http://schemas.openxmlformats.org/officeDocument/2006/relationships" r:id="rId2" tooltip="Risks and Issues"/>
          <a:extLst>
            <a:ext uri="{FF2B5EF4-FFF2-40B4-BE49-F238E27FC236}">
              <a16:creationId xmlns:a16="http://schemas.microsoft.com/office/drawing/2014/main" id="{58ADDEE1-EBB9-4A75-8162-437B83D25404}"/>
            </a:ext>
          </a:extLst>
        </xdr:cNvPr>
        <xdr:cNvSpPr/>
      </xdr:nvSpPr>
      <xdr:spPr>
        <a:xfrm>
          <a:off x="90714" y="4192333"/>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00" name="Rectangle 99">
          <a:hlinkClick xmlns:r="http://schemas.openxmlformats.org/officeDocument/2006/relationships" r:id="rId9" tooltip="Risks and Issues"/>
          <a:extLst>
            <a:ext uri="{FF2B5EF4-FFF2-40B4-BE49-F238E27FC236}">
              <a16:creationId xmlns:a16="http://schemas.microsoft.com/office/drawing/2014/main" id="{B10D1B5A-DCCC-49A0-AF34-6985F3F807AC}"/>
            </a:ext>
          </a:extLst>
        </xdr:cNvPr>
        <xdr:cNvSpPr/>
      </xdr:nvSpPr>
      <xdr:spPr>
        <a:xfrm>
          <a:off x="113126" y="2875643"/>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101" name="Rectangle 100">
          <a:hlinkClick xmlns:r="http://schemas.openxmlformats.org/officeDocument/2006/relationships" r:id="rId10" tooltip="Risks and Issues"/>
          <a:extLst>
            <a:ext uri="{FF2B5EF4-FFF2-40B4-BE49-F238E27FC236}">
              <a16:creationId xmlns:a16="http://schemas.microsoft.com/office/drawing/2014/main" id="{0D635A86-2B77-4F67-BADA-A6D10D6FE7DE}"/>
            </a:ext>
          </a:extLst>
        </xdr:cNvPr>
        <xdr:cNvSpPr/>
      </xdr:nvSpPr>
      <xdr:spPr>
        <a:xfrm>
          <a:off x="113126" y="33556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102" name="Rectangle 101">
          <a:hlinkClick xmlns:r="http://schemas.openxmlformats.org/officeDocument/2006/relationships" r:id="rId11" tooltip="Risks and Issues"/>
          <a:extLst>
            <a:ext uri="{FF2B5EF4-FFF2-40B4-BE49-F238E27FC236}">
              <a16:creationId xmlns:a16="http://schemas.microsoft.com/office/drawing/2014/main" id="{D9F8C6D2-BCD4-49A0-97C0-6919968379C8}"/>
            </a:ext>
          </a:extLst>
        </xdr:cNvPr>
        <xdr:cNvSpPr/>
      </xdr:nvSpPr>
      <xdr:spPr>
        <a:xfrm>
          <a:off x="113126" y="362867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103" name="Rectangle 102">
          <a:hlinkClick xmlns:r="http://schemas.openxmlformats.org/officeDocument/2006/relationships" r:id="rId1" tooltip="Risks and Issues"/>
          <a:extLst>
            <a:ext uri="{FF2B5EF4-FFF2-40B4-BE49-F238E27FC236}">
              <a16:creationId xmlns:a16="http://schemas.microsoft.com/office/drawing/2014/main" id="{BE6823BF-61BD-457A-97BB-D6E236146F6C}"/>
            </a:ext>
          </a:extLst>
        </xdr:cNvPr>
        <xdr:cNvSpPr/>
      </xdr:nvSpPr>
      <xdr:spPr>
        <a:xfrm>
          <a:off x="113126" y="39271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3" name="Arrow: Left 2">
          <a:extLst>
            <a:ext uri="{FF2B5EF4-FFF2-40B4-BE49-F238E27FC236}">
              <a16:creationId xmlns:a16="http://schemas.microsoft.com/office/drawing/2014/main" id="{600ADEA8-32C0-45E8-964D-1301AEB2BAAB}"/>
            </a:ext>
          </a:extLst>
        </xdr:cNvPr>
        <xdr:cNvSpPr/>
      </xdr:nvSpPr>
      <xdr:spPr>
        <a:xfrm>
          <a:off x="1932214" y="13652501"/>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 name="Rectangle 1">
          <a:hlinkClick xmlns:r="http://schemas.openxmlformats.org/officeDocument/2006/relationships" r:id="rId1" tooltip="Risks and Issues"/>
          <a:extLst>
            <a:ext uri="{FF2B5EF4-FFF2-40B4-BE49-F238E27FC236}">
              <a16:creationId xmlns:a16="http://schemas.microsoft.com/office/drawing/2014/main" id="{D05DD4B6-F962-4C7C-944D-2C41BC2A1448}"/>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5" name="Rectangle 4">
          <a:hlinkClick xmlns:r="http://schemas.openxmlformats.org/officeDocument/2006/relationships" r:id="rId2" tooltip="Risks and Issues"/>
          <a:extLst>
            <a:ext uri="{FF2B5EF4-FFF2-40B4-BE49-F238E27FC236}">
              <a16:creationId xmlns:a16="http://schemas.microsoft.com/office/drawing/2014/main" id="{B9E29BD4-8353-43A8-B1EE-5A67E9137487}"/>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 name="Rectangle 5">
          <a:extLst>
            <a:ext uri="{FF2B5EF4-FFF2-40B4-BE49-F238E27FC236}">
              <a16:creationId xmlns:a16="http://schemas.microsoft.com/office/drawing/2014/main" id="{496A5388-D2F8-427B-A867-46090E6EBDDC}"/>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7" name="Rectangle 6">
          <a:extLst>
            <a:ext uri="{FF2B5EF4-FFF2-40B4-BE49-F238E27FC236}">
              <a16:creationId xmlns:a16="http://schemas.microsoft.com/office/drawing/2014/main" id="{B1473936-D665-4F6E-B55A-10770D6CD331}"/>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8" name="Rectangle 7">
          <a:extLst>
            <a:ext uri="{FF2B5EF4-FFF2-40B4-BE49-F238E27FC236}">
              <a16:creationId xmlns:a16="http://schemas.microsoft.com/office/drawing/2014/main" id="{609F91CB-B655-4D18-9C7C-B3AFBD4425FE}"/>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 name="Rectangle 8">
          <a:hlinkClick xmlns:r="http://schemas.openxmlformats.org/officeDocument/2006/relationships" r:id="rId3" tooltip="Risks and Issues"/>
          <a:extLst>
            <a:ext uri="{FF2B5EF4-FFF2-40B4-BE49-F238E27FC236}">
              <a16:creationId xmlns:a16="http://schemas.microsoft.com/office/drawing/2014/main" id="{6C9197FA-642F-4BFA-BD61-61B749BAD29D}"/>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F3B09032-4F9F-4A6A-AB7B-DC7BC474F20D}"/>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12" name="Rectangle 11">
          <a:hlinkClick xmlns:r="http://schemas.openxmlformats.org/officeDocument/2006/relationships" r:id="rId5" tooltip="Gantt View"/>
          <a:extLst>
            <a:ext uri="{FF2B5EF4-FFF2-40B4-BE49-F238E27FC236}">
              <a16:creationId xmlns:a16="http://schemas.microsoft.com/office/drawing/2014/main" id="{9564232F-F509-4294-8892-48B769308681}"/>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13" name="Rectangle 12">
          <a:hlinkClick xmlns:r="http://schemas.openxmlformats.org/officeDocument/2006/relationships" r:id="rId6" tooltip="Resource View"/>
          <a:extLst>
            <a:ext uri="{FF2B5EF4-FFF2-40B4-BE49-F238E27FC236}">
              <a16:creationId xmlns:a16="http://schemas.microsoft.com/office/drawing/2014/main" id="{1B654BF8-4DA2-41CC-A96D-CB4701166FFB}"/>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14" name="Rectangle 13">
          <a:hlinkClick xmlns:r="http://schemas.openxmlformats.org/officeDocument/2006/relationships" r:id="rId7" tooltip="Timeline View"/>
          <a:extLst>
            <a:ext uri="{FF2B5EF4-FFF2-40B4-BE49-F238E27FC236}">
              <a16:creationId xmlns:a16="http://schemas.microsoft.com/office/drawing/2014/main" id="{9E4DE780-FF6E-4DCA-8ECD-AD33D4027565}"/>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17" name="Rectangle 16">
          <a:hlinkClick xmlns:r="http://schemas.openxmlformats.org/officeDocument/2006/relationships" r:id="rId8" tooltip="Heatmap View"/>
          <a:extLst>
            <a:ext uri="{FF2B5EF4-FFF2-40B4-BE49-F238E27FC236}">
              <a16:creationId xmlns:a16="http://schemas.microsoft.com/office/drawing/2014/main" id="{9B592DE2-7D50-449E-8445-D18BFB3C3320}"/>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18" name="Rectangle 17">
          <a:hlinkClick xmlns:r="http://schemas.openxmlformats.org/officeDocument/2006/relationships" r:id="rId2" tooltip="Risks and Issues"/>
          <a:extLst>
            <a:ext uri="{FF2B5EF4-FFF2-40B4-BE49-F238E27FC236}">
              <a16:creationId xmlns:a16="http://schemas.microsoft.com/office/drawing/2014/main" id="{66D588B8-F395-4B6F-91A3-CBEB2566D641}"/>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9" name="Rectangle 18">
          <a:hlinkClick xmlns:r="http://schemas.openxmlformats.org/officeDocument/2006/relationships" r:id="rId9" tooltip="Risks and Issues"/>
          <a:extLst>
            <a:ext uri="{FF2B5EF4-FFF2-40B4-BE49-F238E27FC236}">
              <a16:creationId xmlns:a16="http://schemas.microsoft.com/office/drawing/2014/main" id="{13137084-0D12-4A34-A399-DB9FB1ED0A7E}"/>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20" name="Rectangle 19">
          <a:hlinkClick xmlns:r="http://schemas.openxmlformats.org/officeDocument/2006/relationships" r:id="rId10" tooltip="Risks and Issues"/>
          <a:extLst>
            <a:ext uri="{FF2B5EF4-FFF2-40B4-BE49-F238E27FC236}">
              <a16:creationId xmlns:a16="http://schemas.microsoft.com/office/drawing/2014/main" id="{77ADAC2F-4673-4821-A677-103287F71E35}"/>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21" name="Rectangle 20">
          <a:hlinkClick xmlns:r="http://schemas.openxmlformats.org/officeDocument/2006/relationships" r:id="rId11" tooltip="Risks and Issues"/>
          <a:extLst>
            <a:ext uri="{FF2B5EF4-FFF2-40B4-BE49-F238E27FC236}">
              <a16:creationId xmlns:a16="http://schemas.microsoft.com/office/drawing/2014/main" id="{02A19F35-3342-43E7-AF4B-CD3073F5C22D}"/>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22" name="Rectangle 21">
          <a:hlinkClick xmlns:r="http://schemas.openxmlformats.org/officeDocument/2006/relationships" r:id="rId1" tooltip="Risks and Issues"/>
          <a:extLst>
            <a:ext uri="{FF2B5EF4-FFF2-40B4-BE49-F238E27FC236}">
              <a16:creationId xmlns:a16="http://schemas.microsoft.com/office/drawing/2014/main" id="{CE27A299-CEA4-455B-A982-6137A10868B9}"/>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 textlink="">
      <xdr:nvSpPr>
        <xdr:cNvPr id="23" name="Arrow: Left 22">
          <a:extLst>
            <a:ext uri="{FF2B5EF4-FFF2-40B4-BE49-F238E27FC236}">
              <a16:creationId xmlns:a16="http://schemas.microsoft.com/office/drawing/2014/main" id="{DC67EC48-1078-46ED-AC43-53289C5BFD00}"/>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6278A005-8463-486C-9678-E6532CB96522}"/>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26" name="Rectangle 25">
          <a:hlinkClick xmlns:r="http://schemas.openxmlformats.org/officeDocument/2006/relationships" r:id="rId2" tooltip="Risks and Issues"/>
          <a:extLst>
            <a:ext uri="{FF2B5EF4-FFF2-40B4-BE49-F238E27FC236}">
              <a16:creationId xmlns:a16="http://schemas.microsoft.com/office/drawing/2014/main" id="{7B360D36-02E6-41DA-B30F-5E0B5134B778}"/>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27" name="Rectangle 26">
          <a:extLst>
            <a:ext uri="{FF2B5EF4-FFF2-40B4-BE49-F238E27FC236}">
              <a16:creationId xmlns:a16="http://schemas.microsoft.com/office/drawing/2014/main" id="{F7063B6D-E8BC-4226-B70C-46BE79CDE9F8}"/>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28" name="Rectangle 27">
          <a:extLst>
            <a:ext uri="{FF2B5EF4-FFF2-40B4-BE49-F238E27FC236}">
              <a16:creationId xmlns:a16="http://schemas.microsoft.com/office/drawing/2014/main" id="{BA9FA54C-0490-4508-87CC-57B3C2638D4E}"/>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29" name="Rectangle 28">
          <a:extLst>
            <a:ext uri="{FF2B5EF4-FFF2-40B4-BE49-F238E27FC236}">
              <a16:creationId xmlns:a16="http://schemas.microsoft.com/office/drawing/2014/main" id="{96685B23-B6FE-49C9-8261-F19D6D637A89}"/>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30" name="Rectangle 29">
          <a:hlinkClick xmlns:r="http://schemas.openxmlformats.org/officeDocument/2006/relationships" r:id="rId3" tooltip="Risks and Issues"/>
          <a:extLst>
            <a:ext uri="{FF2B5EF4-FFF2-40B4-BE49-F238E27FC236}">
              <a16:creationId xmlns:a16="http://schemas.microsoft.com/office/drawing/2014/main" id="{B8F6681B-08A9-4B01-8194-79C70D82BFF5}"/>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4A00D64A-7F04-4402-97EE-0695BC7BDEF7}"/>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32" name="Rectangle 31">
          <a:hlinkClick xmlns:r="http://schemas.openxmlformats.org/officeDocument/2006/relationships" r:id="rId5" tooltip="Gantt View"/>
          <a:extLst>
            <a:ext uri="{FF2B5EF4-FFF2-40B4-BE49-F238E27FC236}">
              <a16:creationId xmlns:a16="http://schemas.microsoft.com/office/drawing/2014/main" id="{CAF83A10-8C08-4D7C-B5CB-C41E6DC44C40}"/>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33" name="Rectangle 32">
          <a:hlinkClick xmlns:r="http://schemas.openxmlformats.org/officeDocument/2006/relationships" r:id="rId6" tooltip="Resource View"/>
          <a:extLst>
            <a:ext uri="{FF2B5EF4-FFF2-40B4-BE49-F238E27FC236}">
              <a16:creationId xmlns:a16="http://schemas.microsoft.com/office/drawing/2014/main" id="{D1E2078A-5C21-45B8-98E4-6414B67C1B1C}"/>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34" name="Rectangle 33">
          <a:hlinkClick xmlns:r="http://schemas.openxmlformats.org/officeDocument/2006/relationships" r:id="rId7" tooltip="Timeline View"/>
          <a:extLst>
            <a:ext uri="{FF2B5EF4-FFF2-40B4-BE49-F238E27FC236}">
              <a16:creationId xmlns:a16="http://schemas.microsoft.com/office/drawing/2014/main" id="{9FC13EBE-E435-44C0-8AF6-745B257FBC09}"/>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35" name="Rectangle 34">
          <a:hlinkClick xmlns:r="http://schemas.openxmlformats.org/officeDocument/2006/relationships" r:id="rId8" tooltip="Heatmap View"/>
          <a:extLst>
            <a:ext uri="{FF2B5EF4-FFF2-40B4-BE49-F238E27FC236}">
              <a16:creationId xmlns:a16="http://schemas.microsoft.com/office/drawing/2014/main" id="{78D2353B-DC1B-4B06-A7C6-612C56458863}"/>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36" name="Rectangle 35">
          <a:hlinkClick xmlns:r="http://schemas.openxmlformats.org/officeDocument/2006/relationships" r:id="rId2" tooltip="Risks and Issues"/>
          <a:extLst>
            <a:ext uri="{FF2B5EF4-FFF2-40B4-BE49-F238E27FC236}">
              <a16:creationId xmlns:a16="http://schemas.microsoft.com/office/drawing/2014/main" id="{AD8EB59C-A158-4263-BF1C-6EE84B5BEF30}"/>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37" name="Rectangle 36">
          <a:hlinkClick xmlns:r="http://schemas.openxmlformats.org/officeDocument/2006/relationships" r:id="rId9" tooltip="Risks and Issues"/>
          <a:extLst>
            <a:ext uri="{FF2B5EF4-FFF2-40B4-BE49-F238E27FC236}">
              <a16:creationId xmlns:a16="http://schemas.microsoft.com/office/drawing/2014/main" id="{61E44CB8-2446-4A78-9CFA-08AAED0FE7CA}"/>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38" name="Rectangle 37">
          <a:hlinkClick xmlns:r="http://schemas.openxmlformats.org/officeDocument/2006/relationships" r:id="rId10" tooltip="Risks and Issues"/>
          <a:extLst>
            <a:ext uri="{FF2B5EF4-FFF2-40B4-BE49-F238E27FC236}">
              <a16:creationId xmlns:a16="http://schemas.microsoft.com/office/drawing/2014/main" id="{8CD47ADA-B927-4678-B683-4ED775171A4B}"/>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39" name="Rectangle 38">
          <a:hlinkClick xmlns:r="http://schemas.openxmlformats.org/officeDocument/2006/relationships" r:id="rId11" tooltip="Risks and Issues"/>
          <a:extLst>
            <a:ext uri="{FF2B5EF4-FFF2-40B4-BE49-F238E27FC236}">
              <a16:creationId xmlns:a16="http://schemas.microsoft.com/office/drawing/2014/main" id="{18B1620C-0BAA-48E5-9033-0AFE2B46BDE4}"/>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40" name="Rectangle 39">
          <a:hlinkClick xmlns:r="http://schemas.openxmlformats.org/officeDocument/2006/relationships" r:id="rId1" tooltip="Risks and Issues"/>
          <a:extLst>
            <a:ext uri="{FF2B5EF4-FFF2-40B4-BE49-F238E27FC236}">
              <a16:creationId xmlns:a16="http://schemas.microsoft.com/office/drawing/2014/main" id="{7B09B4EE-B837-44D4-8A41-9C82C3AE5AA5}"/>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41" name="Arrow: Left 40">
          <a:extLst>
            <a:ext uri="{FF2B5EF4-FFF2-40B4-BE49-F238E27FC236}">
              <a16:creationId xmlns:a16="http://schemas.microsoft.com/office/drawing/2014/main" id="{08B54AD5-2B84-4730-8203-B2513FA8CD8D}"/>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6</xdr:col>
      <xdr:colOff>3308350</xdr:colOff>
      <xdr:row>46</xdr:row>
      <xdr:rowOff>81643</xdr:rowOff>
    </xdr:from>
    <xdr:to>
      <xdr:col>7</xdr:col>
      <xdr:colOff>562429</xdr:colOff>
      <xdr:row>49</xdr:row>
      <xdr:rowOff>81643</xdr:rowOff>
    </xdr:to>
    <xdr:sp macro="[0]!Otherissues" textlink="">
      <xdr:nvSpPr>
        <xdr:cNvPr id="42" name="Rectangle: Rounded Corners 41">
          <a:extLst>
            <a:ext uri="{FF2B5EF4-FFF2-40B4-BE49-F238E27FC236}">
              <a16:creationId xmlns:a16="http://schemas.microsoft.com/office/drawing/2014/main" id="{63865747-290B-4D3B-BDE4-A01DA84D0F63}"/>
            </a:ext>
          </a:extLst>
        </xdr:cNvPr>
        <xdr:cNvSpPr/>
      </xdr:nvSpPr>
      <xdr:spPr>
        <a:xfrm>
          <a:off x="12742636" y="11420929"/>
          <a:ext cx="1182007" cy="5442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200" b="1"/>
            <a:t>Submit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43" name="Rectangle 42">
          <a:hlinkClick xmlns:r="http://schemas.openxmlformats.org/officeDocument/2006/relationships" r:id="rId1" tooltip="Risks and Issues"/>
          <a:extLst>
            <a:ext uri="{FF2B5EF4-FFF2-40B4-BE49-F238E27FC236}">
              <a16:creationId xmlns:a16="http://schemas.microsoft.com/office/drawing/2014/main" id="{6591D99F-8D1B-4AD1-A2B4-C5FE7F448F6D}"/>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44" name="Rectangle 43">
          <a:hlinkClick xmlns:r="http://schemas.openxmlformats.org/officeDocument/2006/relationships" r:id="rId2" tooltip="Risks and Issues"/>
          <a:extLst>
            <a:ext uri="{FF2B5EF4-FFF2-40B4-BE49-F238E27FC236}">
              <a16:creationId xmlns:a16="http://schemas.microsoft.com/office/drawing/2014/main" id="{AFA61313-167C-4415-A132-B91431403CBB}"/>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45" name="Rectangle 44">
          <a:extLst>
            <a:ext uri="{FF2B5EF4-FFF2-40B4-BE49-F238E27FC236}">
              <a16:creationId xmlns:a16="http://schemas.microsoft.com/office/drawing/2014/main" id="{3275BCBC-E3D8-4C22-8BE0-110866DF95D9}"/>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46" name="Rectangle 45">
          <a:extLst>
            <a:ext uri="{FF2B5EF4-FFF2-40B4-BE49-F238E27FC236}">
              <a16:creationId xmlns:a16="http://schemas.microsoft.com/office/drawing/2014/main" id="{8970D136-E2E9-4BCF-AF79-6BC03189AE07}"/>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47" name="Rectangle 46">
          <a:extLst>
            <a:ext uri="{FF2B5EF4-FFF2-40B4-BE49-F238E27FC236}">
              <a16:creationId xmlns:a16="http://schemas.microsoft.com/office/drawing/2014/main" id="{B680CC60-3996-41C3-9E65-F14E5E1753F6}"/>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48" name="Rectangle 47">
          <a:hlinkClick xmlns:r="http://schemas.openxmlformats.org/officeDocument/2006/relationships" r:id="rId3" tooltip="Risks and Issues"/>
          <a:extLst>
            <a:ext uri="{FF2B5EF4-FFF2-40B4-BE49-F238E27FC236}">
              <a16:creationId xmlns:a16="http://schemas.microsoft.com/office/drawing/2014/main" id="{4304DD9A-53C3-4EEF-865D-55769152685C}"/>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49" name="Rectangle 48">
          <a:hlinkClick xmlns:r="http://schemas.openxmlformats.org/officeDocument/2006/relationships" r:id="rId4"/>
          <a:extLst>
            <a:ext uri="{FF2B5EF4-FFF2-40B4-BE49-F238E27FC236}">
              <a16:creationId xmlns:a16="http://schemas.microsoft.com/office/drawing/2014/main" id="{A9F7BD8C-7E09-48D4-BC2F-26CBA73AE263}"/>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50" name="Rectangle 49">
          <a:hlinkClick xmlns:r="http://schemas.openxmlformats.org/officeDocument/2006/relationships" r:id="rId5" tooltip="Gantt View"/>
          <a:extLst>
            <a:ext uri="{FF2B5EF4-FFF2-40B4-BE49-F238E27FC236}">
              <a16:creationId xmlns:a16="http://schemas.microsoft.com/office/drawing/2014/main" id="{CBED4C21-F9B3-4F97-922D-056E2230CD07}"/>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51" name="Rectangle 50">
          <a:hlinkClick xmlns:r="http://schemas.openxmlformats.org/officeDocument/2006/relationships" r:id="rId6" tooltip="Resource View"/>
          <a:extLst>
            <a:ext uri="{FF2B5EF4-FFF2-40B4-BE49-F238E27FC236}">
              <a16:creationId xmlns:a16="http://schemas.microsoft.com/office/drawing/2014/main" id="{5840FC31-BBB2-47F5-AAA6-0C02E8D4C0AF}"/>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52" name="Rectangle 51">
          <a:hlinkClick xmlns:r="http://schemas.openxmlformats.org/officeDocument/2006/relationships" r:id="rId7" tooltip="Timeline View"/>
          <a:extLst>
            <a:ext uri="{FF2B5EF4-FFF2-40B4-BE49-F238E27FC236}">
              <a16:creationId xmlns:a16="http://schemas.microsoft.com/office/drawing/2014/main" id="{DC7BEA42-9CC9-47B2-9B8C-5E198609EDF0}"/>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53" name="Rectangle 52">
          <a:hlinkClick xmlns:r="http://schemas.openxmlformats.org/officeDocument/2006/relationships" r:id="rId8" tooltip="Heatmap View"/>
          <a:extLst>
            <a:ext uri="{FF2B5EF4-FFF2-40B4-BE49-F238E27FC236}">
              <a16:creationId xmlns:a16="http://schemas.microsoft.com/office/drawing/2014/main" id="{621578D0-9220-4997-8DEE-D0361B2AE739}"/>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54" name="Rectangle 53">
          <a:hlinkClick xmlns:r="http://schemas.openxmlformats.org/officeDocument/2006/relationships" r:id="rId2" tooltip="Risks and Issues"/>
          <a:extLst>
            <a:ext uri="{FF2B5EF4-FFF2-40B4-BE49-F238E27FC236}">
              <a16:creationId xmlns:a16="http://schemas.microsoft.com/office/drawing/2014/main" id="{F0E93D63-4D90-4D49-9360-0D674B98A0CD}"/>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55" name="Rectangle 54">
          <a:hlinkClick xmlns:r="http://schemas.openxmlformats.org/officeDocument/2006/relationships" r:id="rId9" tooltip="Risks and Issues"/>
          <a:extLst>
            <a:ext uri="{FF2B5EF4-FFF2-40B4-BE49-F238E27FC236}">
              <a16:creationId xmlns:a16="http://schemas.microsoft.com/office/drawing/2014/main" id="{737F114A-2D30-4CFF-BBF4-011EADAFD9D3}"/>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56" name="Rectangle 55">
          <a:hlinkClick xmlns:r="http://schemas.openxmlformats.org/officeDocument/2006/relationships" r:id="rId10" tooltip="Risks and Issues"/>
          <a:extLst>
            <a:ext uri="{FF2B5EF4-FFF2-40B4-BE49-F238E27FC236}">
              <a16:creationId xmlns:a16="http://schemas.microsoft.com/office/drawing/2014/main" id="{8E70007D-E6F9-4290-A815-D5094BB1A042}"/>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57" name="Rectangle 56">
          <a:hlinkClick xmlns:r="http://schemas.openxmlformats.org/officeDocument/2006/relationships" r:id="rId11" tooltip="Risks and Issues"/>
          <a:extLst>
            <a:ext uri="{FF2B5EF4-FFF2-40B4-BE49-F238E27FC236}">
              <a16:creationId xmlns:a16="http://schemas.microsoft.com/office/drawing/2014/main" id="{DE570E57-23CB-42BE-A09F-7A7D9D4729AC}"/>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58" name="Rectangle 57">
          <a:hlinkClick xmlns:r="http://schemas.openxmlformats.org/officeDocument/2006/relationships" r:id="rId1" tooltip="Risks and Issues"/>
          <a:extLst>
            <a:ext uri="{FF2B5EF4-FFF2-40B4-BE49-F238E27FC236}">
              <a16:creationId xmlns:a16="http://schemas.microsoft.com/office/drawing/2014/main" id="{75D71476-4C2F-44C0-A3C0-02FDB088A82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59" name="Arrow: Left 58">
          <a:extLst>
            <a:ext uri="{FF2B5EF4-FFF2-40B4-BE49-F238E27FC236}">
              <a16:creationId xmlns:a16="http://schemas.microsoft.com/office/drawing/2014/main" id="{D565919B-92D0-4FE4-AD5F-BD8A40A1EB6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61" name="Rectangle 60">
          <a:hlinkClick xmlns:r="http://schemas.openxmlformats.org/officeDocument/2006/relationships" r:id="rId1" tooltip="Risks and Issues"/>
          <a:extLst>
            <a:ext uri="{FF2B5EF4-FFF2-40B4-BE49-F238E27FC236}">
              <a16:creationId xmlns:a16="http://schemas.microsoft.com/office/drawing/2014/main" id="{ECC2A8EB-0DAF-4FB0-9B5F-199C3F4D3CC0}"/>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62" name="Rectangle 61">
          <a:hlinkClick xmlns:r="http://schemas.openxmlformats.org/officeDocument/2006/relationships" r:id="rId2" tooltip="Risks and Issues"/>
          <a:extLst>
            <a:ext uri="{FF2B5EF4-FFF2-40B4-BE49-F238E27FC236}">
              <a16:creationId xmlns:a16="http://schemas.microsoft.com/office/drawing/2014/main" id="{1C308464-1B38-4B08-86B5-6D93F2033E1C}"/>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3" name="Rectangle 62">
          <a:extLst>
            <a:ext uri="{FF2B5EF4-FFF2-40B4-BE49-F238E27FC236}">
              <a16:creationId xmlns:a16="http://schemas.microsoft.com/office/drawing/2014/main" id="{F2A942FF-C02F-4230-BFA9-E9E5F5FBED80}"/>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64" name="Rectangle 63">
          <a:extLst>
            <a:ext uri="{FF2B5EF4-FFF2-40B4-BE49-F238E27FC236}">
              <a16:creationId xmlns:a16="http://schemas.microsoft.com/office/drawing/2014/main" id="{4B1A0DBF-96F4-4FFB-8DFF-484A103B5262}"/>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65" name="Rectangle 64">
          <a:extLst>
            <a:ext uri="{FF2B5EF4-FFF2-40B4-BE49-F238E27FC236}">
              <a16:creationId xmlns:a16="http://schemas.microsoft.com/office/drawing/2014/main" id="{A558E08A-E76C-4226-AABE-35A50B8726DA}"/>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66" name="Rectangle 65">
          <a:hlinkClick xmlns:r="http://schemas.openxmlformats.org/officeDocument/2006/relationships" r:id="rId3" tooltip="Risks and Issues"/>
          <a:extLst>
            <a:ext uri="{FF2B5EF4-FFF2-40B4-BE49-F238E27FC236}">
              <a16:creationId xmlns:a16="http://schemas.microsoft.com/office/drawing/2014/main" id="{239A3746-2C2E-46FA-87D5-6E4863BD4188}"/>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C0301D7A-F216-43EB-8092-8BB6510384F2}"/>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68" name="Rectangle 67">
          <a:hlinkClick xmlns:r="http://schemas.openxmlformats.org/officeDocument/2006/relationships" r:id="rId5" tooltip="Gantt View"/>
          <a:extLst>
            <a:ext uri="{FF2B5EF4-FFF2-40B4-BE49-F238E27FC236}">
              <a16:creationId xmlns:a16="http://schemas.microsoft.com/office/drawing/2014/main" id="{1A855F58-E754-4328-8641-EC23106722AE}"/>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69" name="Rectangle 68">
          <a:hlinkClick xmlns:r="http://schemas.openxmlformats.org/officeDocument/2006/relationships" r:id="rId6" tooltip="Resource View"/>
          <a:extLst>
            <a:ext uri="{FF2B5EF4-FFF2-40B4-BE49-F238E27FC236}">
              <a16:creationId xmlns:a16="http://schemas.microsoft.com/office/drawing/2014/main" id="{D58FAEB3-133F-4A44-8240-7318A9C0FE71}"/>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70" name="Rectangle 69">
          <a:hlinkClick xmlns:r="http://schemas.openxmlformats.org/officeDocument/2006/relationships" r:id="rId7" tooltip="Timeline View"/>
          <a:extLst>
            <a:ext uri="{FF2B5EF4-FFF2-40B4-BE49-F238E27FC236}">
              <a16:creationId xmlns:a16="http://schemas.microsoft.com/office/drawing/2014/main" id="{D0BC0072-1911-46FC-9DCA-800C7EDAAE1C}"/>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71" name="Rectangle 70">
          <a:hlinkClick xmlns:r="http://schemas.openxmlformats.org/officeDocument/2006/relationships" r:id="rId8" tooltip="Heatmap View"/>
          <a:extLst>
            <a:ext uri="{FF2B5EF4-FFF2-40B4-BE49-F238E27FC236}">
              <a16:creationId xmlns:a16="http://schemas.microsoft.com/office/drawing/2014/main" id="{E175E534-4C68-4E45-9830-1485472D426B}"/>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72" name="Rectangle 71">
          <a:hlinkClick xmlns:r="http://schemas.openxmlformats.org/officeDocument/2006/relationships" r:id="rId2" tooltip="Risks and Issues"/>
          <a:extLst>
            <a:ext uri="{FF2B5EF4-FFF2-40B4-BE49-F238E27FC236}">
              <a16:creationId xmlns:a16="http://schemas.microsoft.com/office/drawing/2014/main" id="{C22ACFC1-27D1-430D-85FC-C8EB4318B4EA}"/>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73" name="Rectangle 72">
          <a:hlinkClick xmlns:r="http://schemas.openxmlformats.org/officeDocument/2006/relationships" r:id="rId9" tooltip="Risks and Issues"/>
          <a:extLst>
            <a:ext uri="{FF2B5EF4-FFF2-40B4-BE49-F238E27FC236}">
              <a16:creationId xmlns:a16="http://schemas.microsoft.com/office/drawing/2014/main" id="{908E3AE2-282F-4F12-A568-9A0E6B7CD1ED}"/>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74" name="Rectangle 73">
          <a:hlinkClick xmlns:r="http://schemas.openxmlformats.org/officeDocument/2006/relationships" r:id="rId10" tooltip="Risks and Issues"/>
          <a:extLst>
            <a:ext uri="{FF2B5EF4-FFF2-40B4-BE49-F238E27FC236}">
              <a16:creationId xmlns:a16="http://schemas.microsoft.com/office/drawing/2014/main" id="{4420DF61-E96E-424F-98A9-36776AAC384A}"/>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75" name="Rectangle 74">
          <a:hlinkClick xmlns:r="http://schemas.openxmlformats.org/officeDocument/2006/relationships" r:id="rId11" tooltip="Risks and Issues"/>
          <a:extLst>
            <a:ext uri="{FF2B5EF4-FFF2-40B4-BE49-F238E27FC236}">
              <a16:creationId xmlns:a16="http://schemas.microsoft.com/office/drawing/2014/main" id="{53D27014-C5BC-4B09-88C3-73F7E61EBCD6}"/>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76" name="Rectangle 75">
          <a:hlinkClick xmlns:r="http://schemas.openxmlformats.org/officeDocument/2006/relationships" r:id="rId1" tooltip="Risks and Issues"/>
          <a:extLst>
            <a:ext uri="{FF2B5EF4-FFF2-40B4-BE49-F238E27FC236}">
              <a16:creationId xmlns:a16="http://schemas.microsoft.com/office/drawing/2014/main" id="{9FE3DB60-4705-45B2-AA9C-F4D7014FD71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77" name="Arrow: Left 76">
          <a:extLst>
            <a:ext uri="{FF2B5EF4-FFF2-40B4-BE49-F238E27FC236}">
              <a16:creationId xmlns:a16="http://schemas.microsoft.com/office/drawing/2014/main" id="{B2A8A1AB-7105-4C43-B642-9C9CD431264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342900</xdr:colOff>
      <xdr:row>17</xdr:row>
      <xdr:rowOff>38099</xdr:rowOff>
    </xdr:to>
    <xdr:grpSp>
      <xdr:nvGrpSpPr>
        <xdr:cNvPr id="2" name="Group 1">
          <a:extLst>
            <a:ext uri="{FF2B5EF4-FFF2-40B4-BE49-F238E27FC236}">
              <a16:creationId xmlns:a16="http://schemas.microsoft.com/office/drawing/2014/main" id="{C67C910A-4438-461C-8C05-5E56846F35EF}"/>
            </a:ext>
          </a:extLst>
        </xdr:cNvPr>
        <xdr:cNvGrpSpPr/>
      </xdr:nvGrpSpPr>
      <xdr:grpSpPr>
        <a:xfrm>
          <a:off x="0" y="0"/>
          <a:ext cx="13900150" cy="5499099"/>
          <a:chOff x="0" y="0"/>
          <a:chExt cx="14653315" cy="5795347"/>
        </a:xfrm>
      </xdr:grpSpPr>
      <xdr:sp macro="" textlink="">
        <xdr:nvSpPr>
          <xdr:cNvPr id="3" name="Rectangle 2">
            <a:extLst>
              <a:ext uri="{FF2B5EF4-FFF2-40B4-BE49-F238E27FC236}">
                <a16:creationId xmlns:a16="http://schemas.microsoft.com/office/drawing/2014/main" id="{6AAEB06E-9503-2D4D-9AAF-4E5C3D641056}"/>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C2FDC8D5-02B8-7DDB-AC09-0D9D913B42E5}"/>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077E443F-9BEB-526A-8F7F-F8DF054E23F4}"/>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6A3A0593-480E-A7DE-55A8-219C4BF2FABB}"/>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A072DC1-D455-C0D2-F1F8-F971CB714655}"/>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C7115D90-44D6-2B26-1AB7-28EB28E760E7}"/>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Assesment</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70863026-F814-1BAF-49E3-A378D1637ED0}"/>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grpSp>
    <xdr:clientData/>
  </xdr:twoCellAnchor>
  <xdr:twoCellAnchor>
    <xdr:from>
      <xdr:col>0</xdr:col>
      <xdr:colOff>0</xdr:colOff>
      <xdr:row>6</xdr:row>
      <xdr:rowOff>698500</xdr:rowOff>
    </xdr:from>
    <xdr:to>
      <xdr:col>1</xdr:col>
      <xdr:colOff>561391</xdr:colOff>
      <xdr:row>6</xdr:row>
      <xdr:rowOff>938309</xdr:rowOff>
    </xdr:to>
    <xdr:sp macro="" textlink="">
      <xdr:nvSpPr>
        <xdr:cNvPr id="12" name="Rectangle 11">
          <a:hlinkClick xmlns:r="http://schemas.openxmlformats.org/officeDocument/2006/relationships" r:id="rId6" tooltip="Heatmap View"/>
          <a:extLst>
            <a:ext uri="{FF2B5EF4-FFF2-40B4-BE49-F238E27FC236}">
              <a16:creationId xmlns:a16="http://schemas.microsoft.com/office/drawing/2014/main" id="{0717A4F9-3A54-45E8-A403-F43E4547A997}"/>
            </a:ext>
          </a:extLst>
        </xdr:cNvPr>
        <xdr:cNvSpPr/>
      </xdr:nvSpPr>
      <xdr:spPr>
        <a:xfrm>
          <a:off x="0" y="20256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4</xdr:col>
      <xdr:colOff>0</xdr:colOff>
      <xdr:row>26</xdr:row>
      <xdr:rowOff>0</xdr:rowOff>
    </xdr:from>
    <xdr:to>
      <xdr:col>4</xdr:col>
      <xdr:colOff>914400</xdr:colOff>
      <xdr:row>27</xdr:row>
      <xdr:rowOff>171450</xdr:rowOff>
    </xdr:to>
    <xdr:sp macro="[0]!Reviewed" textlink="">
      <xdr:nvSpPr>
        <xdr:cNvPr id="11" name="Rectangle: Rounded Corners 10">
          <a:extLst>
            <a:ext uri="{FF2B5EF4-FFF2-40B4-BE49-F238E27FC236}">
              <a16:creationId xmlns:a16="http://schemas.microsoft.com/office/drawing/2014/main" id="{872061D5-55F0-40E3-950C-912E8EF2A1B8}"/>
            </a:ext>
          </a:extLst>
        </xdr:cNvPr>
        <xdr:cNvSpPr/>
      </xdr:nvSpPr>
      <xdr:spPr>
        <a:xfrm>
          <a:off x="2438400" y="7156450"/>
          <a:ext cx="914400" cy="355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000" b="1">
              <a:latin typeface="+mn-lt"/>
            </a:rPr>
            <a:t>Reviewed</a:t>
          </a:r>
        </a:p>
      </xdr:txBody>
    </xdr:sp>
    <xdr:clientData/>
  </xdr:twoCellAnchor>
</xdr:wsDr>
</file>

<file path=xl/persons/person.xml><?xml version="1.0" encoding="utf-8"?>
<personList xmlns="http://schemas.microsoft.com/office/spreadsheetml/2018/threadedcomments" xmlns:x="http://schemas.openxmlformats.org/spreadsheetml/2006/main">
  <person displayName="Mahesh Pawar" id="{09F2006B-478C-41DB-98C5-48E1B8DF80C9}" userId="S::u346269@wns.com::0daef035-34e9-4adf-9c25-4c855582546b"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2" dT="2024-05-03T08:19:08.67" personId="{09F2006B-478C-41DB-98C5-48E1B8DF80C9}" id="{8B4D15D8-17F7-4F67-98A7-25D2F1916111}">
    <text>Please copy paste the below row while inserting the new row</text>
  </threadedComment>
</ThreadedComment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L5"/>
  <sheetViews>
    <sheetView workbookViewId="0">
      <selection activeCell="K5" sqref="K5"/>
    </sheetView>
  </sheetViews>
  <sheetFormatPr defaultRowHeight="14.5" x14ac:dyDescent="0.35"/>
  <cols>
    <col min="4" max="4" width="30.453125" bestFit="1" customWidth="1"/>
    <col min="8" max="8" width="7.81640625" bestFit="1" customWidth="1"/>
    <col min="10" max="10" width="41" customWidth="1"/>
  </cols>
  <sheetData>
    <row r="1" spans="1:12" x14ac:dyDescent="0.35">
      <c r="A1" s="12"/>
      <c r="B1" s="12" t="s">
        <v>235</v>
      </c>
      <c r="C1" s="12"/>
      <c r="D1" s="12" t="s">
        <v>254</v>
      </c>
      <c r="F1" s="12" t="s">
        <v>309</v>
      </c>
      <c r="H1" t="s">
        <v>490</v>
      </c>
      <c r="J1" s="12" t="s">
        <v>352</v>
      </c>
      <c r="K1" s="77" t="s">
        <v>374</v>
      </c>
      <c r="L1" s="76"/>
    </row>
    <row r="2" spans="1:12" x14ac:dyDescent="0.35">
      <c r="A2" t="s">
        <v>158</v>
      </c>
      <c r="B2" t="s">
        <v>301</v>
      </c>
      <c r="D2" t="s">
        <v>255</v>
      </c>
      <c r="F2" t="s">
        <v>310</v>
      </c>
      <c r="H2" t="s">
        <v>306</v>
      </c>
      <c r="J2" t="s">
        <v>349</v>
      </c>
      <c r="K2" s="148" t="s">
        <v>378</v>
      </c>
      <c r="L2" s="148"/>
    </row>
    <row r="3" spans="1:12" x14ac:dyDescent="0.35">
      <c r="A3" t="s">
        <v>159</v>
      </c>
      <c r="B3" t="s">
        <v>302</v>
      </c>
      <c r="D3" t="s">
        <v>256</v>
      </c>
      <c r="F3" t="s">
        <v>311</v>
      </c>
      <c r="H3" t="s">
        <v>347</v>
      </c>
      <c r="J3" t="s">
        <v>350</v>
      </c>
      <c r="K3" s="75" t="s">
        <v>379</v>
      </c>
      <c r="L3" s="76"/>
    </row>
    <row r="4" spans="1:12" x14ac:dyDescent="0.35">
      <c r="A4" t="s">
        <v>160</v>
      </c>
      <c r="B4" t="s">
        <v>405</v>
      </c>
      <c r="F4" t="s">
        <v>405</v>
      </c>
      <c r="J4" t="s">
        <v>351</v>
      </c>
      <c r="K4" s="75" t="s">
        <v>380</v>
      </c>
      <c r="L4" s="76"/>
    </row>
    <row r="5" spans="1:12" x14ac:dyDescent="0.35">
      <c r="K5" t="s">
        <v>406</v>
      </c>
    </row>
  </sheetData>
  <mergeCells count="1">
    <mergeCell ref="K2:L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in"/>
  <dimension ref="A1:S36"/>
  <sheetViews>
    <sheetView showGridLines="0" showRowColHeaders="0" workbookViewId="0">
      <selection activeCell="E15" sqref="E15"/>
    </sheetView>
  </sheetViews>
  <sheetFormatPr defaultColWidth="0" defaultRowHeight="14.5" zeroHeight="1" x14ac:dyDescent="0.35"/>
  <cols>
    <col min="1" max="3" width="9.1796875" style="6" customWidth="1"/>
    <col min="4" max="4" width="19.453125" style="6" customWidth="1"/>
    <col min="5" max="5" width="14.81640625" style="6" customWidth="1"/>
    <col min="6" max="6" width="91" style="6" customWidth="1"/>
    <col min="7" max="10" width="9.1796875" style="6" customWidth="1"/>
    <col min="11" max="11" width="11.81640625" style="6" customWidth="1"/>
    <col min="12" max="12" width="5.81640625" style="6" customWidth="1"/>
    <col min="13" max="13" width="51.7265625" style="6" customWidth="1"/>
    <col min="14" max="14" width="12.26953125" style="6" customWidth="1"/>
    <col min="15" max="15" width="12.81640625" style="6" customWidth="1"/>
    <col min="16" max="16" width="9.1796875" style="6" customWidth="1"/>
    <col min="17" max="19" width="0" style="6" hidden="1" customWidth="1"/>
    <col min="20" max="16384" width="9.1796875" style="6" hidden="1"/>
  </cols>
  <sheetData>
    <row r="1" spans="3:18" x14ac:dyDescent="0.35">
      <c r="P1" s="6">
        <v>2</v>
      </c>
    </row>
    <row r="2" spans="3:18" ht="10" customHeight="1" x14ac:dyDescent="0.35"/>
    <row r="3" spans="3:18" ht="5.5" customHeight="1" x14ac:dyDescent="0.35"/>
    <row r="4" spans="3:18" ht="7.5" customHeight="1" x14ac:dyDescent="0.35">
      <c r="C4" s="13"/>
      <c r="D4" s="13"/>
      <c r="E4" s="13"/>
      <c r="F4" s="13"/>
      <c r="G4" s="13"/>
      <c r="H4" s="13"/>
      <c r="I4" s="13"/>
      <c r="J4" s="13"/>
      <c r="K4" s="13"/>
      <c r="L4" s="13"/>
      <c r="M4" s="13"/>
      <c r="N4" s="13"/>
      <c r="O4" s="13"/>
      <c r="P4" s="13"/>
      <c r="Q4" s="13"/>
      <c r="R4" s="13"/>
    </row>
    <row r="5" spans="3:18" x14ac:dyDescent="0.35">
      <c r="C5" s="13"/>
      <c r="D5" s="13"/>
      <c r="E5" s="14"/>
      <c r="F5" s="13"/>
      <c r="G5" s="13"/>
      <c r="H5" s="13"/>
      <c r="I5" s="13"/>
      <c r="J5" s="13"/>
      <c r="K5" s="13"/>
      <c r="L5" s="13"/>
      <c r="M5" s="13"/>
      <c r="N5" s="13"/>
      <c r="O5" s="13"/>
      <c r="P5" s="13"/>
      <c r="Q5" s="13"/>
      <c r="R5" s="13"/>
    </row>
    <row r="6" spans="3:18" x14ac:dyDescent="0.35">
      <c r="C6" s="13"/>
      <c r="D6" s="13"/>
      <c r="E6" s="14"/>
      <c r="F6" s="13"/>
      <c r="G6" s="13"/>
      <c r="H6" s="13"/>
      <c r="I6" s="13"/>
      <c r="J6" s="13"/>
      <c r="K6" s="13"/>
      <c r="L6" s="13"/>
      <c r="M6" s="13"/>
      <c r="N6" s="13"/>
      <c r="O6" s="13"/>
      <c r="P6" s="13"/>
      <c r="Q6" s="13"/>
      <c r="R6" s="13"/>
    </row>
    <row r="7" spans="3:18" x14ac:dyDescent="0.35">
      <c r="C7" s="13"/>
      <c r="D7" s="13"/>
      <c r="E7" s="14"/>
      <c r="F7" s="13"/>
      <c r="G7" s="13"/>
      <c r="H7" s="13"/>
      <c r="I7" s="13"/>
      <c r="J7" s="13"/>
      <c r="K7" s="13"/>
      <c r="L7" s="13"/>
      <c r="M7" s="13"/>
      <c r="N7" s="13"/>
      <c r="O7" s="13"/>
      <c r="P7" s="13">
        <v>1</v>
      </c>
      <c r="Q7" s="13"/>
      <c r="R7" s="13"/>
    </row>
    <row r="8" spans="3:18" x14ac:dyDescent="0.35">
      <c r="C8" s="13"/>
      <c r="D8" s="13"/>
      <c r="E8" s="14"/>
      <c r="F8" s="13"/>
      <c r="G8" s="13"/>
      <c r="H8" s="13"/>
      <c r="I8" s="13"/>
      <c r="J8" s="13"/>
      <c r="K8" s="13"/>
      <c r="L8" s="13"/>
      <c r="M8" s="13"/>
      <c r="N8" s="13"/>
      <c r="O8" s="13"/>
      <c r="P8" s="13"/>
      <c r="Q8" s="13"/>
      <c r="R8" s="13"/>
    </row>
    <row r="9" spans="3:18" x14ac:dyDescent="0.35">
      <c r="C9" s="13"/>
      <c r="D9" s="13"/>
      <c r="E9" s="13"/>
      <c r="F9" s="13"/>
      <c r="G9" s="13"/>
      <c r="H9" s="13"/>
      <c r="I9" s="13"/>
      <c r="J9" s="13"/>
      <c r="K9" s="13"/>
      <c r="L9" s="13"/>
      <c r="M9" s="13"/>
      <c r="N9" s="13"/>
      <c r="O9" s="13"/>
      <c r="P9" s="13"/>
      <c r="Q9" s="13"/>
      <c r="R9" s="13"/>
    </row>
    <row r="10" spans="3:18" ht="30" customHeight="1" x14ac:dyDescent="0.35">
      <c r="C10" s="13"/>
      <c r="D10" s="44" t="s">
        <v>361</v>
      </c>
      <c r="E10" s="45"/>
      <c r="F10" s="45" t="s">
        <v>413</v>
      </c>
      <c r="G10" s="13"/>
      <c r="H10" s="13"/>
      <c r="I10" s="13"/>
      <c r="J10" s="13"/>
      <c r="K10" s="13"/>
      <c r="L10" s="13"/>
      <c r="M10" s="13"/>
      <c r="N10" s="13"/>
      <c r="O10" s="13"/>
      <c r="P10" s="13"/>
      <c r="Q10" s="13"/>
      <c r="R10" s="13"/>
    </row>
    <row r="11" spans="3:18" ht="27" customHeight="1" x14ac:dyDescent="0.35">
      <c r="C11" s="13"/>
      <c r="D11" s="44" t="s">
        <v>392</v>
      </c>
      <c r="E11" s="89">
        <v>45682</v>
      </c>
      <c r="F11" s="13"/>
      <c r="G11" s="13"/>
      <c r="H11" s="13"/>
      <c r="I11" s="13"/>
      <c r="J11" s="13"/>
      <c r="K11" s="13"/>
      <c r="L11" s="13"/>
      <c r="M11" s="13"/>
      <c r="N11" s="13"/>
      <c r="O11" s="13"/>
      <c r="P11" s="13"/>
      <c r="Q11" s="13"/>
      <c r="R11" s="13"/>
    </row>
    <row r="12" spans="3:18" ht="20.149999999999999" customHeight="1" x14ac:dyDescent="0.35">
      <c r="C12" s="13"/>
      <c r="D12" s="13"/>
      <c r="E12" s="13"/>
      <c r="F12" s="13"/>
      <c r="G12" s="13"/>
      <c r="H12" s="13"/>
      <c r="I12" s="13"/>
      <c r="J12" s="13"/>
      <c r="K12" s="13"/>
      <c r="L12" s="13"/>
      <c r="M12" s="13"/>
      <c r="N12" s="13"/>
      <c r="O12" s="13"/>
      <c r="P12" s="13"/>
      <c r="Q12" s="13"/>
      <c r="R12" s="13"/>
    </row>
    <row r="13" spans="3:18" ht="20.149999999999999" customHeight="1" x14ac:dyDescent="0.35">
      <c r="C13" s="13"/>
      <c r="D13" s="149" t="s">
        <v>401</v>
      </c>
      <c r="E13" s="91" t="s">
        <v>488</v>
      </c>
      <c r="F13" s="13"/>
      <c r="G13" s="13"/>
      <c r="H13" s="13"/>
      <c r="I13" s="13"/>
      <c r="J13" s="13"/>
      <c r="K13" s="13"/>
      <c r="L13" s="13"/>
      <c r="M13" s="13"/>
      <c r="N13" s="13"/>
      <c r="O13" s="13"/>
      <c r="P13" s="13"/>
      <c r="Q13" s="13"/>
    </row>
    <row r="14" spans="3:18" ht="20.149999999999999" customHeight="1" x14ac:dyDescent="0.35">
      <c r="C14" s="13"/>
      <c r="D14" s="150"/>
      <c r="E14" s="90"/>
      <c r="F14" s="13"/>
      <c r="G14" s="13"/>
      <c r="H14" s="13"/>
      <c r="I14" s="13"/>
      <c r="J14" s="13"/>
      <c r="K14" s="13"/>
      <c r="L14" s="13"/>
      <c r="M14" s="13"/>
      <c r="N14" s="13"/>
      <c r="O14" s="13"/>
      <c r="P14" s="13"/>
      <c r="Q14" s="13"/>
    </row>
    <row r="15" spans="3:18" ht="13.75" customHeight="1" x14ac:dyDescent="0.35">
      <c r="C15" s="13"/>
      <c r="D15" s="13"/>
      <c r="E15" s="13"/>
      <c r="F15" s="13"/>
      <c r="G15" s="13"/>
      <c r="H15" s="13"/>
      <c r="I15" s="13"/>
      <c r="J15" s="13"/>
      <c r="K15" s="13"/>
      <c r="L15" s="13"/>
      <c r="M15" s="13"/>
      <c r="N15" s="13"/>
      <c r="O15" s="13"/>
      <c r="P15" s="13"/>
      <c r="Q15" s="13"/>
    </row>
    <row r="16" spans="3:18" ht="13.75" customHeight="1" x14ac:dyDescent="0.35">
      <c r="C16" s="13"/>
      <c r="D16" s="13"/>
      <c r="E16" s="13"/>
      <c r="F16" s="13"/>
      <c r="G16" s="13"/>
      <c r="H16" s="13"/>
      <c r="I16" s="13"/>
      <c r="J16" s="13"/>
      <c r="K16" s="13"/>
      <c r="L16" s="13"/>
      <c r="M16" s="13"/>
      <c r="N16" s="13"/>
      <c r="O16" s="13"/>
      <c r="P16" s="13"/>
      <c r="Q16" s="13"/>
    </row>
    <row r="17" spans="1:18" ht="13.75" customHeight="1" x14ac:dyDescent="0.35">
      <c r="C17" s="13"/>
      <c r="D17" s="149" t="s">
        <v>400</v>
      </c>
      <c r="E17" s="151"/>
      <c r="F17" s="13"/>
      <c r="G17" s="13"/>
      <c r="H17" s="13"/>
      <c r="I17" s="13"/>
      <c r="J17" s="13"/>
      <c r="K17" s="13"/>
      <c r="L17" s="13"/>
      <c r="M17" s="13"/>
      <c r="N17" s="13"/>
      <c r="O17" s="13"/>
      <c r="P17" s="13"/>
      <c r="Q17" s="13"/>
    </row>
    <row r="18" spans="1:18" ht="13.75" customHeight="1" x14ac:dyDescent="0.35">
      <c r="C18" s="13"/>
      <c r="D18" s="150"/>
      <c r="E18" s="152"/>
      <c r="F18" s="13"/>
      <c r="G18" s="13"/>
      <c r="H18" s="13"/>
      <c r="I18" s="13"/>
      <c r="J18" s="13"/>
      <c r="K18" s="13"/>
      <c r="L18" s="13"/>
      <c r="M18" s="13"/>
      <c r="N18" s="13"/>
      <c r="O18" s="13"/>
      <c r="P18" s="13"/>
      <c r="Q18" s="13"/>
    </row>
    <row r="19" spans="1:18" ht="13.75" customHeight="1" x14ac:dyDescent="0.35">
      <c r="C19" s="13"/>
      <c r="D19" s="13"/>
      <c r="E19" s="13"/>
      <c r="F19" s="13"/>
      <c r="G19" s="13"/>
      <c r="H19" s="13"/>
      <c r="I19" s="13"/>
      <c r="J19" s="13"/>
      <c r="K19" s="13"/>
      <c r="L19" s="13"/>
      <c r="M19" s="13"/>
      <c r="N19" s="13"/>
      <c r="O19" s="13"/>
      <c r="P19" s="13"/>
      <c r="Q19" s="13"/>
    </row>
    <row r="20" spans="1:18" ht="13.75" customHeight="1" x14ac:dyDescent="0.35">
      <c r="C20" s="13"/>
      <c r="D20" s="13"/>
      <c r="E20" s="13"/>
      <c r="F20" s="13"/>
      <c r="G20" s="13"/>
      <c r="H20" s="13"/>
      <c r="I20" s="13"/>
      <c r="J20" s="13"/>
      <c r="K20" s="13"/>
      <c r="L20" s="13"/>
      <c r="M20" s="13"/>
      <c r="N20" s="13"/>
      <c r="O20" s="13"/>
      <c r="P20" s="13"/>
      <c r="Q20" s="13"/>
    </row>
    <row r="21" spans="1:18" ht="13.75" customHeight="1" x14ac:dyDescent="0.35">
      <c r="C21" s="13"/>
      <c r="D21" s="13"/>
      <c r="E21" s="13"/>
      <c r="F21" s="13"/>
      <c r="G21" s="13"/>
      <c r="H21" s="13"/>
      <c r="I21" s="13"/>
      <c r="J21" s="13"/>
      <c r="K21" s="13"/>
      <c r="L21" s="13"/>
      <c r="M21" s="13"/>
      <c r="N21" s="13"/>
      <c r="O21" s="13"/>
      <c r="P21" s="13"/>
      <c r="Q21" s="13"/>
      <c r="R21" s="13"/>
    </row>
    <row r="22" spans="1:18" ht="13.75" customHeight="1" x14ac:dyDescent="0.35">
      <c r="C22" s="13"/>
      <c r="D22" s="13"/>
      <c r="E22" s="13"/>
      <c r="F22" s="13"/>
      <c r="G22" s="13"/>
      <c r="H22" s="13"/>
      <c r="I22" s="13"/>
      <c r="J22" s="13"/>
      <c r="K22" s="13"/>
      <c r="L22" s="13"/>
      <c r="M22" s="13"/>
      <c r="N22" s="13"/>
      <c r="O22" s="13"/>
      <c r="P22" s="13"/>
      <c r="Q22" s="13"/>
      <c r="R22" s="13"/>
    </row>
    <row r="23" spans="1:18" ht="13.75" customHeight="1" x14ac:dyDescent="0.35">
      <c r="C23" s="13"/>
      <c r="D23" s="13"/>
      <c r="E23" s="13"/>
      <c r="F23" s="13"/>
      <c r="G23" s="13"/>
      <c r="H23" s="13"/>
      <c r="I23" s="13"/>
      <c r="J23" s="13"/>
      <c r="K23" s="13"/>
      <c r="L23" s="13"/>
      <c r="M23" s="13"/>
      <c r="N23" s="13"/>
      <c r="O23" s="13"/>
      <c r="P23" s="13"/>
      <c r="Q23" s="13"/>
      <c r="R23" s="13"/>
    </row>
    <row r="24" spans="1:18" ht="13.75" customHeight="1" x14ac:dyDescent="0.35">
      <c r="C24" s="13"/>
      <c r="D24" s="13"/>
      <c r="E24" s="13"/>
      <c r="F24" s="13"/>
      <c r="G24" s="13"/>
      <c r="H24" s="13"/>
      <c r="I24" s="13"/>
      <c r="J24" s="13"/>
      <c r="K24" s="13"/>
      <c r="L24" s="13"/>
      <c r="M24" s="13"/>
      <c r="N24" s="13"/>
      <c r="O24" s="13"/>
      <c r="P24" s="13"/>
      <c r="Q24" s="13"/>
      <c r="R24" s="13"/>
    </row>
    <row r="25" spans="1:18" x14ac:dyDescent="0.35">
      <c r="C25" s="13"/>
      <c r="D25" s="13"/>
      <c r="E25" s="13"/>
      <c r="F25" s="13"/>
      <c r="G25" s="13"/>
      <c r="H25" s="13"/>
      <c r="I25" s="13"/>
      <c r="J25" s="13"/>
      <c r="K25" s="13"/>
      <c r="L25" s="13"/>
      <c r="M25" s="13"/>
      <c r="N25" s="13"/>
      <c r="O25" s="13"/>
      <c r="P25" s="13"/>
      <c r="Q25" s="13"/>
      <c r="R25" s="13"/>
    </row>
    <row r="26" spans="1:18" x14ac:dyDescent="0.35">
      <c r="C26" s="13"/>
      <c r="D26" s="13"/>
      <c r="E26" s="13"/>
      <c r="F26" s="13"/>
      <c r="G26" s="13"/>
      <c r="H26" s="13"/>
      <c r="I26" s="13"/>
      <c r="J26" s="13"/>
      <c r="K26" s="13"/>
      <c r="L26" s="13"/>
      <c r="M26" s="13"/>
      <c r="N26" s="13"/>
      <c r="O26" s="13"/>
      <c r="P26" s="13"/>
      <c r="Q26" s="13"/>
      <c r="R26" s="13"/>
    </row>
    <row r="27" spans="1:18" x14ac:dyDescent="0.35">
      <c r="C27" s="13"/>
      <c r="D27" s="13"/>
      <c r="E27" s="13"/>
      <c r="F27" s="13"/>
      <c r="G27" s="13"/>
      <c r="H27" s="13"/>
      <c r="I27" s="13"/>
      <c r="J27" s="13"/>
      <c r="K27" s="13"/>
      <c r="L27" s="13"/>
      <c r="M27" s="13"/>
      <c r="N27" s="13"/>
      <c r="O27" s="13"/>
      <c r="P27" s="13"/>
      <c r="Q27" s="13"/>
      <c r="R27" s="13"/>
    </row>
    <row r="28" spans="1:18" x14ac:dyDescent="0.35">
      <c r="C28" s="13"/>
      <c r="D28" s="13"/>
      <c r="E28" s="13"/>
      <c r="F28" s="13"/>
      <c r="G28" s="13"/>
      <c r="H28" s="13"/>
      <c r="I28" s="13"/>
      <c r="J28" s="13"/>
      <c r="K28" s="13"/>
      <c r="L28" s="13"/>
      <c r="M28" s="13"/>
      <c r="N28" s="13"/>
      <c r="O28" s="13"/>
      <c r="P28" s="13"/>
      <c r="Q28" s="13"/>
      <c r="R28" s="13"/>
    </row>
    <row r="29" spans="1:18" x14ac:dyDescent="0.35">
      <c r="C29" s="13"/>
      <c r="D29" s="13"/>
      <c r="E29" s="13"/>
      <c r="F29" s="13"/>
      <c r="G29" s="13"/>
      <c r="H29" s="13"/>
      <c r="I29" s="13"/>
      <c r="J29" s="13"/>
      <c r="K29" s="13"/>
      <c r="L29" s="13"/>
      <c r="M29" s="13"/>
      <c r="N29" s="13"/>
      <c r="O29" s="13"/>
      <c r="P29" s="13"/>
      <c r="Q29" s="13"/>
      <c r="R29" s="13"/>
    </row>
    <row r="30" spans="1:18" x14ac:dyDescent="0.35">
      <c r="C30" s="13"/>
      <c r="D30" s="13"/>
      <c r="E30" s="13"/>
      <c r="F30" s="13"/>
      <c r="G30" s="13"/>
      <c r="H30" s="13"/>
      <c r="I30" s="13"/>
      <c r="J30" s="13"/>
      <c r="K30" s="13"/>
      <c r="L30" s="13"/>
      <c r="M30" s="13"/>
      <c r="N30" s="13"/>
      <c r="O30" s="13"/>
      <c r="P30" s="13"/>
      <c r="Q30" s="13"/>
      <c r="R30" s="13"/>
    </row>
    <row r="31" spans="1:18" x14ac:dyDescent="0.35">
      <c r="C31" s="13"/>
      <c r="D31" s="13"/>
      <c r="E31" s="13"/>
      <c r="F31" s="13"/>
      <c r="G31" s="13"/>
      <c r="H31" s="13"/>
      <c r="I31" s="13"/>
      <c r="J31" s="13"/>
      <c r="K31" s="13"/>
      <c r="L31" s="13"/>
      <c r="M31" s="13"/>
      <c r="N31" s="13"/>
      <c r="O31" s="13"/>
      <c r="P31" s="13"/>
      <c r="Q31" s="13"/>
      <c r="R31" s="13"/>
    </row>
    <row r="32" spans="1:18" x14ac:dyDescent="0.35">
      <c r="A32" s="13"/>
      <c r="B32" s="13"/>
      <c r="C32" s="13"/>
      <c r="D32" s="13"/>
      <c r="E32" s="13"/>
      <c r="F32" s="13"/>
      <c r="G32" s="13"/>
      <c r="H32" s="13"/>
      <c r="I32" s="13"/>
      <c r="J32" s="13"/>
      <c r="K32" s="13"/>
      <c r="L32" s="13"/>
      <c r="M32" s="13"/>
      <c r="N32" s="13"/>
      <c r="O32" s="13"/>
      <c r="P32" s="13"/>
      <c r="Q32" s="13"/>
      <c r="R32" s="13"/>
    </row>
    <row r="33" spans="3:14" hidden="1" x14ac:dyDescent="0.35">
      <c r="C33" s="13"/>
      <c r="D33" s="13"/>
      <c r="E33" s="13"/>
      <c r="F33" s="13"/>
      <c r="G33" s="13"/>
      <c r="H33" s="13"/>
      <c r="I33" s="13"/>
      <c r="J33" s="13"/>
      <c r="K33" s="13"/>
      <c r="L33" s="13"/>
      <c r="M33" s="13"/>
      <c r="N33" s="13"/>
    </row>
    <row r="34" spans="3:14" hidden="1" x14ac:dyDescent="0.35">
      <c r="L34" s="13"/>
      <c r="M34" s="13"/>
      <c r="N34" s="13"/>
    </row>
    <row r="35" spans="3:14" hidden="1" x14ac:dyDescent="0.35">
      <c r="L35" s="13"/>
      <c r="M35" s="13"/>
      <c r="N35" s="13"/>
    </row>
    <row r="36" spans="3:14" hidden="1" x14ac:dyDescent="0.35">
      <c r="L36" s="13"/>
      <c r="M36" s="13"/>
      <c r="N36" s="13"/>
    </row>
  </sheetData>
  <mergeCells count="3">
    <mergeCell ref="D13:D14"/>
    <mergeCell ref="D17:D18"/>
    <mergeCell ref="E17:E18"/>
  </mergeCells>
  <conditionalFormatting sqref="E14">
    <cfRule type="expression" dxfId="24" priority="5">
      <formula>$P$7&lt;=1</formula>
    </cfRule>
    <cfRule type="expression" dxfId="23" priority="6">
      <formula>$P$7&gt;1</formula>
    </cfRule>
  </conditionalFormatting>
  <conditionalFormatting sqref="E17:E18">
    <cfRule type="expression" dxfId="22" priority="1">
      <formula>$P$1&lt;=1</formula>
    </cfRule>
    <cfRule type="expression" dxfId="21" priority="2">
      <formula>$P$1&gt;1</formula>
    </cfRule>
  </conditionalFormatting>
  <dataValidations disablePrompts="1" count="1">
    <dataValidation type="list" allowBlank="1" showInputMessage="1" showErrorMessage="1" sqref="N13" xr:uid="{00000000-0002-0000-0100-000000000000}">
      <formula1>"High,Medium,Low"</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3"/>
  <sheetViews>
    <sheetView topLeftCell="A65" workbookViewId="0">
      <selection activeCell="E26" sqref="E26"/>
    </sheetView>
  </sheetViews>
  <sheetFormatPr defaultColWidth="0" defaultRowHeight="14.5" customHeight="1" x14ac:dyDescent="0.35"/>
  <cols>
    <col min="1" max="1" width="9.1796875" style="16" customWidth="1"/>
    <col min="2" max="2" width="16.7265625" style="16" customWidth="1"/>
    <col min="3" max="3" width="41.1796875" style="16" customWidth="1"/>
    <col min="4" max="4" width="37.81640625" style="16" customWidth="1"/>
    <col min="5" max="5" width="28" style="16" customWidth="1"/>
    <col min="6" max="6" width="21" style="16" bestFit="1"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7" width="9.1796875" style="16" customWidth="1"/>
    <col min="18" max="19" width="0" style="16" hidden="1" customWidth="1"/>
    <col min="20" max="16384" width="9.1796875" style="16" hidden="1"/>
  </cols>
  <sheetData>
    <row r="1" spans="3:6" x14ac:dyDescent="0.35"/>
    <row r="2" spans="3:6" ht="10" customHeight="1" x14ac:dyDescent="0.35"/>
    <row r="3" spans="3:6" ht="5.5" customHeight="1" x14ac:dyDescent="0.35"/>
    <row r="4" spans="3:6" ht="7.5" customHeight="1" x14ac:dyDescent="0.35"/>
    <row r="5" spans="3:6" ht="15" thickBot="1" x14ac:dyDescent="0.4">
      <c r="E5" s="17"/>
      <c r="F5" s="17"/>
    </row>
    <row r="6" spans="3:6" ht="30" customHeight="1" thickBot="1" x14ac:dyDescent="0.4">
      <c r="C6" s="71" t="s">
        <v>491</v>
      </c>
      <c r="D6" s="161"/>
      <c r="E6" s="162"/>
      <c r="F6" s="17"/>
    </row>
    <row r="7" spans="3:6" ht="28" customHeight="1" thickBot="1" x14ac:dyDescent="0.4">
      <c r="C7" s="72" t="s">
        <v>304</v>
      </c>
      <c r="D7" s="161"/>
      <c r="E7" s="162"/>
      <c r="F7" s="17"/>
    </row>
    <row r="8" spans="3:6" ht="20.149999999999999" customHeight="1" thickBot="1" x14ac:dyDescent="0.4">
      <c r="C8" s="72" t="s">
        <v>346</v>
      </c>
      <c r="D8" s="163" t="s">
        <v>414</v>
      </c>
      <c r="E8" s="164"/>
      <c r="F8" s="17"/>
    </row>
    <row r="9" spans="3:6" ht="20.149999999999999" customHeight="1" thickBot="1" x14ac:dyDescent="0.4">
      <c r="C9" s="72" t="s">
        <v>305</v>
      </c>
      <c r="D9" s="163" t="s">
        <v>446</v>
      </c>
      <c r="E9" s="164"/>
    </row>
    <row r="10" spans="3:6" ht="20.149999999999999" customHeight="1" thickBot="1" x14ac:dyDescent="0.4">
      <c r="C10" s="72" t="s">
        <v>450</v>
      </c>
      <c r="D10" s="163" t="s">
        <v>415</v>
      </c>
      <c r="E10" s="164"/>
    </row>
    <row r="11" spans="3:6" ht="20.149999999999999" customHeight="1" thickBot="1" x14ac:dyDescent="0.4">
      <c r="C11" s="72" t="s">
        <v>370</v>
      </c>
      <c r="D11" s="163" t="s">
        <v>447</v>
      </c>
      <c r="E11" s="164"/>
    </row>
    <row r="12" spans="3:6" ht="20.149999999999999" customHeight="1" thickBot="1" x14ac:dyDescent="0.4">
      <c r="C12" s="72" t="s">
        <v>448</v>
      </c>
      <c r="D12" s="163" t="s">
        <v>416</v>
      </c>
      <c r="E12" s="164"/>
    </row>
    <row r="13" spans="3:6" ht="20.149999999999999" customHeight="1" thickBot="1" x14ac:dyDescent="0.4">
      <c r="C13" s="72" t="s">
        <v>449</v>
      </c>
      <c r="D13" s="165" t="s">
        <v>417</v>
      </c>
      <c r="E13" s="164"/>
    </row>
    <row r="14" spans="3:6" ht="20.149999999999999" customHeight="1" thickBot="1" x14ac:dyDescent="0.4">
      <c r="C14" s="72" t="s">
        <v>363</v>
      </c>
      <c r="D14" s="121" t="s">
        <v>418</v>
      </c>
      <c r="E14" s="121" t="s">
        <v>419</v>
      </c>
    </row>
    <row r="15" spans="3:6" ht="20.149999999999999" customHeight="1" thickBot="1" x14ac:dyDescent="0.4">
      <c r="C15" s="72" t="s">
        <v>371</v>
      </c>
      <c r="D15" s="166" t="s">
        <v>420</v>
      </c>
      <c r="E15" s="164"/>
    </row>
    <row r="16" spans="3:6" ht="30" customHeight="1" thickBot="1" x14ac:dyDescent="0.4">
      <c r="C16" s="73" t="s">
        <v>307</v>
      </c>
      <c r="D16" s="163" t="s">
        <v>455</v>
      </c>
      <c r="E16" s="164"/>
    </row>
    <row r="17" spans="3:5" ht="20.149999999999999" customHeight="1" thickBot="1" x14ac:dyDescent="0.4">
      <c r="C17" s="72" t="s">
        <v>345</v>
      </c>
      <c r="D17" s="163" t="s">
        <v>489</v>
      </c>
      <c r="E17" s="164"/>
    </row>
    <row r="18" spans="3:5" ht="20.149999999999999" customHeight="1" thickBot="1" x14ac:dyDescent="0.4">
      <c r="C18" s="112"/>
      <c r="D18" s="113"/>
      <c r="E18" s="113"/>
    </row>
    <row r="19" spans="3:5" ht="20.149999999999999" customHeight="1" thickBot="1" x14ac:dyDescent="0.4">
      <c r="C19" s="56" t="s">
        <v>365</v>
      </c>
      <c r="D19" s="122" t="s">
        <v>159</v>
      </c>
      <c r="E19" s="113"/>
    </row>
    <row r="20" spans="3:5" ht="20.149999999999999" customHeight="1" thickBot="1" x14ac:dyDescent="0.4">
      <c r="C20" s="47" t="s">
        <v>364</v>
      </c>
      <c r="D20" s="123" t="s">
        <v>158</v>
      </c>
      <c r="E20" s="113"/>
    </row>
    <row r="21" spans="3:5" ht="20.149999999999999" customHeight="1" thickBot="1" x14ac:dyDescent="0.4">
      <c r="C21" s="81" t="s">
        <v>399</v>
      </c>
      <c r="D21" s="124" t="s">
        <v>158</v>
      </c>
      <c r="E21" s="113"/>
    </row>
    <row r="22" spans="3:5" ht="20.149999999999999" customHeight="1" thickBot="1" x14ac:dyDescent="0.4">
      <c r="C22" s="82" t="s">
        <v>386</v>
      </c>
      <c r="D22" s="125" t="s">
        <v>160</v>
      </c>
      <c r="E22" s="113"/>
    </row>
    <row r="23" spans="3:5" ht="13.75" customHeight="1" thickBot="1" x14ac:dyDescent="0.4"/>
    <row r="24" spans="3:5" ht="13.75" customHeight="1" thickBot="1" x14ac:dyDescent="0.4">
      <c r="C24" s="56" t="s">
        <v>130</v>
      </c>
      <c r="D24" s="55" t="s">
        <v>131</v>
      </c>
      <c r="E24" s="55" t="s">
        <v>132</v>
      </c>
    </row>
    <row r="25" spans="3:5" ht="13.75" customHeight="1" thickBot="1" x14ac:dyDescent="0.4">
      <c r="C25" s="47"/>
      <c r="D25" s="48"/>
      <c r="E25" s="48"/>
    </row>
    <row r="26" spans="3:5" ht="13.75" customHeight="1" thickBot="1" x14ac:dyDescent="0.4">
      <c r="C26" s="47" t="s">
        <v>133</v>
      </c>
      <c r="D26" s="48" t="s">
        <v>134</v>
      </c>
      <c r="E26" s="48" t="s">
        <v>135</v>
      </c>
    </row>
    <row r="27" spans="3:5" ht="13.75" customHeight="1" thickBot="1" x14ac:dyDescent="0.4">
      <c r="C27" s="147" t="s">
        <v>445</v>
      </c>
      <c r="D27" s="126" t="s">
        <v>445</v>
      </c>
      <c r="E27" s="126" t="s">
        <v>445</v>
      </c>
    </row>
    <row r="28" spans="3:5" ht="13.75" customHeight="1" x14ac:dyDescent="0.35"/>
    <row r="29" spans="3:5" ht="13.75" customHeight="1" thickBot="1" x14ac:dyDescent="0.4">
      <c r="C29" s="20" t="s">
        <v>384</v>
      </c>
    </row>
    <row r="30" spans="3:5" ht="48" customHeight="1" thickBot="1" x14ac:dyDescent="0.4">
      <c r="C30" s="156" t="s">
        <v>426</v>
      </c>
      <c r="D30" s="157"/>
      <c r="E30" s="158"/>
    </row>
    <row r="31" spans="3:5" ht="13.75" customHeight="1" thickBot="1" x14ac:dyDescent="0.4">
      <c r="C31" s="153" t="s">
        <v>421</v>
      </c>
      <c r="D31" s="154"/>
      <c r="E31" s="155"/>
    </row>
    <row r="32" spans="3:5" ht="13.75" customHeight="1" thickBot="1" x14ac:dyDescent="0.4">
      <c r="C32" s="153" t="s">
        <v>422</v>
      </c>
      <c r="D32" s="154"/>
      <c r="E32" s="155"/>
    </row>
    <row r="33" spans="3:5" ht="13.75" customHeight="1" thickBot="1" x14ac:dyDescent="0.4">
      <c r="C33" s="153" t="s">
        <v>443</v>
      </c>
      <c r="D33" s="154"/>
      <c r="E33" s="155"/>
    </row>
    <row r="34" spans="3:5" ht="13.75" customHeight="1" thickBot="1" x14ac:dyDescent="0.4">
      <c r="C34" s="153" t="s">
        <v>470</v>
      </c>
      <c r="D34" s="154"/>
      <c r="E34" s="155"/>
    </row>
    <row r="35" spans="3:5" ht="13.75" customHeight="1" thickBot="1" x14ac:dyDescent="0.4">
      <c r="C35" s="153" t="s">
        <v>472</v>
      </c>
      <c r="D35" s="154"/>
      <c r="E35" s="155"/>
    </row>
    <row r="36" spans="3:5" ht="13.75" customHeight="1" thickBot="1" x14ac:dyDescent="0.4">
      <c r="C36" s="153" t="s">
        <v>469</v>
      </c>
      <c r="D36" s="154"/>
      <c r="E36" s="155"/>
    </row>
    <row r="37" spans="3:5" ht="13.75" customHeight="1" thickBot="1" x14ac:dyDescent="0.4">
      <c r="C37" s="153" t="s">
        <v>473</v>
      </c>
      <c r="D37" s="154"/>
      <c r="E37" s="155"/>
    </row>
    <row r="38" spans="3:5" ht="13.75" customHeight="1" x14ac:dyDescent="0.35"/>
    <row r="39" spans="3:5" x14ac:dyDescent="0.35">
      <c r="C39" s="114" t="s">
        <v>217</v>
      </c>
    </row>
    <row r="40" spans="3:5" x14ac:dyDescent="0.35">
      <c r="C40" s="116" t="s">
        <v>220</v>
      </c>
    </row>
    <row r="41" spans="3:5" x14ac:dyDescent="0.35">
      <c r="C41" s="116" t="s">
        <v>411</v>
      </c>
      <c r="D41" s="115"/>
    </row>
    <row r="42" spans="3:5" x14ac:dyDescent="0.35">
      <c r="C42" s="116" t="s">
        <v>410</v>
      </c>
      <c r="D42" s="115"/>
    </row>
    <row r="43" spans="3:5" x14ac:dyDescent="0.35">
      <c r="C43" s="16" t="s">
        <v>412</v>
      </c>
      <c r="D43" s="115"/>
    </row>
    <row r="44" spans="3:5" x14ac:dyDescent="0.35">
      <c r="C44" s="116" t="s">
        <v>218</v>
      </c>
      <c r="D44" s="115"/>
    </row>
    <row r="45" spans="3:5" x14ac:dyDescent="0.35">
      <c r="C45" s="116" t="s">
        <v>219</v>
      </c>
      <c r="D45" s="115"/>
    </row>
    <row r="46" spans="3:5" x14ac:dyDescent="0.35">
      <c r="C46" s="140" t="s">
        <v>136</v>
      </c>
      <c r="D46" s="115"/>
    </row>
    <row r="47" spans="3:5" ht="14.5" customHeight="1" x14ac:dyDescent="0.35">
      <c r="C47" s="114" t="s">
        <v>137</v>
      </c>
    </row>
    <row r="48" spans="3:5" ht="32.5" customHeight="1" x14ac:dyDescent="0.35">
      <c r="C48" s="160" t="s">
        <v>221</v>
      </c>
      <c r="D48" s="160"/>
      <c r="E48" s="160"/>
    </row>
    <row r="50" spans="3:5" ht="14.5" customHeight="1" x14ac:dyDescent="0.35">
      <c r="C50" s="78" t="s">
        <v>138</v>
      </c>
    </row>
    <row r="52" spans="3:5" ht="143.5" customHeight="1" x14ac:dyDescent="0.35">
      <c r="C52" s="159" t="s">
        <v>492</v>
      </c>
      <c r="D52" s="159"/>
      <c r="E52" s="159"/>
    </row>
    <row r="53" spans="3:5" ht="14.5" customHeight="1" x14ac:dyDescent="0.35">
      <c r="C53" s="112" t="s">
        <v>139</v>
      </c>
    </row>
    <row r="55" spans="3:5" ht="33" customHeight="1" x14ac:dyDescent="0.35">
      <c r="C55" s="159" t="s">
        <v>140</v>
      </c>
      <c r="D55" s="159"/>
      <c r="E55" s="159"/>
    </row>
    <row r="56" spans="3:5" ht="14.5" customHeight="1" x14ac:dyDescent="0.35">
      <c r="C56" s="117"/>
    </row>
    <row r="57" spans="3:5" ht="33" customHeight="1" x14ac:dyDescent="0.35">
      <c r="C57" s="159" t="s">
        <v>141</v>
      </c>
      <c r="D57" s="159"/>
      <c r="E57" s="159"/>
    </row>
    <row r="58" spans="3:5" ht="14.5" customHeight="1" x14ac:dyDescent="0.35">
      <c r="C58" s="117"/>
    </row>
    <row r="59" spans="3:5" ht="33" customHeight="1" x14ac:dyDescent="0.35">
      <c r="C59" s="159" t="s">
        <v>142</v>
      </c>
      <c r="D59" s="159"/>
      <c r="E59" s="159"/>
    </row>
    <row r="60" spans="3:5" ht="14.5" customHeight="1" x14ac:dyDescent="0.35">
      <c r="C60" s="117"/>
    </row>
    <row r="61" spans="3:5" ht="33" customHeight="1" x14ac:dyDescent="0.35">
      <c r="C61" s="159" t="s">
        <v>143</v>
      </c>
      <c r="D61" s="159"/>
      <c r="E61" s="159"/>
    </row>
    <row r="62" spans="3:5" ht="14.5" customHeight="1" x14ac:dyDescent="0.35">
      <c r="C62" s="117"/>
    </row>
    <row r="63" spans="3:5" ht="66" customHeight="1" x14ac:dyDescent="0.35">
      <c r="C63" s="159" t="s">
        <v>144</v>
      </c>
      <c r="D63" s="159"/>
      <c r="E63" s="159"/>
    </row>
  </sheetData>
  <sheetProtection algorithmName="SHA-512" hashValue="zhXPeAgySAKzSXPnmqQyV032ebDeZQAkHncijTmyNfRYHYezqQmpN/OZtUbQlAfdIaEhvCB2mfMKxV3V5+t/Vg==" saltValue="qhVZ+Xpk1ojrXuKn2FBFZA==" spinCount="100000" sheet="1" objects="1" scenarios="1" selectLockedCells="1"/>
  <mergeCells count="26">
    <mergeCell ref="D16:E16"/>
    <mergeCell ref="D17:E17"/>
    <mergeCell ref="D11:E11"/>
    <mergeCell ref="D12:E12"/>
    <mergeCell ref="D13:E13"/>
    <mergeCell ref="D15:E15"/>
    <mergeCell ref="D6:E6"/>
    <mergeCell ref="D7:E7"/>
    <mergeCell ref="D8:E8"/>
    <mergeCell ref="D9:E9"/>
    <mergeCell ref="D10:E10"/>
    <mergeCell ref="C61:E61"/>
    <mergeCell ref="C63:E63"/>
    <mergeCell ref="C48:E48"/>
    <mergeCell ref="C52:E52"/>
    <mergeCell ref="C55:E55"/>
    <mergeCell ref="C57:E57"/>
    <mergeCell ref="C59:E59"/>
    <mergeCell ref="C37:E37"/>
    <mergeCell ref="C30:E30"/>
    <mergeCell ref="C32:E32"/>
    <mergeCell ref="C36:E36"/>
    <mergeCell ref="C31:E31"/>
    <mergeCell ref="C33:E33"/>
    <mergeCell ref="C34:E34"/>
    <mergeCell ref="C35:E35"/>
  </mergeCells>
  <conditionalFormatting sqref="D19">
    <cfRule type="cellIs" dxfId="20" priority="2" operator="equal">
      <formula>$H$20</formula>
    </cfRule>
  </conditionalFormatting>
  <conditionalFormatting sqref="D19 D21:D22">
    <cfRule type="cellIs" dxfId="19" priority="1" operator="equal">
      <formula>$H$19</formula>
    </cfRule>
  </conditionalFormatting>
  <dataValidations count="1">
    <dataValidation type="list" allowBlank="1" showInputMessage="1" showErrorMessage="1" sqref="O13" xr:uid="{00000000-0002-0000-02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Mapping!$A$2:$A$3</xm:f>
          </x14:formula1>
          <xm:sqref>D19:D21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S75"/>
  <sheetViews>
    <sheetView topLeftCell="A58" zoomScale="85" zoomScaleNormal="85" workbookViewId="0">
      <selection activeCell="C63" sqref="C63"/>
    </sheetView>
  </sheetViews>
  <sheetFormatPr defaultColWidth="9.1796875" defaultRowHeight="14.5" customHeight="1" x14ac:dyDescent="0.35"/>
  <cols>
    <col min="1" max="1" width="9.1796875" style="16" customWidth="1"/>
    <col min="2" max="2" width="14.453125" style="16" customWidth="1"/>
    <col min="3" max="3" width="11" style="16" customWidth="1"/>
    <col min="4" max="4" width="67.7265625" style="16" customWidth="1"/>
    <col min="5" max="5" width="12.54296875" style="16" customWidth="1"/>
    <col min="6" max="6" width="46.54296875" style="16" customWidth="1"/>
    <col min="7" max="7" width="9.1796875" style="16" customWidth="1"/>
    <col min="8" max="8" width="52.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3:6" x14ac:dyDescent="0.35"/>
    <row r="2" spans="3:6" ht="10" customHeight="1" x14ac:dyDescent="0.35"/>
    <row r="3" spans="3:6" ht="5.5" customHeight="1" x14ac:dyDescent="0.35"/>
    <row r="4" spans="3:6" ht="7.5" customHeight="1" x14ac:dyDescent="0.35"/>
    <row r="5" spans="3:6" x14ac:dyDescent="0.35">
      <c r="E5" s="17"/>
      <c r="F5" s="17"/>
    </row>
    <row r="6" spans="3:6" x14ac:dyDescent="0.35">
      <c r="E6" s="17"/>
      <c r="F6" s="17"/>
    </row>
    <row r="7" spans="3:6" x14ac:dyDescent="0.35">
      <c r="E7" s="17"/>
      <c r="F7" s="17"/>
    </row>
    <row r="8" spans="3:6" ht="15" customHeight="1" x14ac:dyDescent="0.35">
      <c r="C8" s="188" t="s">
        <v>145</v>
      </c>
      <c r="D8" s="189"/>
      <c r="E8" s="189"/>
      <c r="F8" s="189"/>
    </row>
    <row r="9" spans="3:6" ht="15" customHeight="1" x14ac:dyDescent="0.35">
      <c r="C9" s="54"/>
      <c r="D9" s="54"/>
      <c r="E9" s="15"/>
      <c r="F9"/>
    </row>
    <row r="10" spans="3:6" ht="15" customHeight="1" x14ac:dyDescent="0.35">
      <c r="C10" s="57" t="s">
        <v>216</v>
      </c>
      <c r="D10" s="54"/>
      <c r="E10" s="54"/>
      <c r="F10" s="54"/>
    </row>
    <row r="11" spans="3:6" ht="15" customHeight="1" thickBot="1" x14ac:dyDescent="0.4">
      <c r="C11" s="54"/>
      <c r="D11" s="54"/>
      <c r="E11" s="54"/>
      <c r="F11" s="54"/>
    </row>
    <row r="12" spans="3:6" ht="15" customHeight="1" thickBot="1" x14ac:dyDescent="0.4">
      <c r="C12" s="58" t="s">
        <v>146</v>
      </c>
      <c r="D12" s="182" t="s">
        <v>147</v>
      </c>
      <c r="E12" s="183"/>
      <c r="F12" s="186"/>
    </row>
    <row r="13" spans="3:6" ht="15" customHeight="1" thickBot="1" x14ac:dyDescent="0.4">
      <c r="C13" s="59" t="s">
        <v>148</v>
      </c>
      <c r="D13" s="182" t="s">
        <v>149</v>
      </c>
      <c r="E13" s="183" t="s">
        <v>149</v>
      </c>
      <c r="F13" s="186" t="s">
        <v>149</v>
      </c>
    </row>
    <row r="14" spans="3:6" ht="15" customHeight="1" thickBot="1" x14ac:dyDescent="0.4">
      <c r="C14" s="59" t="s">
        <v>150</v>
      </c>
      <c r="D14" s="182" t="s">
        <v>402</v>
      </c>
      <c r="E14" s="183" t="s">
        <v>151</v>
      </c>
      <c r="F14" s="186" t="s">
        <v>151</v>
      </c>
    </row>
    <row r="15" spans="3:6" ht="15" customHeight="1" thickBot="1" x14ac:dyDescent="0.4">
      <c r="C15" s="59" t="s">
        <v>152</v>
      </c>
      <c r="D15" s="182" t="s">
        <v>153</v>
      </c>
      <c r="E15" s="183" t="s">
        <v>153</v>
      </c>
      <c r="F15" s="186" t="s">
        <v>153</v>
      </c>
    </row>
    <row r="16" spans="3:6" ht="15" customHeight="1" x14ac:dyDescent="0.35">
      <c r="C16" s="54"/>
      <c r="D16" s="54"/>
      <c r="E16" s="54"/>
      <c r="F16" s="54"/>
    </row>
    <row r="17" spans="3:19" ht="15" customHeight="1" x14ac:dyDescent="0.35">
      <c r="C17" s="60" t="s">
        <v>154</v>
      </c>
      <c r="D17" s="54"/>
      <c r="E17" s="54"/>
      <c r="F17" s="54"/>
    </row>
    <row r="18" spans="3:19" ht="15" customHeight="1" thickBot="1" x14ac:dyDescent="0.4">
      <c r="C18" s="54"/>
      <c r="D18" s="54"/>
      <c r="E18" s="54"/>
      <c r="F18" s="54"/>
    </row>
    <row r="19" spans="3:19" ht="15" customHeight="1" thickBot="1" x14ac:dyDescent="0.4">
      <c r="C19" s="184" t="s">
        <v>155</v>
      </c>
      <c r="D19" s="185"/>
      <c r="E19" s="61" t="s">
        <v>156</v>
      </c>
      <c r="F19" s="62" t="s">
        <v>157</v>
      </c>
      <c r="I19" s="18"/>
      <c r="J19" s="18"/>
      <c r="K19" s="18"/>
      <c r="L19" s="18"/>
      <c r="M19" s="18"/>
      <c r="N19" s="18"/>
      <c r="O19" s="18"/>
      <c r="P19" s="18"/>
      <c r="Q19" s="18"/>
      <c r="R19" s="18"/>
      <c r="S19" s="18"/>
    </row>
    <row r="20" spans="3:19" ht="25" customHeight="1" thickBot="1" x14ac:dyDescent="0.4">
      <c r="C20" s="182" t="s">
        <v>394</v>
      </c>
      <c r="D20" s="183"/>
      <c r="E20" s="105" t="s">
        <v>158</v>
      </c>
      <c r="F20" s="141" t="s">
        <v>452</v>
      </c>
    </row>
    <row r="21" spans="3:19" ht="25" customHeight="1" thickBot="1" x14ac:dyDescent="0.4">
      <c r="C21" s="182" t="s">
        <v>395</v>
      </c>
      <c r="D21" s="183"/>
      <c r="E21" s="105" t="s">
        <v>158</v>
      </c>
      <c r="F21" s="141" t="s">
        <v>453</v>
      </c>
    </row>
    <row r="22" spans="3:19" ht="25" customHeight="1" thickBot="1" x14ac:dyDescent="0.4">
      <c r="C22" s="182" t="s">
        <v>396</v>
      </c>
      <c r="D22" s="183"/>
      <c r="E22" s="105" t="s">
        <v>158</v>
      </c>
      <c r="F22" s="141" t="s">
        <v>423</v>
      </c>
    </row>
    <row r="23" spans="3:19" ht="25" customHeight="1" thickBot="1" x14ac:dyDescent="0.4">
      <c r="C23" s="182" t="s">
        <v>397</v>
      </c>
      <c r="D23" s="183"/>
      <c r="E23" s="105" t="s">
        <v>158</v>
      </c>
      <c r="F23" s="141" t="s">
        <v>424</v>
      </c>
    </row>
    <row r="24" spans="3:19" ht="25" customHeight="1" thickBot="1" x14ac:dyDescent="0.4">
      <c r="C24" s="182" t="s">
        <v>398</v>
      </c>
      <c r="D24" s="183"/>
      <c r="E24" s="105" t="s">
        <v>158</v>
      </c>
      <c r="F24" s="141" t="s">
        <v>495</v>
      </c>
    </row>
    <row r="25" spans="3:19" ht="15" customHeight="1" thickBot="1" x14ac:dyDescent="0.4">
      <c r="C25" s="54"/>
      <c r="D25" s="54"/>
      <c r="E25" s="54"/>
      <c r="F25" s="54"/>
    </row>
    <row r="26" spans="3:19" ht="45.65" customHeight="1" thickBot="1" x14ac:dyDescent="0.4">
      <c r="C26" s="62" t="s">
        <v>161</v>
      </c>
      <c r="D26" s="182" t="str">
        <f>IF(COUNTIF($E$20:$E$24,"")=5,"",IF(COUNTIF($E$20:$E$24,"Yes")=5,"Contract exists between the parties","Contract does not exists between the parties"))</f>
        <v>Contract exists between the parties</v>
      </c>
      <c r="E26" s="183"/>
      <c r="F26" s="186"/>
    </row>
    <row r="27" spans="3:19" x14ac:dyDescent="0.35">
      <c r="C27" s="54"/>
      <c r="D27" s="54"/>
      <c r="E27" s="54"/>
      <c r="F27" s="54"/>
    </row>
    <row r="28" spans="3:19" x14ac:dyDescent="0.35">
      <c r="C28" s="54"/>
      <c r="D28" s="54"/>
      <c r="E28" s="54"/>
      <c r="F28" s="54"/>
    </row>
    <row r="29" spans="3:19" x14ac:dyDescent="0.35">
      <c r="C29" s="63" t="s">
        <v>162</v>
      </c>
      <c r="D29" s="54"/>
      <c r="E29" s="54"/>
      <c r="F29" s="54"/>
    </row>
    <row r="30" spans="3:19" x14ac:dyDescent="0.35">
      <c r="C30" s="54"/>
      <c r="D30" s="54"/>
      <c r="E30" s="54"/>
      <c r="F30" s="54"/>
    </row>
    <row r="31" spans="3:19" x14ac:dyDescent="0.35">
      <c r="C31" s="64" t="s">
        <v>163</v>
      </c>
      <c r="D31" s="54"/>
      <c r="E31" s="54"/>
      <c r="F31" s="54"/>
    </row>
    <row r="32" spans="3:19" x14ac:dyDescent="0.35">
      <c r="C32" s="64" t="s">
        <v>164</v>
      </c>
      <c r="D32" s="54"/>
      <c r="E32" s="54"/>
      <c r="F32" s="54"/>
    </row>
    <row r="33" spans="3:6" x14ac:dyDescent="0.35">
      <c r="C33" s="64" t="s">
        <v>165</v>
      </c>
      <c r="D33" s="54"/>
      <c r="E33" s="54"/>
      <c r="F33" s="54"/>
    </row>
    <row r="34" spans="3:6" x14ac:dyDescent="0.35">
      <c r="C34" s="64" t="s">
        <v>166</v>
      </c>
      <c r="D34" s="54"/>
      <c r="E34" s="54"/>
      <c r="F34" s="54"/>
    </row>
    <row r="35" spans="3:6" x14ac:dyDescent="0.35">
      <c r="C35" s="54"/>
      <c r="D35" s="54"/>
      <c r="E35" s="54"/>
      <c r="F35" s="54"/>
    </row>
    <row r="36" spans="3:6" x14ac:dyDescent="0.35">
      <c r="C36" s="15" t="s">
        <v>167</v>
      </c>
      <c r="D36" s="54"/>
      <c r="E36" s="54"/>
      <c r="F36" s="54"/>
    </row>
    <row r="37" spans="3:6" ht="14.5" customHeight="1" x14ac:dyDescent="0.35">
      <c r="C37" s="64" t="s">
        <v>168</v>
      </c>
      <c r="D37" s="54"/>
      <c r="E37" s="54"/>
      <c r="F37" s="54"/>
    </row>
    <row r="38" spans="3:6" ht="14.5" customHeight="1" thickBot="1" x14ac:dyDescent="0.4">
      <c r="C38" s="54"/>
      <c r="D38" s="54"/>
      <c r="E38" s="54"/>
      <c r="F38" s="54"/>
    </row>
    <row r="39" spans="3:6" ht="31.5" customHeight="1" thickBot="1" x14ac:dyDescent="0.4">
      <c r="C39" s="173" t="s">
        <v>169</v>
      </c>
      <c r="D39" s="175"/>
      <c r="E39" s="174"/>
      <c r="F39" s="46" t="s">
        <v>158</v>
      </c>
    </row>
    <row r="40" spans="3:6" ht="14.5" customHeight="1" thickBot="1" x14ac:dyDescent="0.4">
      <c r="C40" s="54"/>
      <c r="D40" s="54"/>
      <c r="E40" s="54"/>
      <c r="F40" s="54"/>
    </row>
    <row r="41" spans="3:6" ht="14.5" customHeight="1" thickBot="1" x14ac:dyDescent="0.4">
      <c r="C41" s="176" t="s">
        <v>222</v>
      </c>
      <c r="D41" s="177"/>
      <c r="E41" s="177"/>
      <c r="F41" s="178"/>
    </row>
    <row r="42" spans="3:6" ht="14.5" customHeight="1" thickBot="1" x14ac:dyDescent="0.4">
      <c r="C42" s="54"/>
      <c r="D42" s="54"/>
      <c r="E42" s="54"/>
      <c r="F42" s="54"/>
    </row>
    <row r="43" spans="3:6" ht="25" customHeight="1" thickBot="1" x14ac:dyDescent="0.4">
      <c r="C43" s="173" t="s">
        <v>170</v>
      </c>
      <c r="D43" s="175"/>
      <c r="E43" s="174" t="s">
        <v>159</v>
      </c>
      <c r="F43" s="46" t="s">
        <v>159</v>
      </c>
    </row>
    <row r="44" spans="3:6" ht="25" customHeight="1" thickBot="1" x14ac:dyDescent="0.4">
      <c r="C44" s="173" t="s">
        <v>171</v>
      </c>
      <c r="D44" s="175"/>
      <c r="E44" s="174" t="s">
        <v>159</v>
      </c>
      <c r="F44" s="46" t="s">
        <v>159</v>
      </c>
    </row>
    <row r="45" spans="3:6" ht="25" customHeight="1" thickBot="1" x14ac:dyDescent="0.4">
      <c r="C45" s="173" t="s">
        <v>223</v>
      </c>
      <c r="D45" s="175"/>
      <c r="E45" s="174" t="s">
        <v>159</v>
      </c>
      <c r="F45" s="46" t="s">
        <v>159</v>
      </c>
    </row>
    <row r="46" spans="3:6" ht="14.5" customHeight="1" thickBot="1" x14ac:dyDescent="0.4">
      <c r="C46" s="54"/>
      <c r="D46" s="54"/>
      <c r="E46" s="54"/>
      <c r="F46" s="54"/>
    </row>
    <row r="47" spans="3:6" ht="14.5" customHeight="1" thickBot="1" x14ac:dyDescent="0.4">
      <c r="C47" s="176" t="s">
        <v>224</v>
      </c>
      <c r="D47" s="177"/>
      <c r="E47" s="177"/>
      <c r="F47" s="178"/>
    </row>
    <row r="48" spans="3:6" ht="14.5" customHeight="1" thickBot="1" x14ac:dyDescent="0.4">
      <c r="C48" s="65"/>
      <c r="D48" s="54"/>
      <c r="E48" s="54"/>
      <c r="F48" s="54"/>
    </row>
    <row r="49" spans="3:6" ht="14.5" customHeight="1" thickBot="1" x14ac:dyDescent="0.4">
      <c r="C49" s="176" t="s">
        <v>172</v>
      </c>
      <c r="D49" s="177"/>
      <c r="E49" s="177"/>
      <c r="F49" s="178"/>
    </row>
    <row r="50" spans="3:6" ht="72" customHeight="1" thickBot="1" x14ac:dyDescent="0.4">
      <c r="C50" s="179" t="s">
        <v>425</v>
      </c>
      <c r="D50" s="180"/>
      <c r="E50" s="180"/>
      <c r="F50" s="181"/>
    </row>
    <row r="51" spans="3:6" ht="20.5" customHeight="1" thickBot="1" x14ac:dyDescent="0.4">
      <c r="C51" s="176" t="s">
        <v>366</v>
      </c>
      <c r="D51" s="177"/>
      <c r="E51" s="177"/>
      <c r="F51" s="178"/>
    </row>
    <row r="52" spans="3:6" ht="65.150000000000006" customHeight="1" thickBot="1" x14ac:dyDescent="0.4">
      <c r="C52" s="179" t="s">
        <v>451</v>
      </c>
      <c r="D52" s="180"/>
      <c r="E52" s="180"/>
      <c r="F52" s="181"/>
    </row>
    <row r="53" spans="3:6" ht="34.5" customHeight="1" thickBot="1" x14ac:dyDescent="0.4">
      <c r="C53" s="187" t="s">
        <v>215</v>
      </c>
      <c r="D53" s="187"/>
      <c r="E53" s="187"/>
      <c r="F53" s="54"/>
    </row>
    <row r="54" spans="3:6" ht="28" customHeight="1" thickBot="1" x14ac:dyDescent="0.4">
      <c r="C54" s="173" t="s">
        <v>211</v>
      </c>
      <c r="D54" s="174"/>
      <c r="E54" s="46" t="s">
        <v>158</v>
      </c>
    </row>
    <row r="55" spans="3:6" ht="13.5" hidden="1" customHeight="1" thickBot="1" x14ac:dyDescent="0.4">
      <c r="C55" s="167" t="s">
        <v>172</v>
      </c>
      <c r="D55" s="168"/>
      <c r="E55" s="169"/>
    </row>
    <row r="56" spans="3:6" ht="54" hidden="1" customHeight="1" thickBot="1" x14ac:dyDescent="0.4">
      <c r="C56" s="170"/>
      <c r="D56" s="171"/>
      <c r="E56" s="172"/>
    </row>
    <row r="57" spans="3:6" ht="20.149999999999999" customHeight="1" thickBot="1" x14ac:dyDescent="0.4">
      <c r="C57" s="54"/>
      <c r="D57" s="54"/>
      <c r="E57" s="54"/>
    </row>
    <row r="58" spans="3:6" ht="20.149999999999999" customHeight="1" thickBot="1" x14ac:dyDescent="0.4">
      <c r="C58" s="173" t="s">
        <v>212</v>
      </c>
      <c r="D58" s="174"/>
      <c r="E58" s="46" t="s">
        <v>159</v>
      </c>
    </row>
    <row r="59" spans="3:6" ht="20.149999999999999" customHeight="1" x14ac:dyDescent="0.35">
      <c r="C59" s="54"/>
      <c r="D59" s="54"/>
      <c r="E59" s="54"/>
    </row>
    <row r="60" spans="3:6" ht="20.149999999999999" hidden="1" customHeight="1" thickBot="1" x14ac:dyDescent="0.4">
      <c r="C60" s="54"/>
      <c r="D60" s="54"/>
      <c r="E60" s="54"/>
    </row>
    <row r="61" spans="3:6" ht="20.149999999999999" hidden="1" customHeight="1" thickBot="1" x14ac:dyDescent="0.4">
      <c r="C61" s="173" t="s">
        <v>213</v>
      </c>
      <c r="D61" s="174"/>
      <c r="E61" s="46"/>
    </row>
    <row r="62" spans="3:6" ht="20.149999999999999" hidden="1" customHeight="1" x14ac:dyDescent="0.35">
      <c r="C62" s="54"/>
      <c r="D62" s="54"/>
      <c r="E62" s="54"/>
    </row>
    <row r="63" spans="3:6" ht="20.149999999999999" customHeight="1" thickBot="1" x14ac:dyDescent="0.4">
      <c r="C63" s="54"/>
      <c r="D63" s="54"/>
      <c r="E63" s="54"/>
    </row>
    <row r="64" spans="3:6" ht="20.149999999999999" customHeight="1" thickBot="1" x14ac:dyDescent="0.4">
      <c r="C64" s="173" t="s">
        <v>214</v>
      </c>
      <c r="D64" s="174"/>
      <c r="E64" s="46" t="s">
        <v>158</v>
      </c>
    </row>
    <row r="65" spans="3:5" ht="20.149999999999999" hidden="1" customHeight="1" x14ac:dyDescent="0.35">
      <c r="C65" s="54"/>
      <c r="D65" s="54"/>
      <c r="E65" s="66"/>
    </row>
    <row r="66" spans="3:5" ht="14.5" hidden="1" customHeight="1" x14ac:dyDescent="0.35">
      <c r="C66" s="54"/>
      <c r="D66" s="54"/>
      <c r="E66" s="54"/>
    </row>
    <row r="67" spans="3:5" ht="14.5" hidden="1" customHeight="1" x14ac:dyDescent="0.35">
      <c r="C67" s="54"/>
      <c r="D67" s="54"/>
      <c r="E67" s="54"/>
    </row>
    <row r="68" spans="3:5" ht="9.65" hidden="1" customHeight="1" thickBot="1" x14ac:dyDescent="0.4">
      <c r="C68" s="54"/>
      <c r="D68" s="54"/>
      <c r="E68" s="54"/>
    </row>
    <row r="69" spans="3:5" ht="34" hidden="1" customHeight="1" thickBot="1" x14ac:dyDescent="0.4">
      <c r="C69" s="173" t="s">
        <v>348</v>
      </c>
      <c r="D69" s="174"/>
      <c r="E69" s="46"/>
    </row>
    <row r="70" spans="3:5" ht="17.149999999999999" hidden="1" customHeight="1" thickBot="1" x14ac:dyDescent="0.4">
      <c r="C70" s="54"/>
      <c r="D70" s="54"/>
      <c r="E70" s="54"/>
    </row>
    <row r="71" spans="3:5" ht="20.149999999999999" customHeight="1" thickBot="1" x14ac:dyDescent="0.4">
      <c r="C71" s="167" t="s">
        <v>172</v>
      </c>
      <c r="D71" s="168"/>
      <c r="E71" s="169"/>
    </row>
    <row r="72" spans="3:5" ht="62.5" customHeight="1" thickBot="1" x14ac:dyDescent="0.4">
      <c r="C72" s="170" t="s">
        <v>427</v>
      </c>
      <c r="D72" s="171"/>
      <c r="E72" s="172"/>
    </row>
    <row r="73" spans="3:5" ht="14.5" hidden="1" customHeight="1" thickBot="1" x14ac:dyDescent="0.4">
      <c r="C73" s="54"/>
      <c r="D73" s="54"/>
      <c r="E73" s="54"/>
    </row>
    <row r="74" spans="3:5" ht="14.5" customHeight="1" thickBot="1" x14ac:dyDescent="0.4">
      <c r="C74" s="167" t="s">
        <v>367</v>
      </c>
      <c r="D74" s="168"/>
      <c r="E74" s="169"/>
    </row>
    <row r="75" spans="3:5" ht="66.650000000000006" customHeight="1" thickBot="1" x14ac:dyDescent="0.4">
      <c r="C75" s="170" t="s">
        <v>454</v>
      </c>
      <c r="D75" s="171"/>
      <c r="E75" s="172"/>
    </row>
  </sheetData>
  <sheetProtection selectLockedCells="1"/>
  <mergeCells count="34">
    <mergeCell ref="C8:F8"/>
    <mergeCell ref="D12:F12"/>
    <mergeCell ref="D13:F13"/>
    <mergeCell ref="D14:F14"/>
    <mergeCell ref="D15:F15"/>
    <mergeCell ref="C20:D20"/>
    <mergeCell ref="C19:D19"/>
    <mergeCell ref="C54:D54"/>
    <mergeCell ref="C21:D21"/>
    <mergeCell ref="C22:D22"/>
    <mergeCell ref="C23:D23"/>
    <mergeCell ref="C24:D24"/>
    <mergeCell ref="D26:F26"/>
    <mergeCell ref="C39:E39"/>
    <mergeCell ref="C41:F41"/>
    <mergeCell ref="C43:E43"/>
    <mergeCell ref="C44:E44"/>
    <mergeCell ref="C53:E53"/>
    <mergeCell ref="C47:F47"/>
    <mergeCell ref="C49:F49"/>
    <mergeCell ref="C50:F50"/>
    <mergeCell ref="C56:E56"/>
    <mergeCell ref="C69:D69"/>
    <mergeCell ref="C71:E71"/>
    <mergeCell ref="C72:E72"/>
    <mergeCell ref="C45:E45"/>
    <mergeCell ref="C55:E55"/>
    <mergeCell ref="C51:F51"/>
    <mergeCell ref="C52:F52"/>
    <mergeCell ref="C74:E74"/>
    <mergeCell ref="C75:E75"/>
    <mergeCell ref="C58:D58"/>
    <mergeCell ref="C61:D61"/>
    <mergeCell ref="C64:D64"/>
  </mergeCells>
  <conditionalFormatting sqref="E20:F24 D26:F26 F39 F43:F45 C50:F50 C52:F52 E54 C75:E75">
    <cfRule type="cellIs" dxfId="18" priority="1" operator="equal">
      <formula>$B$5</formula>
    </cfRule>
  </conditionalFormatting>
  <dataValidations count="2">
    <dataValidation type="list" allowBlank="1" showInputMessage="1" showErrorMessage="1" sqref="O13" xr:uid="{00000000-0002-0000-0300-000000000000}">
      <formula1>"High,Medium,Low"</formula1>
    </dataValidation>
    <dataValidation type="list" allowBlank="1" showInputMessage="1" showErrorMessage="1" sqref="E59 E62:E65" xr:uid="{00000000-0002-0000-03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Mapping!$A$2:$A$4</xm:f>
          </x14:formula1>
          <xm:sqref>E58 E69:E70 E61 E43:F45</xm:sqref>
        </x14:dataValidation>
        <x14:dataValidation type="list" allowBlank="1" showInputMessage="1" showErrorMessage="1" xr:uid="{00000000-0002-0000-0300-000003000000}">
          <x14:formula1>
            <xm:f>Mapping!$A$2:$A$3</xm:f>
          </x14:formula1>
          <xm:sqref>F39 E20:E24</xm:sqref>
        </x14:dataValidation>
        <x14:dataValidation type="list" allowBlank="1" showInputMessage="1" showErrorMessage="1" xr:uid="{00000000-0002-0000-0300-000004000000}">
          <x14:formula1>
            <xm:f>Mapping!$A$2</xm:f>
          </x14:formula1>
          <xm:sqref>E54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1:I32"/>
  <sheetViews>
    <sheetView topLeftCell="A26" zoomScale="70" zoomScaleNormal="70" workbookViewId="0">
      <selection activeCell="L26" sqref="L26"/>
    </sheetView>
  </sheetViews>
  <sheetFormatPr defaultColWidth="9.1796875" defaultRowHeight="14.5" customHeight="1" x14ac:dyDescent="0.35"/>
  <cols>
    <col min="1" max="3" width="9.1796875" style="16" customWidth="1"/>
    <col min="4" max="4" width="91.453125" style="16" customWidth="1"/>
    <col min="5" max="6" width="9.1796875" style="16" customWidth="1"/>
    <col min="7" max="7" width="20.1796875" style="16" bestFit="1" customWidth="1"/>
    <col min="8" max="8" width="53.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9" x14ac:dyDescent="0.35"/>
    <row r="2" spans="4:9" ht="10" customHeight="1" x14ac:dyDescent="0.35"/>
    <row r="3" spans="4:9" ht="5.5" customHeight="1" x14ac:dyDescent="0.35"/>
    <row r="4" spans="4:9" ht="7.5" customHeight="1" x14ac:dyDescent="0.35"/>
    <row r="5" spans="4:9" x14ac:dyDescent="0.35">
      <c r="E5" s="17"/>
      <c r="F5" s="17"/>
    </row>
    <row r="6" spans="4:9" ht="15" thickBot="1" x14ac:dyDescent="0.4">
      <c r="E6" s="17"/>
      <c r="F6" s="17"/>
    </row>
    <row r="7" spans="4:9" ht="15" thickBot="1" x14ac:dyDescent="0.4">
      <c r="D7" s="190" t="s">
        <v>173</v>
      </c>
      <c r="E7" s="191"/>
      <c r="F7" s="191"/>
      <c r="G7" s="191"/>
      <c r="H7" s="192"/>
    </row>
    <row r="8" spans="4:9" ht="33" customHeight="1" thickBot="1" x14ac:dyDescent="0.4">
      <c r="D8" s="170" t="s">
        <v>174</v>
      </c>
      <c r="E8" s="171"/>
      <c r="F8" s="171"/>
      <c r="G8" s="171"/>
      <c r="H8" s="172"/>
    </row>
    <row r="9" spans="4:9" ht="36.65" customHeight="1" x14ac:dyDescent="0.35">
      <c r="D9" s="193" t="s">
        <v>408</v>
      </c>
      <c r="E9" s="193"/>
      <c r="F9" s="193"/>
      <c r="G9" s="193"/>
      <c r="H9" s="193"/>
    </row>
    <row r="10" spans="4:9" ht="15" customHeight="1" x14ac:dyDescent="0.35">
      <c r="D10" s="139" t="s">
        <v>175</v>
      </c>
    </row>
    <row r="11" spans="4:9" ht="15" customHeight="1" x14ac:dyDescent="0.35">
      <c r="D11" s="16" t="s">
        <v>176</v>
      </c>
    </row>
    <row r="12" spans="4:9" ht="25" customHeight="1" thickBot="1" x14ac:dyDescent="0.4">
      <c r="D12" s="194" t="s">
        <v>225</v>
      </c>
      <c r="E12" s="194"/>
      <c r="F12" s="194"/>
      <c r="G12" s="194"/>
      <c r="H12" s="194"/>
      <c r="I12" s="98"/>
    </row>
    <row r="13" spans="4:9" ht="15" customHeight="1" thickBot="1" x14ac:dyDescent="0.4">
      <c r="D13" s="190" t="s">
        <v>177</v>
      </c>
      <c r="E13" s="191"/>
      <c r="F13" s="191"/>
      <c r="G13" s="191"/>
      <c r="H13" s="192"/>
    </row>
    <row r="14" spans="4:9" s="21" customFormat="1" ht="50.15" customHeight="1" thickBot="1" x14ac:dyDescent="0.4">
      <c r="D14" s="196" t="s">
        <v>226</v>
      </c>
      <c r="E14" s="197"/>
      <c r="F14" s="197"/>
      <c r="G14" s="197"/>
      <c r="H14" s="198"/>
    </row>
    <row r="15" spans="4:9" ht="15" customHeight="1" thickBot="1" x14ac:dyDescent="0.4"/>
    <row r="16" spans="4:9" ht="37" customHeight="1" thickBot="1" x14ac:dyDescent="0.4">
      <c r="D16" s="195" t="s">
        <v>409</v>
      </c>
      <c r="E16" s="191"/>
      <c r="F16" s="191"/>
      <c r="G16" s="191"/>
      <c r="H16" s="192"/>
    </row>
    <row r="17" spans="4:8" ht="25" customHeight="1" thickBot="1" x14ac:dyDescent="0.4">
      <c r="D17" s="170" t="s">
        <v>179</v>
      </c>
      <c r="E17" s="171"/>
      <c r="F17" s="171"/>
      <c r="G17" s="171"/>
      <c r="H17" s="172"/>
    </row>
    <row r="18" spans="4:8" ht="25" customHeight="1" thickBot="1" x14ac:dyDescent="0.4">
      <c r="D18" s="170" t="s">
        <v>180</v>
      </c>
      <c r="E18" s="171"/>
      <c r="F18" s="171"/>
      <c r="G18" s="171"/>
      <c r="H18" s="172"/>
    </row>
    <row r="19" spans="4:8" ht="25" customHeight="1" thickBot="1" x14ac:dyDescent="0.4">
      <c r="D19" s="170" t="s">
        <v>181</v>
      </c>
      <c r="E19" s="171"/>
      <c r="F19" s="171"/>
      <c r="G19" s="171"/>
      <c r="H19" s="172"/>
    </row>
    <row r="20" spans="4:8" ht="15" customHeight="1" x14ac:dyDescent="0.35"/>
    <row r="21" spans="4:8" ht="15" customHeight="1" thickBot="1" x14ac:dyDescent="0.4">
      <c r="D21" s="20" t="s">
        <v>182</v>
      </c>
    </row>
    <row r="22" spans="4:8" ht="22" customHeight="1" thickBot="1" x14ac:dyDescent="0.4">
      <c r="D22" s="67" t="s">
        <v>183</v>
      </c>
      <c r="E22" s="67" t="s">
        <v>177</v>
      </c>
      <c r="F22" s="67" t="s">
        <v>178</v>
      </c>
      <c r="G22" s="67" t="s">
        <v>184</v>
      </c>
      <c r="H22" s="67" t="s">
        <v>185</v>
      </c>
    </row>
    <row r="23" spans="4:8" ht="116.5" customHeight="1" thickBot="1" x14ac:dyDescent="0.4">
      <c r="D23" s="107" t="s">
        <v>493</v>
      </c>
      <c r="E23" s="46" t="s">
        <v>158</v>
      </c>
      <c r="F23" s="46" t="s">
        <v>158</v>
      </c>
      <c r="G23" s="108" t="str">
        <f t="shared" ref="G23:G26" si="0">IF(OR(E23="",F23=""),"",IF(AND(E23="Yes",F23="Yes"),"Yes",IF(AND(E23="No",F23="No"),"No","Error")))</f>
        <v>Yes</v>
      </c>
      <c r="H23" s="46" t="s">
        <v>350</v>
      </c>
    </row>
    <row r="24" spans="4:8" ht="40" customHeight="1" thickBot="1" x14ac:dyDescent="0.4">
      <c r="D24" s="107"/>
      <c r="E24" s="46"/>
      <c r="F24" s="46"/>
      <c r="G24" s="108" t="str">
        <f t="shared" si="0"/>
        <v/>
      </c>
      <c r="H24" s="46"/>
    </row>
    <row r="25" spans="4:8" ht="40" customHeight="1" thickBot="1" x14ac:dyDescent="0.4">
      <c r="D25" s="107"/>
      <c r="E25" s="46"/>
      <c r="F25" s="46"/>
      <c r="G25" s="108" t="str">
        <f t="shared" si="0"/>
        <v/>
      </c>
      <c r="H25" s="46"/>
    </row>
    <row r="26" spans="4:8" ht="40" customHeight="1" thickBot="1" x14ac:dyDescent="0.4">
      <c r="D26" s="107"/>
      <c r="E26" s="46"/>
      <c r="F26" s="46"/>
      <c r="G26" s="108" t="str">
        <f t="shared" si="0"/>
        <v/>
      </c>
      <c r="H26" s="46"/>
    </row>
    <row r="27" spans="4:8" ht="15" thickBot="1" x14ac:dyDescent="0.4"/>
    <row r="28" spans="4:8" ht="15" thickBot="1" x14ac:dyDescent="0.4">
      <c r="D28" s="202" t="s">
        <v>172</v>
      </c>
      <c r="E28" s="203"/>
      <c r="F28" s="203"/>
      <c r="G28" s="203"/>
      <c r="H28" s="204"/>
    </row>
    <row r="29" spans="4:8" ht="71.150000000000006" customHeight="1" thickBot="1" x14ac:dyDescent="0.4">
      <c r="D29" s="199" t="s">
        <v>494</v>
      </c>
      <c r="E29" s="200"/>
      <c r="F29" s="200"/>
      <c r="G29" s="200"/>
      <c r="H29" s="201"/>
    </row>
    <row r="30" spans="4:8" x14ac:dyDescent="0.35"/>
    <row r="31" spans="4:8" x14ac:dyDescent="0.35"/>
    <row r="32" spans="4:8" x14ac:dyDescent="0.35"/>
  </sheetData>
  <sheetProtection selectLockedCells="1"/>
  <mergeCells count="12">
    <mergeCell ref="D29:H29"/>
    <mergeCell ref="D28:H28"/>
    <mergeCell ref="D17:H17"/>
    <mergeCell ref="D18:H18"/>
    <mergeCell ref="D19:H19"/>
    <mergeCell ref="D7:H7"/>
    <mergeCell ref="D8:H8"/>
    <mergeCell ref="D9:H9"/>
    <mergeCell ref="D12:H12"/>
    <mergeCell ref="D16:H16"/>
    <mergeCell ref="D14:H14"/>
    <mergeCell ref="D13:H13"/>
  </mergeCells>
  <conditionalFormatting sqref="G23:G26">
    <cfRule type="containsText" dxfId="17" priority="2" operator="containsText" text="Error">
      <formula>NOT(ISERROR(SEARCH("Error",G23)))</formula>
    </cfRule>
  </conditionalFormatting>
  <conditionalFormatting sqref="D29:H29 D23:F26 H23:H26">
    <cfRule type="cellIs" dxfId="16" priority="1" operator="equal">
      <formula>$C$5</formula>
    </cfRule>
  </conditionalFormatting>
  <dataValidations count="1">
    <dataValidation type="list" allowBlank="1" showInputMessage="1" showErrorMessage="1" sqref="O13" xr:uid="{00000000-0002-0000-0400-000000000000}">
      <formula1>"High,Medium,Low"</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Mapping!$A$2:$A$4</xm:f>
          </x14:formula1>
          <xm:sqref>E23:G26</xm:sqref>
        </x14:dataValidation>
        <x14:dataValidation type="list" allowBlank="1" showInputMessage="1" showErrorMessage="1" xr:uid="{00000000-0002-0000-0400-000002000000}">
          <x14:formula1>
            <xm:f>Mapping!$J$2:$J$7</xm:f>
          </x14:formula1>
          <xm:sqref>H23:H26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1:F119"/>
  <sheetViews>
    <sheetView topLeftCell="A108" zoomScale="85" zoomScaleNormal="85" workbookViewId="0">
      <selection activeCell="H108" sqref="H108"/>
    </sheetView>
  </sheetViews>
  <sheetFormatPr defaultColWidth="9.1796875" defaultRowHeight="14.5" customHeight="1" x14ac:dyDescent="0.35"/>
  <cols>
    <col min="1" max="1" width="9.1796875" style="16" customWidth="1"/>
    <col min="2" max="2" width="13.81640625" style="16" customWidth="1"/>
    <col min="3" max="3" width="5.453125" style="16" customWidth="1"/>
    <col min="4" max="4" width="57" style="16" customWidth="1"/>
    <col min="5" max="5" width="25.81640625" style="16" customWidth="1"/>
    <col min="6" max="6" width="59.1796875" style="16" customWidth="1"/>
    <col min="7" max="16384" width="9.1796875" style="16"/>
  </cols>
  <sheetData>
    <row r="1" spans="3:6" x14ac:dyDescent="0.35"/>
    <row r="2" spans="3:6" x14ac:dyDescent="0.35"/>
    <row r="3" spans="3:6" x14ac:dyDescent="0.35"/>
    <row r="4" spans="3:6" x14ac:dyDescent="0.35"/>
    <row r="5" spans="3:6" ht="25" customHeight="1" thickBot="1" x14ac:dyDescent="0.4">
      <c r="E5" s="17"/>
      <c r="F5" s="17"/>
    </row>
    <row r="6" spans="3:6" ht="25" customHeight="1" thickBot="1" x14ac:dyDescent="0.4">
      <c r="D6" s="190" t="s">
        <v>236</v>
      </c>
      <c r="E6" s="191"/>
      <c r="F6" s="192"/>
    </row>
    <row r="7" spans="3:6" ht="50.15" customHeight="1" thickBot="1" x14ac:dyDescent="0.4">
      <c r="D7" s="170" t="s">
        <v>237</v>
      </c>
      <c r="E7" s="171"/>
      <c r="F7" s="172"/>
    </row>
    <row r="8" spans="3:6" ht="50.15" customHeight="1" thickBot="1" x14ac:dyDescent="0.4">
      <c r="D8" s="170" t="s">
        <v>238</v>
      </c>
      <c r="E8" s="171"/>
      <c r="F8" s="172"/>
    </row>
    <row r="9" spans="3:6" ht="14.15" customHeight="1" thickBot="1" x14ac:dyDescent="0.4">
      <c r="D9" s="170" t="s">
        <v>239</v>
      </c>
      <c r="E9" s="171"/>
      <c r="F9" s="172"/>
    </row>
    <row r="10" spans="3:6" ht="25" customHeight="1" thickBot="1" x14ac:dyDescent="0.4">
      <c r="C10" s="214" t="s">
        <v>353</v>
      </c>
      <c r="D10" s="216" t="s">
        <v>240</v>
      </c>
      <c r="E10" s="217"/>
      <c r="F10" s="218"/>
    </row>
    <row r="11" spans="3:6" ht="25" customHeight="1" thickBot="1" x14ac:dyDescent="0.4">
      <c r="C11" s="215"/>
      <c r="D11" s="219" t="s">
        <v>241</v>
      </c>
      <c r="E11" s="180"/>
      <c r="F11" s="220"/>
    </row>
    <row r="12" spans="3:6" ht="25" customHeight="1" thickBot="1" x14ac:dyDescent="0.4">
      <c r="C12" s="214" t="s">
        <v>242</v>
      </c>
      <c r="D12" s="216" t="s">
        <v>243</v>
      </c>
      <c r="E12" s="217"/>
      <c r="F12" s="218"/>
    </row>
    <row r="13" spans="3:6" ht="25" customHeight="1" thickBot="1" x14ac:dyDescent="0.4">
      <c r="C13" s="215"/>
      <c r="D13" s="219" t="s">
        <v>244</v>
      </c>
      <c r="E13" s="180"/>
      <c r="F13" s="220"/>
    </row>
    <row r="14" spans="3:6" ht="25" customHeight="1" thickBot="1" x14ac:dyDescent="0.4">
      <c r="C14" s="214" t="s">
        <v>245</v>
      </c>
      <c r="D14" s="216" t="s">
        <v>246</v>
      </c>
      <c r="E14" s="217"/>
      <c r="F14" s="218"/>
    </row>
    <row r="15" spans="3:6" ht="25" customHeight="1" thickBot="1" x14ac:dyDescent="0.4">
      <c r="C15" s="215"/>
      <c r="D15" s="219" t="s">
        <v>247</v>
      </c>
      <c r="E15" s="180"/>
      <c r="F15" s="220"/>
    </row>
    <row r="16" spans="3:6" ht="25" customHeight="1" thickBot="1" x14ac:dyDescent="0.4">
      <c r="C16" s="214" t="s">
        <v>248</v>
      </c>
      <c r="D16" s="216" t="s">
        <v>249</v>
      </c>
      <c r="E16" s="217"/>
      <c r="F16" s="218"/>
    </row>
    <row r="17" spans="3:6" ht="25" customHeight="1" thickBot="1" x14ac:dyDescent="0.4">
      <c r="C17" s="215"/>
      <c r="D17" s="219" t="s">
        <v>250</v>
      </c>
      <c r="E17" s="180"/>
      <c r="F17" s="220"/>
    </row>
    <row r="18" spans="3:6" ht="15" thickBot="1" x14ac:dyDescent="0.4"/>
    <row r="19" spans="3:6" ht="19.5" customHeight="1" thickBot="1" x14ac:dyDescent="0.4">
      <c r="D19" s="211" t="s">
        <v>251</v>
      </c>
      <c r="E19" s="212"/>
      <c r="F19" s="213"/>
    </row>
    <row r="20" spans="3:6" ht="31.5" customHeight="1" thickBot="1" x14ac:dyDescent="0.4">
      <c r="D20" s="199" t="s">
        <v>252</v>
      </c>
      <c r="E20" s="201"/>
      <c r="F20" s="49" t="s">
        <v>158</v>
      </c>
    </row>
    <row r="21" spans="3:6" ht="35.5" customHeight="1" thickBot="1" x14ac:dyDescent="0.4">
      <c r="D21" s="170" t="s">
        <v>253</v>
      </c>
      <c r="E21" s="172"/>
      <c r="F21" s="49" t="s">
        <v>158</v>
      </c>
    </row>
    <row r="22" spans="3:6" ht="15" thickBot="1" x14ac:dyDescent="0.4"/>
    <row r="23" spans="3:6" ht="24" customHeight="1" thickBot="1" x14ac:dyDescent="0.4">
      <c r="D23" s="211" t="s">
        <v>381</v>
      </c>
      <c r="E23" s="212"/>
      <c r="F23" s="213"/>
    </row>
    <row r="24" spans="3:6" ht="25" customHeight="1" thickBot="1" x14ac:dyDescent="0.4">
      <c r="D24" s="105" t="s">
        <v>459</v>
      </c>
      <c r="E24" s="108" t="str">
        <f t="shared" ref="E24:E27" si="0">IF(D24&lt;&gt;"","Refer Para no from Contract clauses","")</f>
        <v>Refer Para no from Contract clauses</v>
      </c>
      <c r="F24" s="74" t="s">
        <v>460</v>
      </c>
    </row>
    <row r="25" spans="3:6" ht="25" customHeight="1" thickBot="1" x14ac:dyDescent="0.4">
      <c r="D25" s="105" t="s">
        <v>462</v>
      </c>
      <c r="E25" s="108" t="str">
        <f t="shared" si="0"/>
        <v>Refer Para no from Contract clauses</v>
      </c>
      <c r="F25" s="74" t="s">
        <v>465</v>
      </c>
    </row>
    <row r="26" spans="3:6" ht="25" customHeight="1" thickBot="1" x14ac:dyDescent="0.4">
      <c r="D26" s="105" t="s">
        <v>478</v>
      </c>
      <c r="E26" s="108" t="str">
        <f t="shared" si="0"/>
        <v>Refer Para no from Contract clauses</v>
      </c>
      <c r="F26" s="74" t="s">
        <v>480</v>
      </c>
    </row>
    <row r="27" spans="3:6" ht="25" customHeight="1" thickBot="1" x14ac:dyDescent="0.4">
      <c r="D27" s="105" t="s">
        <v>481</v>
      </c>
      <c r="E27" s="108" t="str">
        <f t="shared" si="0"/>
        <v>Refer Para no from Contract clauses</v>
      </c>
      <c r="F27" s="74" t="s">
        <v>465</v>
      </c>
    </row>
    <row r="28" spans="3:6" ht="25" customHeight="1" thickBot="1" x14ac:dyDescent="0.4">
      <c r="D28" s="105" t="s">
        <v>471</v>
      </c>
      <c r="E28" s="108" t="str">
        <f t="shared" ref="E28:E32" si="1">IF(D28&lt;&gt;"","Refer Para no from Contract clauses","")</f>
        <v>Refer Para no from Contract clauses</v>
      </c>
      <c r="F28" s="74" t="s">
        <v>484</v>
      </c>
    </row>
    <row r="29" spans="3:6" ht="25" customHeight="1" thickBot="1" x14ac:dyDescent="0.4">
      <c r="D29" s="105"/>
      <c r="E29" s="108" t="str">
        <f t="shared" si="1"/>
        <v/>
      </c>
      <c r="F29" s="74"/>
    </row>
    <row r="30" spans="3:6" ht="25" customHeight="1" thickBot="1" x14ac:dyDescent="0.4">
      <c r="D30" s="105"/>
      <c r="E30" s="108" t="str">
        <f t="shared" si="1"/>
        <v/>
      </c>
      <c r="F30" s="74"/>
    </row>
    <row r="31" spans="3:6" ht="25" customHeight="1" thickBot="1" x14ac:dyDescent="0.4">
      <c r="D31" s="105"/>
      <c r="E31" s="108" t="str">
        <f t="shared" si="1"/>
        <v/>
      </c>
      <c r="F31" s="74"/>
    </row>
    <row r="32" spans="3:6" ht="25" customHeight="1" thickBot="1" x14ac:dyDescent="0.4">
      <c r="D32" s="105"/>
      <c r="E32" s="108" t="str">
        <f t="shared" si="1"/>
        <v/>
      </c>
      <c r="F32" s="74"/>
    </row>
    <row r="33" spans="4:6" ht="15" thickBot="1" x14ac:dyDescent="0.4"/>
    <row r="34" spans="4:6" ht="25" customHeight="1" thickBot="1" x14ac:dyDescent="0.4">
      <c r="D34" s="199" t="s">
        <v>257</v>
      </c>
      <c r="E34" s="201" t="s">
        <v>159</v>
      </c>
      <c r="F34" s="74" t="s">
        <v>158</v>
      </c>
    </row>
    <row r="35" spans="4:6" ht="25" customHeight="1" thickBot="1" x14ac:dyDescent="0.4">
      <c r="D35" s="199" t="s">
        <v>258</v>
      </c>
      <c r="E35" s="201" t="s">
        <v>159</v>
      </c>
      <c r="F35" s="74" t="s">
        <v>159</v>
      </c>
    </row>
    <row r="36" spans="4:6" ht="15" thickBot="1" x14ac:dyDescent="0.4"/>
    <row r="37" spans="4:6" ht="32.15" customHeight="1" thickBot="1" x14ac:dyDescent="0.4">
      <c r="D37" s="208" t="s">
        <v>259</v>
      </c>
      <c r="E37" s="209"/>
      <c r="F37" s="210"/>
    </row>
    <row r="38" spans="4:6" ht="83.5" customHeight="1" thickBot="1" x14ac:dyDescent="0.4">
      <c r="D38" s="205" t="s">
        <v>485</v>
      </c>
      <c r="E38" s="206"/>
      <c r="F38" s="207"/>
    </row>
    <row r="39" spans="4:6" ht="15" thickBot="1" x14ac:dyDescent="0.4">
      <c r="D39" s="50"/>
    </row>
    <row r="40" spans="4:6" ht="24" customHeight="1" thickBot="1" x14ac:dyDescent="0.4">
      <c r="D40" s="208" t="s">
        <v>260</v>
      </c>
      <c r="E40" s="209"/>
      <c r="F40" s="210"/>
    </row>
    <row r="41" spans="4:6" ht="22.5" customHeight="1" thickBot="1" x14ac:dyDescent="0.4">
      <c r="D41" s="51" t="s">
        <v>354</v>
      </c>
      <c r="E41" s="52" t="s">
        <v>308</v>
      </c>
      <c r="F41" s="53" t="s">
        <v>316</v>
      </c>
    </row>
    <row r="42" spans="4:6" ht="25" customHeight="1" thickBot="1" x14ac:dyDescent="0.4">
      <c r="D42" s="118" t="str">
        <f t="shared" ref="D42:D45" si="2">D24</f>
        <v>Service Levels</v>
      </c>
      <c r="E42" s="46" t="s">
        <v>310</v>
      </c>
      <c r="F42" s="119" t="str">
        <f>IF(E42&lt;&gt;"",IF(E42="Expected Value Method","The expected value is the sum of probability-weighted amounts in a range of possible consideration amounts.","The Most-likely amount is an appropriate estimate of the amount of variable consideration as the contract has only two possible outcomes"),"")</f>
        <v>The expected value is the sum of probability-weighted amounts in a range of possible consideration amounts.</v>
      </c>
    </row>
    <row r="43" spans="4:6" ht="25" customHeight="1" thickBot="1" x14ac:dyDescent="0.4">
      <c r="D43" s="118" t="str">
        <f t="shared" si="2"/>
        <v>Productivity benefits</v>
      </c>
      <c r="E43" s="46" t="s">
        <v>310</v>
      </c>
      <c r="F43" s="119"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The expected value is the sum of probability-weighted amounts in a range of possible consideration amounts.</v>
      </c>
    </row>
    <row r="44" spans="4:6" ht="25" customHeight="1" thickBot="1" x14ac:dyDescent="0.4">
      <c r="D44" s="118" t="str">
        <f t="shared" si="2"/>
        <v xml:space="preserve"> Incentive Fees - Bonus Payments, Targets and Weighting</v>
      </c>
      <c r="E44" s="46" t="s">
        <v>405</v>
      </c>
      <c r="F44" s="119" t="str">
        <f t="shared" si="3"/>
        <v>The Most-likely amount is an appropriate estimate of the amount of variable consideration as the contract has only two possible outcomes</v>
      </c>
    </row>
    <row r="45" spans="4:6" ht="24.65" customHeight="1" thickBot="1" x14ac:dyDescent="0.4">
      <c r="D45" s="118" t="str">
        <f t="shared" si="2"/>
        <v>Economic Change Adjustment (“ECA”)</v>
      </c>
      <c r="E45" s="46" t="s">
        <v>310</v>
      </c>
      <c r="F45" s="119" t="str">
        <f t="shared" si="3"/>
        <v>The expected value is the sum of probability-weighted amounts in a range of possible consideration amounts.</v>
      </c>
    </row>
    <row r="46" spans="4:6" ht="24.65" customHeight="1" thickBot="1" x14ac:dyDescent="0.4">
      <c r="D46" s="118" t="str">
        <f t="shared" ref="D46:D50" si="4">D28</f>
        <v>Variable Costs</v>
      </c>
      <c r="E46" s="46" t="s">
        <v>405</v>
      </c>
      <c r="F46" s="119" t="str">
        <f t="shared" si="3"/>
        <v>The Most-likely amount is an appropriate estimate of the amount of variable consideration as the contract has only two possible outcomes</v>
      </c>
    </row>
    <row r="47" spans="4:6" ht="24.65" customHeight="1" thickBot="1" x14ac:dyDescent="0.4">
      <c r="D47" s="118">
        <f t="shared" si="4"/>
        <v>0</v>
      </c>
      <c r="E47" s="46"/>
      <c r="F47" s="119" t="str">
        <f t="shared" si="3"/>
        <v/>
      </c>
    </row>
    <row r="48" spans="4:6" ht="24.65" customHeight="1" thickBot="1" x14ac:dyDescent="0.4">
      <c r="D48" s="118">
        <f t="shared" si="4"/>
        <v>0</v>
      </c>
      <c r="E48" s="46"/>
      <c r="F48" s="119" t="str">
        <f t="shared" si="3"/>
        <v/>
      </c>
    </row>
    <row r="49" spans="4:6" ht="24.65" customHeight="1" thickBot="1" x14ac:dyDescent="0.4">
      <c r="D49" s="118">
        <f t="shared" si="4"/>
        <v>0</v>
      </c>
      <c r="E49" s="46"/>
      <c r="F49" s="119" t="str">
        <f t="shared" si="3"/>
        <v/>
      </c>
    </row>
    <row r="50" spans="4:6" ht="24.65" customHeight="1" thickBot="1" x14ac:dyDescent="0.4">
      <c r="D50" s="118">
        <f t="shared" si="4"/>
        <v>0</v>
      </c>
      <c r="E50" s="46"/>
      <c r="F50" s="119" t="str">
        <f t="shared" si="3"/>
        <v/>
      </c>
    </row>
    <row r="51" spans="4:6" ht="25" customHeight="1" thickBot="1" x14ac:dyDescent="0.4"/>
    <row r="52" spans="4:6" ht="25" customHeight="1" thickBot="1" x14ac:dyDescent="0.4">
      <c r="D52" s="208" t="s">
        <v>315</v>
      </c>
      <c r="E52" s="209"/>
      <c r="F52" s="210"/>
    </row>
    <row r="53" spans="4:6" ht="210.75" customHeight="1" thickBot="1" x14ac:dyDescent="0.4">
      <c r="D53" s="205" t="s">
        <v>486</v>
      </c>
      <c r="E53" s="206"/>
      <c r="F53" s="207"/>
    </row>
    <row r="54" spans="4:6" ht="14.5" customHeight="1" thickBot="1" x14ac:dyDescent="0.4">
      <c r="D54" s="211" t="s">
        <v>261</v>
      </c>
      <c r="E54" s="212"/>
      <c r="F54" s="213"/>
    </row>
    <row r="55" spans="4:6" ht="30" customHeight="1" thickBot="1" x14ac:dyDescent="0.4">
      <c r="D55" s="199" t="s">
        <v>262</v>
      </c>
      <c r="E55" s="201" t="s">
        <v>159</v>
      </c>
      <c r="F55" s="74" t="s">
        <v>159</v>
      </c>
    </row>
    <row r="56" spans="4:6" ht="30" customHeight="1" thickBot="1" x14ac:dyDescent="0.4">
      <c r="D56" s="199" t="s">
        <v>263</v>
      </c>
      <c r="E56" s="201" t="s">
        <v>264</v>
      </c>
      <c r="F56" s="74" t="s">
        <v>159</v>
      </c>
    </row>
    <row r="57" spans="4:6" ht="30" customHeight="1" thickBot="1" x14ac:dyDescent="0.4">
      <c r="D57" s="199" t="s">
        <v>265</v>
      </c>
      <c r="E57" s="201" t="s">
        <v>159</v>
      </c>
      <c r="F57" s="74" t="s">
        <v>159</v>
      </c>
    </row>
    <row r="58" spans="4:6" ht="30" customHeight="1" thickBot="1" x14ac:dyDescent="0.4">
      <c r="D58" s="199" t="s">
        <v>266</v>
      </c>
      <c r="E58" s="201" t="s">
        <v>264</v>
      </c>
      <c r="F58" s="74" t="s">
        <v>159</v>
      </c>
    </row>
    <row r="59" spans="4:6" ht="30" customHeight="1" thickBot="1" x14ac:dyDescent="0.4">
      <c r="D59" s="199" t="s">
        <v>267</v>
      </c>
      <c r="E59" s="201" t="s">
        <v>264</v>
      </c>
      <c r="F59" s="74" t="s">
        <v>159</v>
      </c>
    </row>
    <row r="60" spans="4:6" ht="14.5" customHeight="1" thickBot="1" x14ac:dyDescent="0.4"/>
    <row r="61" spans="4:6" ht="31" hidden="1" customHeight="1" thickBot="1" x14ac:dyDescent="0.4">
      <c r="D61" s="224" t="s">
        <v>403</v>
      </c>
      <c r="E61" s="225"/>
      <c r="F61" s="226"/>
    </row>
    <row r="62" spans="4:6" ht="68.150000000000006" hidden="1" customHeight="1" thickBot="1" x14ac:dyDescent="0.4">
      <c r="D62" s="239"/>
      <c r="E62" s="240"/>
      <c r="F62" s="241"/>
    </row>
    <row r="63" spans="4:6" ht="25" customHeight="1" thickBot="1" x14ac:dyDescent="0.4">
      <c r="D63" s="227" t="s">
        <v>268</v>
      </c>
      <c r="E63" s="228" t="s">
        <v>158</v>
      </c>
      <c r="F63" s="74" t="s">
        <v>158</v>
      </c>
    </row>
    <row r="64" spans="4:6" ht="15" customHeight="1" thickBot="1" x14ac:dyDescent="0.4">
      <c r="D64" s="78" t="s">
        <v>383</v>
      </c>
    </row>
    <row r="65" spans="4:6" ht="313.5" customHeight="1" thickBot="1" x14ac:dyDescent="0.4">
      <c r="D65" s="205" t="s">
        <v>487</v>
      </c>
      <c r="E65" s="206"/>
      <c r="F65" s="207"/>
    </row>
    <row r="66" spans="4:6" ht="15" customHeight="1" x14ac:dyDescent="0.35"/>
    <row r="67" spans="4:6" ht="14.5" customHeight="1" x14ac:dyDescent="0.35">
      <c r="D67" s="229" t="s">
        <v>269</v>
      </c>
      <c r="E67" s="229"/>
      <c r="F67" s="229"/>
    </row>
    <row r="68" spans="4:6" ht="14.5" customHeight="1" thickBot="1" x14ac:dyDescent="0.4"/>
    <row r="69" spans="4:6" ht="25" customHeight="1" thickBot="1" x14ac:dyDescent="0.4">
      <c r="D69" s="227" t="s">
        <v>270</v>
      </c>
      <c r="E69" s="228" t="s">
        <v>264</v>
      </c>
      <c r="F69" s="74" t="s">
        <v>159</v>
      </c>
    </row>
    <row r="71" spans="4:6" ht="14.5" hidden="1" customHeight="1" thickBot="1" x14ac:dyDescent="0.4">
      <c r="D71" s="221" t="s">
        <v>312</v>
      </c>
      <c r="E71" s="222"/>
      <c r="F71" s="223"/>
    </row>
    <row r="72" spans="4:6" ht="42.65" hidden="1" customHeight="1" thickBot="1" x14ac:dyDescent="0.4">
      <c r="D72" s="205"/>
      <c r="E72" s="206"/>
      <c r="F72" s="207"/>
    </row>
    <row r="73" spans="4:6" ht="14.5" hidden="1" customHeight="1" thickBot="1" x14ac:dyDescent="0.4"/>
    <row r="74" spans="4:6" ht="33.65" hidden="1" customHeight="1" thickBot="1" x14ac:dyDescent="0.4">
      <c r="D74" s="208" t="s">
        <v>355</v>
      </c>
      <c r="E74" s="209"/>
      <c r="F74" s="210"/>
    </row>
    <row r="75" spans="4:6" ht="38.5" hidden="1" customHeight="1" thickBot="1" x14ac:dyDescent="0.4">
      <c r="D75" s="205"/>
      <c r="E75" s="206"/>
      <c r="F75" s="207"/>
    </row>
    <row r="76" spans="4:6" ht="14.5" hidden="1" customHeight="1" thickBot="1" x14ac:dyDescent="0.4"/>
    <row r="77" spans="4:6" ht="33" hidden="1" customHeight="1" thickBot="1" x14ac:dyDescent="0.4">
      <c r="D77" s="208" t="s">
        <v>313</v>
      </c>
      <c r="E77" s="209"/>
      <c r="F77" s="210"/>
    </row>
    <row r="78" spans="4:6" ht="38.5" hidden="1" customHeight="1" thickBot="1" x14ac:dyDescent="0.4">
      <c r="D78" s="199" t="s">
        <v>314</v>
      </c>
      <c r="E78" s="201"/>
      <c r="F78" s="74"/>
    </row>
    <row r="79" spans="4:6" ht="14.5" hidden="1" customHeight="1" thickBot="1" x14ac:dyDescent="0.4"/>
    <row r="80" spans="4:6" ht="29.15" hidden="1" customHeight="1" thickBot="1" x14ac:dyDescent="0.4">
      <c r="D80" s="208" t="s">
        <v>313</v>
      </c>
      <c r="E80" s="209"/>
      <c r="F80" s="210"/>
    </row>
    <row r="81" spans="4:6" ht="30" hidden="1" customHeight="1" thickBot="1" x14ac:dyDescent="0.4">
      <c r="D81" s="205"/>
      <c r="E81" s="206"/>
      <c r="F81" s="207"/>
    </row>
    <row r="82" spans="4:6" ht="25" hidden="1" customHeight="1" x14ac:dyDescent="0.35"/>
    <row r="83" spans="4:6" ht="14.5" customHeight="1" thickBot="1" x14ac:dyDescent="0.4"/>
    <row r="84" spans="4:6" ht="14.5" customHeight="1" thickBot="1" x14ac:dyDescent="0.4">
      <c r="D84" s="221" t="s">
        <v>283</v>
      </c>
      <c r="E84" s="222"/>
      <c r="F84" s="223"/>
    </row>
    <row r="85" spans="4:6" ht="14.5" customHeight="1" thickBot="1" x14ac:dyDescent="0.4">
      <c r="D85" s="211" t="s">
        <v>202</v>
      </c>
      <c r="E85" s="212"/>
      <c r="F85" s="213"/>
    </row>
    <row r="86" spans="4:6" ht="40" customHeight="1" thickBot="1" x14ac:dyDescent="0.4">
      <c r="D86" s="205" t="s">
        <v>271</v>
      </c>
      <c r="E86" s="206"/>
      <c r="F86" s="207"/>
    </row>
    <row r="87" spans="4:6" ht="14.5" customHeight="1" thickBot="1" x14ac:dyDescent="0.4"/>
    <row r="88" spans="4:6" ht="32.5" customHeight="1" thickBot="1" x14ac:dyDescent="0.4">
      <c r="D88" s="227" t="s">
        <v>272</v>
      </c>
      <c r="E88" s="228" t="s">
        <v>159</v>
      </c>
      <c r="F88" s="74" t="s">
        <v>159</v>
      </c>
    </row>
    <row r="89" spans="4:6" ht="14.5" customHeight="1" thickBot="1" x14ac:dyDescent="0.4"/>
    <row r="90" spans="4:6" ht="14.5" hidden="1" customHeight="1" thickBot="1" x14ac:dyDescent="0.4">
      <c r="D90" s="233" t="s">
        <v>176</v>
      </c>
      <c r="E90" s="234"/>
      <c r="F90" s="235"/>
    </row>
    <row r="91" spans="4:6" ht="42" hidden="1" customHeight="1" thickBot="1" x14ac:dyDescent="0.4">
      <c r="D91" s="236" t="s">
        <v>356</v>
      </c>
      <c r="E91" s="237"/>
      <c r="F91" s="238"/>
    </row>
    <row r="92" spans="4:6" ht="15" hidden="1" customHeight="1" thickBot="1" x14ac:dyDescent="0.4">
      <c r="D92" s="230" t="s">
        <v>382</v>
      </c>
      <c r="E92" s="231"/>
      <c r="F92" s="232"/>
    </row>
    <row r="93" spans="4:6" ht="15" hidden="1" customHeight="1" thickBot="1" x14ac:dyDescent="0.4">
      <c r="D93" s="230"/>
      <c r="E93" s="231"/>
      <c r="F93" s="232"/>
    </row>
    <row r="94" spans="4:6" ht="15" hidden="1" customHeight="1" thickBot="1" x14ac:dyDescent="0.4">
      <c r="D94" s="230"/>
      <c r="E94" s="231"/>
      <c r="F94" s="232"/>
    </row>
    <row r="95" spans="4:6" ht="15" hidden="1" customHeight="1" thickBot="1" x14ac:dyDescent="0.4">
      <c r="D95" s="230"/>
      <c r="E95" s="231"/>
      <c r="F95" s="232"/>
    </row>
    <row r="96" spans="4:6" ht="14.5" hidden="1" customHeight="1" thickBot="1" x14ac:dyDescent="0.4"/>
    <row r="97" spans="4:6" ht="28.5" hidden="1" customHeight="1" thickBot="1" x14ac:dyDescent="0.4">
      <c r="D97" s="202" t="s">
        <v>362</v>
      </c>
      <c r="E97" s="204"/>
      <c r="F97" s="49" t="s">
        <v>159</v>
      </c>
    </row>
    <row r="98" spans="4:6" ht="14.5" hidden="1" customHeight="1" thickBot="1" x14ac:dyDescent="0.4"/>
    <row r="99" spans="4:6" ht="25" hidden="1" customHeight="1" thickBot="1" x14ac:dyDescent="0.4">
      <c r="D99" s="221" t="s">
        <v>273</v>
      </c>
      <c r="E99" s="222"/>
      <c r="F99" s="223"/>
    </row>
    <row r="100" spans="4:6" ht="25" hidden="1" customHeight="1" thickBot="1" x14ac:dyDescent="0.4">
      <c r="D100" s="202" t="s">
        <v>357</v>
      </c>
      <c r="E100" s="204" t="s">
        <v>160</v>
      </c>
      <c r="F100" s="49" t="s">
        <v>159</v>
      </c>
    </row>
    <row r="101" spans="4:6" ht="25" hidden="1" customHeight="1" thickBot="1" x14ac:dyDescent="0.4">
      <c r="D101" s="202" t="s">
        <v>358</v>
      </c>
      <c r="E101" s="204" t="s">
        <v>160</v>
      </c>
      <c r="F101" s="49"/>
    </row>
    <row r="102" spans="4:6" ht="14.5" hidden="1" customHeight="1" thickBot="1" x14ac:dyDescent="0.4"/>
    <row r="103" spans="4:6" ht="14.5" customHeight="1" thickBot="1" x14ac:dyDescent="0.4">
      <c r="D103" s="211" t="s">
        <v>359</v>
      </c>
      <c r="E103" s="212"/>
      <c r="F103" s="213"/>
    </row>
    <row r="104" spans="4:6" ht="65.5" customHeight="1" thickBot="1" x14ac:dyDescent="0.4">
      <c r="D104" s="205" t="s">
        <v>160</v>
      </c>
      <c r="E104" s="206"/>
      <c r="F104" s="207"/>
    </row>
    <row r="107" spans="4:6" ht="14.5" customHeight="1" thickBot="1" x14ac:dyDescent="0.4"/>
    <row r="108" spans="4:6" ht="14.5" customHeight="1" thickBot="1" x14ac:dyDescent="0.4">
      <c r="D108" s="211" t="s">
        <v>274</v>
      </c>
      <c r="E108" s="212"/>
      <c r="F108" s="213"/>
    </row>
    <row r="109" spans="4:6" ht="41.5" customHeight="1" thickBot="1" x14ac:dyDescent="0.4">
      <c r="D109" s="202" t="s">
        <v>275</v>
      </c>
      <c r="E109" s="204" t="s">
        <v>158</v>
      </c>
      <c r="F109" s="74" t="s">
        <v>158</v>
      </c>
    </row>
    <row r="110" spans="4:6" ht="14.5" customHeight="1" thickBot="1" x14ac:dyDescent="0.4"/>
    <row r="111" spans="4:6" ht="25" customHeight="1" thickBot="1" x14ac:dyDescent="0.4">
      <c r="D111" s="221" t="s">
        <v>276</v>
      </c>
      <c r="E111" s="222"/>
      <c r="F111" s="223"/>
    </row>
    <row r="112" spans="4:6" ht="25" customHeight="1" thickBot="1" x14ac:dyDescent="0.4">
      <c r="D112" s="170" t="s">
        <v>277</v>
      </c>
      <c r="E112" s="172" t="s">
        <v>159</v>
      </c>
      <c r="F112" s="74" t="s">
        <v>159</v>
      </c>
    </row>
    <row r="113" spans="4:6" ht="25" customHeight="1" thickBot="1" x14ac:dyDescent="0.4">
      <c r="D113" s="170" t="s">
        <v>278</v>
      </c>
      <c r="E113" s="172" t="s">
        <v>264</v>
      </c>
      <c r="F113" s="74" t="s">
        <v>159</v>
      </c>
    </row>
    <row r="114" spans="4:6" ht="25" customHeight="1" thickBot="1" x14ac:dyDescent="0.4">
      <c r="D114" s="170" t="s">
        <v>279</v>
      </c>
      <c r="E114" s="172" t="s">
        <v>280</v>
      </c>
      <c r="F114" s="74" t="s">
        <v>159</v>
      </c>
    </row>
    <row r="115" spans="4:6" ht="14.5" customHeight="1" thickBot="1" x14ac:dyDescent="0.4"/>
    <row r="116" spans="4:6" ht="14.5" customHeight="1" thickBot="1" x14ac:dyDescent="0.4">
      <c r="D116" s="211" t="s">
        <v>281</v>
      </c>
      <c r="E116" s="212"/>
      <c r="F116" s="213"/>
    </row>
    <row r="117" spans="4:6" ht="54.65" customHeight="1" thickBot="1" x14ac:dyDescent="0.4">
      <c r="D117" s="205" t="s">
        <v>429</v>
      </c>
      <c r="E117" s="206"/>
      <c r="F117" s="207"/>
    </row>
    <row r="118" spans="4:6" ht="14.5" customHeight="1" thickBot="1" x14ac:dyDescent="0.4"/>
    <row r="119" spans="4:6" ht="26.5" customHeight="1" thickBot="1" x14ac:dyDescent="0.4">
      <c r="D119" s="202" t="s">
        <v>282</v>
      </c>
      <c r="E119" s="204"/>
      <c r="F119" s="74" t="s">
        <v>160</v>
      </c>
    </row>
  </sheetData>
  <sheetProtection selectLockedCells="1"/>
  <mergeCells count="72">
    <mergeCell ref="D65:F65"/>
    <mergeCell ref="D62:F62"/>
    <mergeCell ref="D119:E119"/>
    <mergeCell ref="D117:F117"/>
    <mergeCell ref="D85:F85"/>
    <mergeCell ref="D88:E88"/>
    <mergeCell ref="D86:F86"/>
    <mergeCell ref="D97:E97"/>
    <mergeCell ref="D99:F99"/>
    <mergeCell ref="D100:E100"/>
    <mergeCell ref="D101:E101"/>
    <mergeCell ref="D103:F103"/>
    <mergeCell ref="D112:E112"/>
    <mergeCell ref="D113:E113"/>
    <mergeCell ref="D114:E114"/>
    <mergeCell ref="D116:F116"/>
    <mergeCell ref="D104:F104"/>
    <mergeCell ref="D108:F108"/>
    <mergeCell ref="D71:F71"/>
    <mergeCell ref="D72:F72"/>
    <mergeCell ref="D74:F74"/>
    <mergeCell ref="D75:F75"/>
    <mergeCell ref="D77:F77"/>
    <mergeCell ref="D109:E109"/>
    <mergeCell ref="D111:F111"/>
    <mergeCell ref="D61:F61"/>
    <mergeCell ref="D63:E63"/>
    <mergeCell ref="D67:F67"/>
    <mergeCell ref="D69:E69"/>
    <mergeCell ref="D84:F84"/>
    <mergeCell ref="D80:F80"/>
    <mergeCell ref="D81:F81"/>
    <mergeCell ref="D78:E78"/>
    <mergeCell ref="D95:F95"/>
    <mergeCell ref="D90:F90"/>
    <mergeCell ref="D91:F91"/>
    <mergeCell ref="D92:F92"/>
    <mergeCell ref="D93:F93"/>
    <mergeCell ref="D94:F94"/>
    <mergeCell ref="D55:E55"/>
    <mergeCell ref="D56:E56"/>
    <mergeCell ref="D57:E57"/>
    <mergeCell ref="D58:E58"/>
    <mergeCell ref="D59:E59"/>
    <mergeCell ref="D54:F54"/>
    <mergeCell ref="D52:F52"/>
    <mergeCell ref="D53:F53"/>
    <mergeCell ref="D6:F6"/>
    <mergeCell ref="D7:F7"/>
    <mergeCell ref="D8:F8"/>
    <mergeCell ref="D9:F9"/>
    <mergeCell ref="D20:E20"/>
    <mergeCell ref="D13:F13"/>
    <mergeCell ref="D15:F15"/>
    <mergeCell ref="D16:F16"/>
    <mergeCell ref="D17:F17"/>
    <mergeCell ref="D14:F14"/>
    <mergeCell ref="D19:F19"/>
    <mergeCell ref="D21:E21"/>
    <mergeCell ref="D37:F37"/>
    <mergeCell ref="C10:C11"/>
    <mergeCell ref="C12:C13"/>
    <mergeCell ref="C14:C15"/>
    <mergeCell ref="C16:C17"/>
    <mergeCell ref="D10:F10"/>
    <mergeCell ref="D11:F11"/>
    <mergeCell ref="D12:F12"/>
    <mergeCell ref="D38:F38"/>
    <mergeCell ref="D40:F40"/>
    <mergeCell ref="D23:F23"/>
    <mergeCell ref="D34:E34"/>
    <mergeCell ref="D35:E35"/>
  </mergeCells>
  <conditionalFormatting sqref="F20:F21 F34:F35 D38:F38 F63 D65:F65 F69 F88 D104:F104 F109 D117:F117 F119 D42:F50 F112:F114 F55:F59 D24:F32">
    <cfRule type="cellIs" dxfId="15" priority="1" operator="equal">
      <formula>$B$3</formula>
    </cfRule>
  </conditionalFormatting>
  <dataValidations count="1">
    <dataValidation type="list" allowBlank="1" showInputMessage="1" showErrorMessage="1" sqref="F119 F20:F21 F109 F34:F35 F88 F55:F59" xr:uid="{00000000-0002-0000-0500-000000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Mapping!$A$2:$A$4</xm:f>
          </x14:formula1>
          <xm:sqref>F69 F97 F106 F78 F100:F101 F63 F65 F112:F114</xm:sqref>
        </x14:dataValidation>
        <x14:dataValidation type="list" allowBlank="1" showInputMessage="1" showErrorMessage="1" xr:uid="{00000000-0002-0000-0500-000002000000}">
          <x14:formula1>
            <xm:f>Mapping!$F$2:$F$3</xm:f>
          </x14:formula1>
          <xm:sqref>E51</xm:sqref>
        </x14:dataValidation>
        <x14:dataValidation type="list" allowBlank="1" showInputMessage="1" showErrorMessage="1" xr:uid="{5516D3AE-AEC2-4733-A920-9B03A0B1DEF9}">
          <x14:formula1>
            <xm:f>Mapping!$F$2:$F$4</xm:f>
          </x14:formula1>
          <xm:sqref>E42:E50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H44"/>
  <sheetViews>
    <sheetView topLeftCell="A44" zoomScale="85" zoomScaleNormal="85" workbookViewId="0">
      <selection activeCell="D62" sqref="D62"/>
    </sheetView>
  </sheetViews>
  <sheetFormatPr defaultColWidth="9.1796875" defaultRowHeight="14.5" customHeight="1" x14ac:dyDescent="0.35"/>
  <cols>
    <col min="1" max="3" width="9.1796875" style="16" customWidth="1"/>
    <col min="4" max="4" width="66.81640625" style="16" customWidth="1"/>
    <col min="5" max="5" width="18.1796875" style="16" customWidth="1"/>
    <col min="6" max="6" width="16.7265625" style="16" customWidth="1"/>
    <col min="7" max="7" width="15.81640625" style="16" customWidth="1"/>
    <col min="8" max="8" width="22.7265625" style="16" customWidth="1"/>
    <col min="9" max="9" width="11.81640625" style="16" customWidth="1"/>
    <col min="10" max="10" width="5.81640625" style="16" customWidth="1"/>
    <col min="11" max="11" width="51.7265625" style="16" customWidth="1"/>
    <col min="12" max="12" width="12.26953125" style="16" customWidth="1"/>
    <col min="13" max="13" width="12.81640625" style="16" customWidth="1"/>
    <col min="14" max="16" width="9.1796875" style="16" customWidth="1"/>
    <col min="17"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ht="15" thickBot="1" x14ac:dyDescent="0.4">
      <c r="E6" s="17"/>
      <c r="F6" s="17"/>
    </row>
    <row r="7" spans="4:6" ht="15" thickBot="1" x14ac:dyDescent="0.4">
      <c r="D7" s="245" t="s">
        <v>186</v>
      </c>
      <c r="E7" s="246"/>
      <c r="F7" s="247"/>
    </row>
    <row r="8" spans="4:6" ht="25" customHeight="1" thickBot="1" x14ac:dyDescent="0.4">
      <c r="D8" s="242" t="s">
        <v>187</v>
      </c>
      <c r="E8" s="243"/>
      <c r="F8" s="244"/>
    </row>
    <row r="9" spans="4:6" ht="25" customHeight="1" thickBot="1" x14ac:dyDescent="0.4">
      <c r="D9" s="205" t="s">
        <v>188</v>
      </c>
      <c r="E9" s="206"/>
      <c r="F9" s="207"/>
    </row>
    <row r="10" spans="4:6" x14ac:dyDescent="0.35">
      <c r="D10" s="19"/>
      <c r="E10" s="19"/>
      <c r="F10" s="19"/>
    </row>
    <row r="11" spans="4:6" x14ac:dyDescent="0.35">
      <c r="D11" s="19" t="s">
        <v>189</v>
      </c>
      <c r="E11" s="19"/>
      <c r="F11" s="19"/>
    </row>
    <row r="12" spans="4:6" ht="14.5" customHeight="1" x14ac:dyDescent="0.35">
      <c r="D12" s="19" t="s">
        <v>368</v>
      </c>
      <c r="E12" s="19"/>
      <c r="F12" s="19"/>
    </row>
    <row r="13" spans="4:6" ht="14.5" customHeight="1" thickBot="1" x14ac:dyDescent="0.4">
      <c r="D13" s="19" t="s">
        <v>369</v>
      </c>
      <c r="E13" s="19"/>
      <c r="F13" s="19"/>
    </row>
    <row r="14" spans="4:6" hidden="1" x14ac:dyDescent="0.35">
      <c r="D14" s="19"/>
      <c r="E14" s="19"/>
      <c r="F14" s="19"/>
    </row>
    <row r="15" spans="4:6" hidden="1" x14ac:dyDescent="0.35">
      <c r="D15" s="19"/>
      <c r="E15" s="19"/>
      <c r="F15" s="19"/>
    </row>
    <row r="16" spans="4:6" hidden="1" x14ac:dyDescent="0.35">
      <c r="D16" s="19"/>
      <c r="E16" s="19"/>
      <c r="F16" s="19"/>
    </row>
    <row r="17" spans="4:8" hidden="1" x14ac:dyDescent="0.35">
      <c r="D17" s="19"/>
      <c r="E17" s="19"/>
      <c r="F17" s="19"/>
    </row>
    <row r="18" spans="4:8" hidden="1" x14ac:dyDescent="0.35">
      <c r="D18" s="19"/>
      <c r="E18" s="19"/>
      <c r="F18" s="19"/>
    </row>
    <row r="19" spans="4:8" ht="20.25" hidden="1" customHeight="1" x14ac:dyDescent="0.35">
      <c r="D19" s="19"/>
      <c r="E19" s="19"/>
      <c r="F19" s="19"/>
    </row>
    <row r="20" spans="4:8" ht="15" thickBot="1" x14ac:dyDescent="0.4">
      <c r="D20" s="252" t="s">
        <v>186</v>
      </c>
      <c r="E20" s="19"/>
      <c r="F20" s="19"/>
    </row>
    <row r="21" spans="4:8" ht="20.149999999999999" customHeight="1" thickBot="1" x14ac:dyDescent="0.4">
      <c r="D21" s="253"/>
      <c r="E21" s="171">
        <f>IF('Step 2'!H23="","",IF('Step 2'!H23&lt;&gt;"",COUNTIF('Step 2'!$G$23:$G$26,"Yes"),1))</f>
        <v>1</v>
      </c>
      <c r="F21" s="172"/>
    </row>
    <row r="22" spans="4:8" ht="27.65" customHeight="1" thickBot="1" x14ac:dyDescent="0.4">
      <c r="D22" s="68" t="s">
        <v>190</v>
      </c>
      <c r="E22" s="250" t="s">
        <v>159</v>
      </c>
      <c r="F22" s="251"/>
    </row>
    <row r="23" spans="4:8" ht="57.65" customHeight="1" thickBot="1" x14ac:dyDescent="0.4">
      <c r="D23" s="205" t="s">
        <v>430</v>
      </c>
      <c r="E23" s="243"/>
      <c r="F23" s="244"/>
    </row>
    <row r="24" spans="4:8" ht="28.5" hidden="1" customHeight="1" x14ac:dyDescent="0.35">
      <c r="D24" s="69"/>
      <c r="E24" s="69"/>
      <c r="F24" s="69"/>
    </row>
    <row r="25" spans="4:8" ht="28.5" hidden="1" customHeight="1" thickBot="1" x14ac:dyDescent="0.4">
      <c r="D25" s="254" t="s">
        <v>372</v>
      </c>
      <c r="E25" s="255"/>
      <c r="F25" s="255"/>
      <c r="G25" s="255"/>
      <c r="H25" s="256"/>
    </row>
    <row r="26" spans="4:8" ht="28.5" hidden="1" customHeight="1" thickBot="1" x14ac:dyDescent="0.4">
      <c r="D26" s="70" t="s">
        <v>373</v>
      </c>
      <c r="E26" s="70" t="s">
        <v>407</v>
      </c>
      <c r="F26" s="70" t="s">
        <v>375</v>
      </c>
      <c r="G26" s="70" t="s">
        <v>376</v>
      </c>
      <c r="H26" s="70" t="s">
        <v>377</v>
      </c>
    </row>
    <row r="27" spans="4:8" ht="28.5" hidden="1" customHeight="1" thickBot="1" x14ac:dyDescent="0.4">
      <c r="D27" s="73" t="str">
        <f>IFERROR(IF('Step 2'!G23="Yes",'Step 2'!D23,""),"")</f>
        <v>ABC Customer Solutions:
- Kickstart
- Inbound/DSA
-Reception Desk
- Agency Builders
- New Business Sales (NBS)
- Upper Mass Market (UMM)
- New Business Sales - Development (NBS-D)</v>
      </c>
      <c r="E27" s="109"/>
      <c r="F27" s="109"/>
      <c r="G27" s="109"/>
      <c r="H27" s="109"/>
    </row>
    <row r="28" spans="4:8" ht="28.5" hidden="1" customHeight="1" thickBot="1" x14ac:dyDescent="0.4">
      <c r="D28" s="73" t="str">
        <f>IFERROR(IF('Step 2'!G24="Yes",'Step 2'!D24,""),"")</f>
        <v/>
      </c>
      <c r="E28" s="109"/>
      <c r="F28" s="109"/>
      <c r="G28" s="109"/>
      <c r="H28" s="109"/>
    </row>
    <row r="29" spans="4:8" ht="28.5" hidden="1" customHeight="1" thickBot="1" x14ac:dyDescent="0.4">
      <c r="D29" s="73" t="str">
        <f>IFERROR(IF('Step 2'!G25="Yes",'Step 2'!D25,""),"")</f>
        <v/>
      </c>
      <c r="E29" s="109"/>
      <c r="F29" s="109"/>
      <c r="G29" s="109"/>
      <c r="H29" s="109"/>
    </row>
    <row r="30" spans="4:8" ht="28.5" customHeight="1" x14ac:dyDescent="0.35">
      <c r="D30" s="69"/>
      <c r="E30" s="69"/>
      <c r="F30" s="69"/>
    </row>
    <row r="31" spans="4:8" ht="28.5" hidden="1" customHeight="1" x14ac:dyDescent="0.35">
      <c r="D31" s="69"/>
      <c r="E31" s="69"/>
      <c r="F31" s="69"/>
    </row>
    <row r="32" spans="4:8" ht="28.5" hidden="1" customHeight="1" x14ac:dyDescent="0.35">
      <c r="D32" s="69"/>
      <c r="E32" s="69"/>
      <c r="F32" s="69"/>
    </row>
    <row r="33" spans="4:6" ht="28.5" hidden="1" customHeight="1" x14ac:dyDescent="0.35">
      <c r="D33" s="69"/>
      <c r="E33" s="69"/>
      <c r="F33" s="69"/>
    </row>
    <row r="34" spans="4:6" ht="28.5" hidden="1" customHeight="1" x14ac:dyDescent="0.35">
      <c r="D34" s="69"/>
      <c r="E34" s="69"/>
      <c r="F34" s="69"/>
    </row>
    <row r="35" spans="4:6" ht="13.75" customHeight="1" x14ac:dyDescent="0.35">
      <c r="D35" s="19"/>
      <c r="E35" s="69"/>
      <c r="F35" s="69"/>
    </row>
    <row r="36" spans="4:6" ht="13.75" customHeight="1" thickBot="1" x14ac:dyDescent="0.4">
      <c r="E36" s="19"/>
      <c r="F36" s="19"/>
    </row>
    <row r="37" spans="4:6" ht="13.75" customHeight="1" thickBot="1" x14ac:dyDescent="0.4">
      <c r="D37" s="245" t="s">
        <v>191</v>
      </c>
      <c r="E37" s="246"/>
      <c r="F37" s="247"/>
    </row>
    <row r="38" spans="4:6" ht="36" customHeight="1" thickBot="1" x14ac:dyDescent="0.4">
      <c r="D38" s="70" t="s">
        <v>227</v>
      </c>
      <c r="E38" s="248" t="s">
        <v>159</v>
      </c>
      <c r="F38" s="249"/>
    </row>
    <row r="39" spans="4:6" ht="48" customHeight="1" thickBot="1" x14ac:dyDescent="0.4">
      <c r="D39" s="242" t="s">
        <v>431</v>
      </c>
      <c r="E39" s="243"/>
      <c r="F39" s="244"/>
    </row>
    <row r="40" spans="4:6" ht="13.75" customHeight="1" x14ac:dyDescent="0.35"/>
    <row r="41" spans="4:6" x14ac:dyDescent="0.35"/>
    <row r="42" spans="4:6" x14ac:dyDescent="0.35"/>
    <row r="43" spans="4:6" x14ac:dyDescent="0.35"/>
    <row r="44" spans="4:6" x14ac:dyDescent="0.35"/>
  </sheetData>
  <mergeCells count="11">
    <mergeCell ref="D39:F39"/>
    <mergeCell ref="D37:F37"/>
    <mergeCell ref="D7:F7"/>
    <mergeCell ref="E21:F21"/>
    <mergeCell ref="E38:F38"/>
    <mergeCell ref="D8:F8"/>
    <mergeCell ref="D9:F9"/>
    <mergeCell ref="E22:F22"/>
    <mergeCell ref="D23:F23"/>
    <mergeCell ref="D20:D21"/>
    <mergeCell ref="D25:H25"/>
  </mergeCells>
  <conditionalFormatting sqref="E22:F22 D23:F23 D39:F39 E38:F38">
    <cfRule type="cellIs" dxfId="14" priority="1" operator="equal">
      <formula>$A$5</formula>
    </cfRule>
  </conditionalFormatting>
  <dataValidations count="1">
    <dataValidation type="list" allowBlank="1" showInputMessage="1" showErrorMessage="1" sqref="L19" xr:uid="{00000000-0002-0000-06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Mapping!$A$2:$A$4</xm:f>
          </x14:formula1>
          <xm:sqref>E22:F22 E38:F38</xm:sqref>
        </x14:dataValidation>
        <x14:dataValidation type="list" allowBlank="1" showInputMessage="1" showErrorMessage="1" xr:uid="{00000000-0002-0000-0600-000002000000}">
          <x14:formula1>
            <xm:f>Mapping!$K$2:$K$5</xm:f>
          </x14:formula1>
          <xm:sqref>E27:E29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D1:I50"/>
  <sheetViews>
    <sheetView topLeftCell="A33" zoomScale="85" zoomScaleNormal="85" workbookViewId="0">
      <selection activeCell="D33" sqref="D33"/>
    </sheetView>
  </sheetViews>
  <sheetFormatPr defaultColWidth="9.1796875" defaultRowHeight="14.5" customHeight="1" x14ac:dyDescent="0.35"/>
  <cols>
    <col min="1" max="2" width="9.1796875" style="16" customWidth="1"/>
    <col min="3" max="3" width="4.1796875" style="16" customWidth="1"/>
    <col min="4" max="4" width="48.1796875" style="16" customWidth="1"/>
    <col min="5" max="5" width="17.7265625" style="16" customWidth="1"/>
    <col min="6" max="6" width="39.81640625" style="16" customWidth="1"/>
    <col min="7" max="7" width="9.1796875" style="16" customWidth="1"/>
    <col min="8" max="8" width="31.54296875" style="16" customWidth="1"/>
    <col min="9" max="9" width="13.453125" style="16" customWidth="1"/>
    <col min="10"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x14ac:dyDescent="0.35">
      <c r="E5" s="17"/>
      <c r="F5" s="17"/>
    </row>
    <row r="6" spans="4:8" ht="15" thickBot="1" x14ac:dyDescent="0.4">
      <c r="E6" s="17"/>
      <c r="F6" s="17"/>
    </row>
    <row r="7" spans="4:8" ht="15" thickBot="1" x14ac:dyDescent="0.4">
      <c r="D7" s="265" t="s">
        <v>192</v>
      </c>
      <c r="E7" s="266"/>
      <c r="F7" s="266"/>
      <c r="G7" s="266"/>
      <c r="H7" s="267"/>
    </row>
    <row r="8" spans="4:8" ht="39" customHeight="1" thickBot="1" x14ac:dyDescent="0.4">
      <c r="D8" s="262" t="s">
        <v>193</v>
      </c>
      <c r="E8" s="263"/>
      <c r="F8" s="263"/>
      <c r="G8" s="263"/>
      <c r="H8" s="264"/>
    </row>
    <row r="9" spans="4:8" ht="15" thickBot="1" x14ac:dyDescent="0.4">
      <c r="D9" s="265" t="s">
        <v>194</v>
      </c>
      <c r="E9" s="266"/>
      <c r="F9" s="266"/>
      <c r="G9" s="266"/>
      <c r="H9" s="267"/>
    </row>
    <row r="10" spans="4:8" ht="33.65" customHeight="1" thickBot="1" x14ac:dyDescent="0.4">
      <c r="D10" s="265" t="s">
        <v>195</v>
      </c>
      <c r="E10" s="266"/>
      <c r="F10" s="266"/>
      <c r="G10" s="266"/>
      <c r="H10" s="267"/>
    </row>
    <row r="11" spans="4:8" ht="30" customHeight="1" thickBot="1" x14ac:dyDescent="0.4">
      <c r="D11" s="39" t="s">
        <v>228</v>
      </c>
      <c r="E11" s="262" t="s">
        <v>196</v>
      </c>
      <c r="F11" s="263"/>
      <c r="G11" s="263"/>
      <c r="H11" s="264"/>
    </row>
    <row r="12" spans="4:8" ht="30" customHeight="1" thickBot="1" x14ac:dyDescent="0.4">
      <c r="D12" s="39" t="s">
        <v>229</v>
      </c>
      <c r="E12" s="260" t="s">
        <v>197</v>
      </c>
      <c r="F12" s="260"/>
      <c r="G12" s="260"/>
      <c r="H12" s="261"/>
    </row>
    <row r="13" spans="4:8" ht="30" customHeight="1" thickBot="1" x14ac:dyDescent="0.4">
      <c r="D13" s="39" t="s">
        <v>230</v>
      </c>
      <c r="E13" s="263" t="s">
        <v>198</v>
      </c>
      <c r="F13" s="263"/>
      <c r="G13" s="263"/>
      <c r="H13" s="264"/>
    </row>
    <row r="14" spans="4:8" x14ac:dyDescent="0.35">
      <c r="D14" s="19"/>
      <c r="E14" s="19"/>
      <c r="F14" s="19"/>
      <c r="G14" s="19"/>
      <c r="H14" s="19"/>
    </row>
    <row r="15" spans="4:8" ht="13.75" customHeight="1" thickBot="1" x14ac:dyDescent="0.4">
      <c r="D15" s="19"/>
      <c r="E15" s="19"/>
      <c r="F15" s="19"/>
      <c r="G15" s="19"/>
      <c r="H15" s="19"/>
    </row>
    <row r="16" spans="4:8" ht="13.75" customHeight="1" thickBot="1" x14ac:dyDescent="0.4">
      <c r="D16" s="37" t="s">
        <v>200</v>
      </c>
      <c r="E16" s="39" t="s">
        <v>177</v>
      </c>
      <c r="F16" s="39" t="s">
        <v>178</v>
      </c>
      <c r="G16" s="39" t="s">
        <v>199</v>
      </c>
      <c r="H16" s="39" t="s">
        <v>185</v>
      </c>
    </row>
    <row r="17" spans="4:9" ht="50.15" customHeight="1" thickBot="1" x14ac:dyDescent="0.4">
      <c r="D17" s="38" t="s">
        <v>493</v>
      </c>
      <c r="E17" s="38" t="s">
        <v>158</v>
      </c>
      <c r="F17" s="38" t="s">
        <v>160</v>
      </c>
      <c r="G17" s="38" t="s">
        <v>160</v>
      </c>
      <c r="H17" s="120" t="str">
        <f>IF(COUNTA(E17:G17)&gt;=3,IF(OR(E17="Yes",F17="Yes",G17="Yes")=TRUE,"Performance obligation is satisfied over time",IF(COUNTA(E17:G17)=0,"","Performance obligation is satisfied at a point in time.")),"")</f>
        <v>Performance obligation is satisfied over time</v>
      </c>
    </row>
    <row r="18" spans="4:9" ht="50.15" customHeight="1" thickBot="1" x14ac:dyDescent="0.4">
      <c r="D18" s="38"/>
      <c r="E18" s="38"/>
      <c r="F18" s="38"/>
      <c r="G18" s="38"/>
      <c r="H18" s="120" t="str">
        <f t="shared" ref="H18:H20" si="0">IF(COUNTA(E18:G18)&gt;=3,IF(OR(E18="Yes",F18="Yes",G18="Yes")=TRUE,"Performance obligation is satisfied over time",IF(COUNTA(E18:G18)=0,"","Performance obligation is satisfied at a point in time.")),"")</f>
        <v/>
      </c>
    </row>
    <row r="19" spans="4:9" ht="50.15" customHeight="1" thickBot="1" x14ac:dyDescent="0.4">
      <c r="D19" s="38"/>
      <c r="F19" s="38"/>
      <c r="G19" s="38"/>
      <c r="H19" s="120" t="str">
        <f t="shared" si="0"/>
        <v/>
      </c>
    </row>
    <row r="20" spans="4:9" ht="50.15" customHeight="1" thickBot="1" x14ac:dyDescent="0.4">
      <c r="D20" s="38"/>
      <c r="E20" s="38"/>
      <c r="F20" s="38"/>
      <c r="G20" s="38"/>
      <c r="H20" s="120" t="str">
        <f t="shared" si="0"/>
        <v/>
      </c>
    </row>
    <row r="21" spans="4:9" ht="20.149999999999999" customHeight="1" thickBot="1" x14ac:dyDescent="0.4">
      <c r="D21" s="26"/>
      <c r="E21" s="24"/>
      <c r="F21" s="24"/>
      <c r="G21" s="24"/>
      <c r="H21" s="25"/>
    </row>
    <row r="22" spans="4:9" ht="33.65" customHeight="1" thickBot="1" x14ac:dyDescent="0.4">
      <c r="D22" s="268" t="s">
        <v>231</v>
      </c>
      <c r="E22" s="269"/>
      <c r="F22" s="269"/>
      <c r="G22" s="269"/>
      <c r="H22" s="270"/>
      <c r="I22" s="93" t="str">
        <f>IF(COUNTIF($E$17:$G$20,"Yes")&gt;0,"Yes","")</f>
        <v>Yes</v>
      </c>
    </row>
    <row r="23" spans="4:9" ht="20.149999999999999" customHeight="1" thickBot="1" x14ac:dyDescent="0.4"/>
    <row r="24" spans="4:9" ht="37" customHeight="1" thickBot="1" x14ac:dyDescent="0.4">
      <c r="D24" s="268" t="s">
        <v>232</v>
      </c>
      <c r="E24" s="269"/>
      <c r="F24" s="269"/>
      <c r="G24" s="269"/>
      <c r="H24" s="270"/>
      <c r="I24" s="93" t="s">
        <v>160</v>
      </c>
    </row>
    <row r="25" spans="4:9" ht="20.149999999999999" customHeight="1" thickBot="1" x14ac:dyDescent="0.4">
      <c r="D25" s="19"/>
      <c r="E25" s="19"/>
      <c r="F25" s="19"/>
      <c r="G25" s="19"/>
      <c r="H25" s="19"/>
    </row>
    <row r="26" spans="4:9" ht="25" customHeight="1" thickBot="1" x14ac:dyDescent="0.4">
      <c r="D26" s="265" t="s">
        <v>201</v>
      </c>
      <c r="E26" s="266"/>
      <c r="F26" s="266"/>
      <c r="G26" s="266"/>
      <c r="H26" s="267"/>
    </row>
    <row r="27" spans="4:9" ht="25" customHeight="1" thickBot="1" x14ac:dyDescent="0.4">
      <c r="D27" s="265" t="s">
        <v>233</v>
      </c>
      <c r="E27" s="266"/>
      <c r="F27" s="266"/>
      <c r="G27" s="266"/>
      <c r="H27" s="267"/>
    </row>
    <row r="28" spans="4:9" ht="25" customHeight="1" thickBot="1" x14ac:dyDescent="0.4">
      <c r="D28" s="257" t="s">
        <v>234</v>
      </c>
      <c r="E28" s="258"/>
      <c r="F28" s="258"/>
      <c r="G28" s="258"/>
      <c r="H28" s="259"/>
    </row>
    <row r="29" spans="4:9" ht="30" customHeight="1" thickBot="1" x14ac:dyDescent="0.4">
      <c r="D29" s="39" t="s">
        <v>203</v>
      </c>
      <c r="E29" s="260" t="s">
        <v>205</v>
      </c>
      <c r="F29" s="260"/>
      <c r="G29" s="260"/>
      <c r="H29" s="261"/>
    </row>
    <row r="30" spans="4:9" ht="30" customHeight="1" thickBot="1" x14ac:dyDescent="0.4">
      <c r="D30" s="39" t="s">
        <v>204</v>
      </c>
      <c r="E30" s="262" t="s">
        <v>206</v>
      </c>
      <c r="F30" s="263"/>
      <c r="G30" s="263"/>
      <c r="H30" s="264"/>
    </row>
    <row r="31" spans="4:9" x14ac:dyDescent="0.35">
      <c r="D31" s="19"/>
      <c r="E31" s="19"/>
      <c r="F31" s="19"/>
      <c r="G31" s="19"/>
      <c r="H31" s="19"/>
    </row>
    <row r="32" spans="4:9" ht="15" thickBot="1" x14ac:dyDescent="0.4">
      <c r="D32" s="19"/>
      <c r="E32" s="19"/>
      <c r="F32" s="19"/>
      <c r="G32" s="19"/>
      <c r="H32" s="19"/>
    </row>
    <row r="33" spans="4:8" ht="15" thickBot="1" x14ac:dyDescent="0.4">
      <c r="D33" s="39" t="s">
        <v>207</v>
      </c>
      <c r="E33" s="39" t="s">
        <v>208</v>
      </c>
      <c r="F33" s="274" t="s">
        <v>155</v>
      </c>
      <c r="G33" s="275"/>
      <c r="H33" s="276"/>
    </row>
    <row r="34" spans="4:8" s="92" customFormat="1" ht="50.15" customHeight="1" thickBot="1" x14ac:dyDescent="0.4">
      <c r="D34" s="127" t="s">
        <v>493</v>
      </c>
      <c r="E34" s="128" t="s">
        <v>405</v>
      </c>
      <c r="F34" s="271" t="s">
        <v>496</v>
      </c>
      <c r="G34" s="272"/>
      <c r="H34" s="273"/>
    </row>
    <row r="35" spans="4:8" ht="50.15" customHeight="1" thickBot="1" x14ac:dyDescent="0.4">
      <c r="D35" s="127"/>
      <c r="E35" s="127"/>
      <c r="F35" s="262"/>
      <c r="G35" s="263"/>
      <c r="H35" s="264"/>
    </row>
    <row r="36" spans="4:8" ht="50.15" customHeight="1" thickBot="1" x14ac:dyDescent="0.4">
      <c r="D36" s="127"/>
      <c r="E36" s="127"/>
      <c r="F36" s="262"/>
      <c r="G36" s="263"/>
      <c r="H36" s="264"/>
    </row>
    <row r="37" spans="4:8" ht="50.15" customHeight="1" thickBot="1" x14ac:dyDescent="0.4">
      <c r="D37" s="127"/>
      <c r="E37" s="127"/>
      <c r="F37" s="262"/>
      <c r="G37" s="263"/>
      <c r="H37" s="264"/>
    </row>
    <row r="38" spans="4:8" ht="50.15" customHeight="1" thickBot="1" x14ac:dyDescent="0.4">
      <c r="D38" s="127"/>
      <c r="E38" s="127"/>
      <c r="F38" s="262"/>
      <c r="G38" s="263"/>
      <c r="H38" s="264"/>
    </row>
    <row r="39" spans="4:8" ht="13.5" customHeight="1" x14ac:dyDescent="0.35">
      <c r="D39" s="23"/>
      <c r="E39" s="23"/>
      <c r="F39" s="23"/>
      <c r="G39" s="19"/>
      <c r="H39" s="19"/>
    </row>
    <row r="40" spans="4:8" ht="15" thickBot="1" x14ac:dyDescent="0.4">
      <c r="D40" s="22"/>
      <c r="E40" s="40"/>
      <c r="F40" s="19"/>
      <c r="G40" s="19"/>
      <c r="H40" s="19"/>
    </row>
    <row r="41" spans="4:8" ht="20.5" customHeight="1" thickBot="1" x14ac:dyDescent="0.4">
      <c r="D41" s="257" t="s">
        <v>209</v>
      </c>
      <c r="E41" s="258"/>
      <c r="F41" s="258"/>
      <c r="G41" s="258"/>
      <c r="H41" s="259"/>
    </row>
    <row r="42" spans="4:8" ht="60.65" customHeight="1" thickBot="1" x14ac:dyDescent="0.4">
      <c r="D42" s="271" t="s">
        <v>210</v>
      </c>
      <c r="E42" s="272"/>
      <c r="F42" s="272"/>
      <c r="G42" s="272"/>
      <c r="H42" s="273"/>
    </row>
    <row r="43" spans="4:8" x14ac:dyDescent="0.35"/>
    <row r="44" spans="4:8" ht="20.149999999999999" customHeight="1" x14ac:dyDescent="0.35"/>
    <row r="45" spans="4:8" ht="20.149999999999999" customHeight="1" x14ac:dyDescent="0.35"/>
    <row r="46" spans="4:8" ht="20.149999999999999" customHeight="1" x14ac:dyDescent="0.35"/>
    <row r="47" spans="4:8" ht="20.149999999999999" customHeight="1" x14ac:dyDescent="0.35"/>
    <row r="48" spans="4:8" ht="20.149999999999999" customHeight="1" x14ac:dyDescent="0.35"/>
    <row r="49" ht="20.149999999999999" customHeight="1" x14ac:dyDescent="0.35"/>
    <row r="50" ht="20.149999999999999" customHeight="1" x14ac:dyDescent="0.35"/>
  </sheetData>
  <sheetProtection selectLockedCells="1"/>
  <mergeCells count="22">
    <mergeCell ref="F38:H38"/>
    <mergeCell ref="D41:H41"/>
    <mergeCell ref="D42:H42"/>
    <mergeCell ref="F34:H34"/>
    <mergeCell ref="F33:H33"/>
    <mergeCell ref="F35:H35"/>
    <mergeCell ref="F36:H36"/>
    <mergeCell ref="F37:H37"/>
    <mergeCell ref="D7:H7"/>
    <mergeCell ref="D8:H8"/>
    <mergeCell ref="D9:H9"/>
    <mergeCell ref="D10:H10"/>
    <mergeCell ref="E11:H11"/>
    <mergeCell ref="D28:H28"/>
    <mergeCell ref="E29:H29"/>
    <mergeCell ref="E30:H30"/>
    <mergeCell ref="E12:H12"/>
    <mergeCell ref="E13:H13"/>
    <mergeCell ref="D26:H26"/>
    <mergeCell ref="D27:H27"/>
    <mergeCell ref="D22:H22"/>
    <mergeCell ref="D24:H24"/>
  </mergeCells>
  <conditionalFormatting sqref="D17:H20 I22 I24 D34:H38">
    <cfRule type="cellIs" dxfId="13" priority="1" operator="equal">
      <formula>$C$4</formula>
    </cfRule>
  </conditionalFormatting>
  <dataValidations count="2">
    <dataValidation type="list" allowBlank="1" showInputMessage="1" showErrorMessage="1" sqref="O13" xr:uid="{00000000-0002-0000-0700-000000000000}">
      <formula1>"High,Medium,Low"</formula1>
    </dataValidation>
    <dataValidation type="list" allowBlank="1" showInputMessage="1" showErrorMessage="1" sqref="E21:G21" xr:uid="{00000000-0002-0000-07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Mapping!$B$2:$B$4</xm:f>
          </x14:formula1>
          <xm:sqref>E34:E38</xm:sqref>
        </x14:dataValidation>
        <x14:dataValidation type="list" allowBlank="1" showInputMessage="1" showErrorMessage="1" xr:uid="{00000000-0002-0000-0700-000003000000}">
          <x14:formula1>
            <xm:f>Mapping!$A$2:$A$4</xm:f>
          </x14:formula1>
          <xm:sqref>E18 E17:G17 E20:G20 F18:G19 I24 I22 H23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D1:F51"/>
  <sheetViews>
    <sheetView topLeftCell="A71" zoomScale="85" zoomScaleNormal="85" workbookViewId="0">
      <selection activeCell="J71" sqref="J71"/>
    </sheetView>
  </sheetViews>
  <sheetFormatPr defaultColWidth="9.1796875" defaultRowHeight="14.5" customHeight="1" x14ac:dyDescent="0.35"/>
  <cols>
    <col min="1" max="3" width="9.1796875" style="16" customWidth="1"/>
    <col min="4" max="4" width="30" style="16" customWidth="1"/>
    <col min="5" max="5" width="50.26953125" style="16" customWidth="1"/>
    <col min="6" max="6" width="12.26953125" style="16"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x14ac:dyDescent="0.35">
      <c r="E6" s="17"/>
      <c r="F6" s="17"/>
    </row>
    <row r="7" spans="4:6" ht="15" thickBot="1" x14ac:dyDescent="0.4">
      <c r="E7" s="17"/>
      <c r="F7" s="17"/>
    </row>
    <row r="8" spans="4:6" ht="15" thickBot="1" x14ac:dyDescent="0.4">
      <c r="D8" s="279" t="s">
        <v>284</v>
      </c>
      <c r="E8" s="280"/>
      <c r="F8" s="281"/>
    </row>
    <row r="9" spans="4:6" hidden="1" x14ac:dyDescent="0.35">
      <c r="D9" s="99"/>
      <c r="E9" s="41"/>
      <c r="F9" s="41"/>
    </row>
    <row r="10" spans="4:6" hidden="1" x14ac:dyDescent="0.35">
      <c r="D10" s="100"/>
      <c r="E10" s="41"/>
      <c r="F10" s="41"/>
    </row>
    <row r="11" spans="4:6" ht="57" hidden="1" customHeight="1" thickBot="1" x14ac:dyDescent="0.4">
      <c r="D11" s="170"/>
      <c r="E11" s="171"/>
      <c r="F11" s="110"/>
    </row>
    <row r="12" spans="4:6" ht="15" hidden="1" thickBot="1" x14ac:dyDescent="0.4">
      <c r="D12" s="33"/>
      <c r="E12" s="41"/>
      <c r="F12" s="41"/>
    </row>
    <row r="13" spans="4:6" ht="20.25" hidden="1" customHeight="1" thickBot="1" x14ac:dyDescent="0.4">
      <c r="D13" s="236"/>
      <c r="E13" s="237"/>
      <c r="F13" s="238"/>
    </row>
    <row r="14" spans="4:6" ht="60" hidden="1" customHeight="1" thickBot="1" x14ac:dyDescent="0.4">
      <c r="D14" s="179"/>
      <c r="E14" s="180"/>
      <c r="F14" s="181"/>
    </row>
    <row r="15" spans="4:6" ht="13.75" hidden="1" customHeight="1" thickBot="1" x14ac:dyDescent="0.4">
      <c r="D15" s="33"/>
      <c r="E15" s="41"/>
      <c r="F15" s="41"/>
    </row>
    <row r="16" spans="4:6" ht="39" hidden="1" customHeight="1" thickBot="1" x14ac:dyDescent="0.4">
      <c r="D16" s="277"/>
      <c r="E16" s="278"/>
      <c r="F16" s="111"/>
    </row>
    <row r="17" spans="4:6" ht="13.75" hidden="1" customHeight="1" thickBot="1" x14ac:dyDescent="0.4">
      <c r="D17" s="236"/>
      <c r="E17" s="237"/>
      <c r="F17" s="238"/>
    </row>
    <row r="18" spans="4:6" ht="61" hidden="1" customHeight="1" thickBot="1" x14ac:dyDescent="0.4">
      <c r="D18" s="282"/>
      <c r="E18" s="283"/>
      <c r="F18" s="284"/>
    </row>
    <row r="19" spans="4:6" ht="13.75" hidden="1" customHeight="1" x14ac:dyDescent="0.35">
      <c r="D19" s="99"/>
      <c r="E19" s="41"/>
      <c r="F19" s="41"/>
    </row>
    <row r="20" spans="4:6" ht="13.75" customHeight="1" x14ac:dyDescent="0.35">
      <c r="D20" s="100" t="s">
        <v>404</v>
      </c>
      <c r="E20" s="41"/>
      <c r="F20" s="41"/>
    </row>
    <row r="21" spans="4:6" ht="13.75" customHeight="1" thickBot="1" x14ac:dyDescent="0.4">
      <c r="D21" s="100"/>
      <c r="E21" s="41"/>
      <c r="F21" s="41"/>
    </row>
    <row r="22" spans="4:6" ht="45.65" customHeight="1" thickBot="1" x14ac:dyDescent="0.4">
      <c r="D22" s="236" t="s">
        <v>285</v>
      </c>
      <c r="E22" s="237" t="s">
        <v>158</v>
      </c>
      <c r="F22" s="110" t="s">
        <v>159</v>
      </c>
    </row>
    <row r="23" spans="4:6" ht="13.75" customHeight="1" thickBot="1" x14ac:dyDescent="0.4">
      <c r="D23" s="33"/>
      <c r="E23" s="41"/>
      <c r="F23" s="41"/>
    </row>
    <row r="24" spans="4:6" ht="47.5" customHeight="1" thickBot="1" x14ac:dyDescent="0.4">
      <c r="D24" s="236" t="s">
        <v>286</v>
      </c>
      <c r="E24" s="237"/>
      <c r="F24" s="238"/>
    </row>
    <row r="25" spans="4:6" ht="13.75" customHeight="1" thickBot="1" x14ac:dyDescent="0.4">
      <c r="D25" s="288" t="s">
        <v>287</v>
      </c>
      <c r="E25" s="289"/>
      <c r="F25" s="290"/>
    </row>
    <row r="26" spans="4:6" ht="15" thickBot="1" x14ac:dyDescent="0.4">
      <c r="D26" s="33"/>
      <c r="E26" s="41"/>
      <c r="F26" s="41"/>
    </row>
    <row r="27" spans="4:6" ht="45" customHeight="1" thickBot="1" x14ac:dyDescent="0.4">
      <c r="D27" s="34" t="s">
        <v>288</v>
      </c>
      <c r="E27" s="49" t="s">
        <v>289</v>
      </c>
      <c r="F27" s="74" t="s">
        <v>160</v>
      </c>
    </row>
    <row r="28" spans="4:6" ht="45" customHeight="1" thickBot="1" x14ac:dyDescent="0.4">
      <c r="D28" s="35" t="s">
        <v>290</v>
      </c>
      <c r="E28" s="36" t="s">
        <v>291</v>
      </c>
      <c r="F28" s="74" t="s">
        <v>160</v>
      </c>
    </row>
    <row r="29" spans="4:6" ht="45" customHeight="1" thickBot="1" x14ac:dyDescent="0.4">
      <c r="D29" s="35" t="s">
        <v>292</v>
      </c>
      <c r="E29" s="36" t="s">
        <v>293</v>
      </c>
      <c r="F29" s="74" t="s">
        <v>160</v>
      </c>
    </row>
    <row r="30" spans="4:6" ht="15" thickBot="1" x14ac:dyDescent="0.4">
      <c r="D30" s="33"/>
      <c r="E30" s="41"/>
      <c r="F30" s="41"/>
    </row>
    <row r="31" spans="4:6" ht="15" thickBot="1" x14ac:dyDescent="0.4">
      <c r="D31" s="236" t="s">
        <v>172</v>
      </c>
      <c r="E31" s="237"/>
      <c r="F31" s="238"/>
    </row>
    <row r="32" spans="4:6" ht="66.650000000000006" customHeight="1" thickBot="1" x14ac:dyDescent="0.4">
      <c r="D32" s="285" t="s">
        <v>432</v>
      </c>
      <c r="E32" s="286"/>
      <c r="F32" s="287"/>
    </row>
    <row r="33" spans="4:6" ht="15" thickBot="1" x14ac:dyDescent="0.4">
      <c r="D33" s="33"/>
      <c r="E33" s="41"/>
      <c r="F33" s="41"/>
    </row>
    <row r="34" spans="4:6" ht="25" customHeight="1" thickBot="1" x14ac:dyDescent="0.4">
      <c r="D34" s="236" t="s">
        <v>294</v>
      </c>
      <c r="E34" s="237"/>
      <c r="F34" s="238"/>
    </row>
    <row r="35" spans="4:6" ht="57" customHeight="1" thickBot="1" x14ac:dyDescent="0.4">
      <c r="D35" s="285" t="s">
        <v>432</v>
      </c>
      <c r="E35" s="286"/>
      <c r="F35" s="287"/>
    </row>
    <row r="36" spans="4:6" ht="15" thickBot="1" x14ac:dyDescent="0.4">
      <c r="D36" s="101"/>
      <c r="E36" s="41"/>
      <c r="F36" s="41"/>
    </row>
    <row r="37" spans="4:6" ht="30" customHeight="1" thickBot="1" x14ac:dyDescent="0.4">
      <c r="D37" s="291" t="s">
        <v>295</v>
      </c>
      <c r="E37" s="292"/>
      <c r="F37" s="293"/>
    </row>
    <row r="38" spans="4:6" ht="30" customHeight="1" thickBot="1" x14ac:dyDescent="0.4">
      <c r="D38" s="99"/>
      <c r="E38" s="41"/>
      <c r="F38" s="41"/>
    </row>
    <row r="39" spans="4:6" ht="44.15" customHeight="1" x14ac:dyDescent="0.35">
      <c r="D39" s="294" t="s">
        <v>296</v>
      </c>
      <c r="E39" s="295"/>
      <c r="F39" s="106" t="s">
        <v>159</v>
      </c>
    </row>
    <row r="40" spans="4:6" ht="25" hidden="1" customHeight="1" thickBot="1" x14ac:dyDescent="0.4">
      <c r="D40" s="179" t="s">
        <v>297</v>
      </c>
      <c r="E40" s="180"/>
      <c r="F40" s="181"/>
    </row>
    <row r="41" spans="4:6" ht="26.15" hidden="1" customHeight="1" thickBot="1" x14ac:dyDescent="0.4">
      <c r="D41" s="179"/>
      <c r="E41" s="180"/>
      <c r="F41" s="181"/>
    </row>
    <row r="42" spans="4:6" ht="26.15" hidden="1" customHeight="1" x14ac:dyDescent="0.35">
      <c r="D42" s="103"/>
      <c r="E42" s="103"/>
      <c r="F42" s="103"/>
    </row>
    <row r="43" spans="4:6" ht="14.5" hidden="1" customHeight="1" thickBot="1" x14ac:dyDescent="0.4">
      <c r="D43" s="33"/>
      <c r="E43" s="41"/>
      <c r="F43" s="41"/>
    </row>
    <row r="44" spans="4:6" ht="14.5" hidden="1" customHeight="1" thickBot="1" x14ac:dyDescent="0.4">
      <c r="D44" s="277" t="s">
        <v>298</v>
      </c>
      <c r="E44" s="278"/>
      <c r="F44" s="102"/>
    </row>
    <row r="45" spans="4:6" ht="33.65" hidden="1" customHeight="1" thickBot="1" x14ac:dyDescent="0.4">
      <c r="D45" s="179" t="s">
        <v>299</v>
      </c>
      <c r="E45" s="180"/>
      <c r="F45" s="181"/>
    </row>
    <row r="46" spans="4:6" ht="26.15" hidden="1" customHeight="1" thickBot="1" x14ac:dyDescent="0.4">
      <c r="D46" s="179"/>
      <c r="E46" s="180"/>
      <c r="F46" s="181"/>
    </row>
    <row r="47" spans="4:6" ht="26.15" hidden="1" customHeight="1" thickBot="1" x14ac:dyDescent="0.4">
      <c r="D47" s="19"/>
      <c r="E47" s="19"/>
      <c r="F47" s="19"/>
    </row>
    <row r="48" spans="4:6" ht="14.5" hidden="1" customHeight="1" thickBot="1" x14ac:dyDescent="0.4">
      <c r="D48" s="236" t="s">
        <v>300</v>
      </c>
      <c r="E48" s="238" t="s">
        <v>158</v>
      </c>
      <c r="F48" s="104"/>
    </row>
    <row r="49" spans="4:6" ht="14.5" customHeight="1" thickBot="1" x14ac:dyDescent="0.4">
      <c r="D49" s="33"/>
      <c r="E49" s="41"/>
      <c r="F49" s="41"/>
    </row>
    <row r="50" spans="4:6" ht="14.5" customHeight="1" thickBot="1" x14ac:dyDescent="0.4">
      <c r="D50" s="236" t="s">
        <v>172</v>
      </c>
      <c r="E50" s="237"/>
      <c r="F50" s="238"/>
    </row>
    <row r="51" spans="4:6" ht="69.650000000000006" customHeight="1" thickBot="1" x14ac:dyDescent="0.4">
      <c r="D51" s="285" t="s">
        <v>433</v>
      </c>
      <c r="E51" s="286"/>
      <c r="F51" s="287"/>
    </row>
  </sheetData>
  <mergeCells count="24">
    <mergeCell ref="D48:E48"/>
    <mergeCell ref="D46:F46"/>
    <mergeCell ref="D50:F50"/>
    <mergeCell ref="D51:F51"/>
    <mergeCell ref="D11:E11"/>
    <mergeCell ref="D13:F13"/>
    <mergeCell ref="D22:E22"/>
    <mergeCell ref="D24:F24"/>
    <mergeCell ref="D25:F25"/>
    <mergeCell ref="D31:F31"/>
    <mergeCell ref="D32:F32"/>
    <mergeCell ref="D34:F34"/>
    <mergeCell ref="D35:F35"/>
    <mergeCell ref="D37:F37"/>
    <mergeCell ref="D39:E39"/>
    <mergeCell ref="D40:F40"/>
    <mergeCell ref="D41:F41"/>
    <mergeCell ref="D44:E44"/>
    <mergeCell ref="D45:F45"/>
    <mergeCell ref="D8:F8"/>
    <mergeCell ref="D14:F14"/>
    <mergeCell ref="D16:E16"/>
    <mergeCell ref="D17:F17"/>
    <mergeCell ref="D18:F18"/>
  </mergeCells>
  <conditionalFormatting sqref="F11 D14:F14 F16 D18:F18 F22 F27:F29 D32:F32 D35:F35 F39 D41:F41 F44 D46:F46 F48 D51:F51">
    <cfRule type="cellIs" dxfId="12" priority="1" operator="equal">
      <formula>$C$4</formula>
    </cfRule>
  </conditionalFormatting>
  <dataValidations count="1">
    <dataValidation type="list" allowBlank="1" showInputMessage="1" showErrorMessage="1" sqref="O13" xr:uid="{00000000-0002-0000-08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Mapping!$A$2:$A$4</xm:f>
          </x14:formula1>
          <xm:sqref>E48:F48 F39 E22:F22 F27:F29 F16 F44 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D1:H46"/>
  <sheetViews>
    <sheetView zoomScale="85" zoomScaleNormal="70" workbookViewId="0">
      <selection activeCell="L10" sqref="L10"/>
    </sheetView>
  </sheetViews>
  <sheetFormatPr defaultColWidth="9.1796875" defaultRowHeight="14.5" customHeight="1" x14ac:dyDescent="0.35"/>
  <cols>
    <col min="1" max="3" width="9.1796875" style="16" customWidth="1"/>
    <col min="4" max="4" width="22.81640625" style="16" customWidth="1"/>
    <col min="5" max="5" width="71.7265625" style="92" customWidth="1"/>
    <col min="6" max="6" width="12.81640625" style="16" customWidth="1"/>
    <col min="7" max="7" width="56.1796875" style="16" customWidth="1"/>
    <col min="8"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ht="15" thickBot="1" x14ac:dyDescent="0.4">
      <c r="E5" s="133"/>
      <c r="F5" s="17"/>
    </row>
    <row r="6" spans="4:8" ht="15" thickBot="1" x14ac:dyDescent="0.4">
      <c r="D6" s="312" t="s">
        <v>317</v>
      </c>
      <c r="E6" s="313"/>
      <c r="F6" s="313"/>
      <c r="G6" s="313"/>
      <c r="H6" s="314"/>
    </row>
    <row r="7" spans="4:8" x14ac:dyDescent="0.35">
      <c r="D7" s="19"/>
      <c r="E7" s="134"/>
      <c r="F7" s="17"/>
    </row>
    <row r="8" spans="4:8" x14ac:dyDescent="0.35">
      <c r="D8" s="17"/>
    </row>
    <row r="9" spans="4:8" ht="15" thickBot="1" x14ac:dyDescent="0.4"/>
    <row r="10" spans="4:8" ht="15" thickBot="1" x14ac:dyDescent="0.4">
      <c r="D10" s="29" t="s">
        <v>318</v>
      </c>
      <c r="E10" s="135" t="s">
        <v>155</v>
      </c>
      <c r="F10" s="30" t="s">
        <v>319</v>
      </c>
      <c r="G10" s="325" t="s">
        <v>320</v>
      </c>
      <c r="H10" s="326"/>
    </row>
    <row r="11" spans="4:8" ht="47.15" customHeight="1" x14ac:dyDescent="0.35">
      <c r="D11" s="331" t="s">
        <v>321</v>
      </c>
      <c r="E11" s="131" t="s">
        <v>322</v>
      </c>
      <c r="F11" s="333" t="s">
        <v>158</v>
      </c>
      <c r="G11" s="321" t="s">
        <v>501</v>
      </c>
      <c r="H11" s="322"/>
    </row>
    <row r="12" spans="4:8" ht="25" customHeight="1" thickBot="1" x14ac:dyDescent="0.4">
      <c r="D12" s="332"/>
      <c r="E12" s="132" t="s">
        <v>323</v>
      </c>
      <c r="F12" s="334"/>
      <c r="G12" s="323"/>
      <c r="H12" s="324"/>
    </row>
    <row r="13" spans="4:8" ht="45.65" customHeight="1" x14ac:dyDescent="0.35">
      <c r="D13" s="341" t="s">
        <v>324</v>
      </c>
      <c r="E13" s="131" t="s">
        <v>325</v>
      </c>
      <c r="F13" s="333" t="s">
        <v>158</v>
      </c>
      <c r="G13" s="321" t="s">
        <v>502</v>
      </c>
      <c r="H13" s="322"/>
    </row>
    <row r="14" spans="4:8" ht="25" customHeight="1" thickBot="1" x14ac:dyDescent="0.4">
      <c r="D14" s="342"/>
      <c r="E14" s="132" t="s">
        <v>326</v>
      </c>
      <c r="F14" s="334"/>
      <c r="G14" s="323"/>
      <c r="H14" s="324"/>
    </row>
    <row r="15" spans="4:8" ht="45" customHeight="1" x14ac:dyDescent="0.35">
      <c r="D15" s="341" t="s">
        <v>324</v>
      </c>
      <c r="E15" s="131" t="s">
        <v>327</v>
      </c>
      <c r="F15" s="333" t="s">
        <v>160</v>
      </c>
      <c r="G15" s="321" t="s">
        <v>434</v>
      </c>
      <c r="H15" s="322"/>
    </row>
    <row r="16" spans="4:8" ht="53.5" customHeight="1" x14ac:dyDescent="0.35">
      <c r="D16" s="343"/>
      <c r="E16" s="131" t="s">
        <v>328</v>
      </c>
      <c r="F16" s="344"/>
      <c r="G16" s="327"/>
      <c r="H16" s="328"/>
    </row>
    <row r="17" spans="4:8" ht="25" customHeight="1" thickBot="1" x14ac:dyDescent="0.4">
      <c r="D17" s="342"/>
      <c r="E17" s="132" t="s">
        <v>329</v>
      </c>
      <c r="F17" s="334"/>
      <c r="G17" s="323"/>
      <c r="H17" s="324"/>
    </row>
    <row r="18" spans="4:8" ht="46.5" customHeight="1" thickBot="1" x14ac:dyDescent="0.4">
      <c r="D18" s="96" t="s">
        <v>324</v>
      </c>
      <c r="E18" s="131" t="s">
        <v>330</v>
      </c>
      <c r="F18" s="129" t="s">
        <v>158</v>
      </c>
      <c r="G18" s="335" t="s">
        <v>503</v>
      </c>
      <c r="H18" s="336"/>
    </row>
    <row r="19" spans="4:8" ht="47.15" customHeight="1" thickBot="1" x14ac:dyDescent="0.4">
      <c r="D19" s="42"/>
      <c r="E19" s="136" t="s">
        <v>360</v>
      </c>
      <c r="F19" s="130"/>
      <c r="G19" s="335" t="s">
        <v>435</v>
      </c>
      <c r="H19" s="336"/>
    </row>
    <row r="20" spans="4:8" ht="13.75" customHeight="1" x14ac:dyDescent="0.35"/>
    <row r="21" spans="4:8" ht="13.75" customHeight="1" x14ac:dyDescent="0.35"/>
    <row r="22" spans="4:8" ht="13.75" customHeight="1" thickBot="1" x14ac:dyDescent="0.4">
      <c r="D22" s="15" t="s">
        <v>331</v>
      </c>
      <c r="E22" s="137"/>
      <c r="F22"/>
      <c r="G22"/>
    </row>
    <row r="23" spans="4:8" ht="13.75" customHeight="1" thickBot="1" x14ac:dyDescent="0.4">
      <c r="D23" s="29" t="s">
        <v>318</v>
      </c>
      <c r="E23" s="135" t="s">
        <v>155</v>
      </c>
      <c r="F23" s="43" t="s">
        <v>319</v>
      </c>
      <c r="G23" s="315" t="s">
        <v>320</v>
      </c>
      <c r="H23" s="316"/>
    </row>
    <row r="24" spans="4:8" ht="41.5" customHeight="1" thickBot="1" x14ac:dyDescent="0.4">
      <c r="D24" s="59" t="s">
        <v>332</v>
      </c>
      <c r="E24" s="132" t="s">
        <v>333</v>
      </c>
      <c r="F24" s="129" t="s">
        <v>159</v>
      </c>
      <c r="G24" s="335" t="s">
        <v>436</v>
      </c>
      <c r="H24" s="336"/>
    </row>
    <row r="25" spans="4:8" x14ac:dyDescent="0.35"/>
    <row r="26" spans="4:8" x14ac:dyDescent="0.35"/>
    <row r="27" spans="4:8" ht="4.5" customHeight="1" x14ac:dyDescent="0.35"/>
    <row r="28" spans="4:8" ht="7.5" customHeight="1" x14ac:dyDescent="0.35"/>
    <row r="29" spans="4:8" ht="8.15" hidden="1" customHeight="1" x14ac:dyDescent="0.35"/>
    <row r="30" spans="4:8" hidden="1" x14ac:dyDescent="0.35"/>
    <row r="31" spans="4:8" x14ac:dyDescent="0.35"/>
    <row r="32" spans="4:8" x14ac:dyDescent="0.35"/>
    <row r="33" spans="4:8" ht="14.5" customHeight="1" thickBot="1" x14ac:dyDescent="0.4">
      <c r="D33" s="15" t="s">
        <v>334</v>
      </c>
      <c r="E33" s="137"/>
      <c r="F33"/>
      <c r="G33"/>
    </row>
    <row r="34" spans="4:8" ht="27.65" customHeight="1" thickBot="1" x14ac:dyDescent="0.4">
      <c r="D34" s="29" t="s">
        <v>318</v>
      </c>
      <c r="E34" s="135" t="s">
        <v>155</v>
      </c>
      <c r="F34" s="43" t="s">
        <v>319</v>
      </c>
      <c r="G34" s="315" t="s">
        <v>320</v>
      </c>
      <c r="H34" s="316"/>
    </row>
    <row r="35" spans="4:8" ht="49.5" customHeight="1" x14ac:dyDescent="0.35">
      <c r="D35" s="31" t="s">
        <v>335</v>
      </c>
      <c r="E35" s="131" t="s">
        <v>504</v>
      </c>
      <c r="F35" s="329" t="s">
        <v>159</v>
      </c>
      <c r="G35" s="337" t="s">
        <v>437</v>
      </c>
      <c r="H35" s="338"/>
    </row>
    <row r="36" spans="4:8" ht="14.5" customHeight="1" thickBot="1" x14ac:dyDescent="0.4">
      <c r="D36" s="32"/>
      <c r="E36" s="132" t="s">
        <v>336</v>
      </c>
      <c r="F36" s="330"/>
      <c r="G36" s="339"/>
      <c r="H36" s="340"/>
    </row>
    <row r="37" spans="4:8" ht="47.5" customHeight="1" x14ac:dyDescent="0.35">
      <c r="D37" s="31" t="s">
        <v>337</v>
      </c>
      <c r="E37" s="131" t="s">
        <v>338</v>
      </c>
      <c r="F37" s="329" t="s">
        <v>159</v>
      </c>
      <c r="G37" s="317" t="s">
        <v>436</v>
      </c>
      <c r="H37" s="318"/>
    </row>
    <row r="38" spans="4:8" ht="25" customHeight="1" thickBot="1" x14ac:dyDescent="0.4">
      <c r="D38" s="32"/>
      <c r="E38" s="132" t="s">
        <v>339</v>
      </c>
      <c r="F38" s="330"/>
      <c r="G38" s="319"/>
      <c r="H38" s="320"/>
    </row>
    <row r="39" spans="4:8" ht="40" customHeight="1" x14ac:dyDescent="0.35">
      <c r="D39" s="31" t="s">
        <v>340</v>
      </c>
      <c r="E39" s="131" t="s">
        <v>341</v>
      </c>
      <c r="F39" s="329" t="s">
        <v>159</v>
      </c>
      <c r="G39" s="296" t="s">
        <v>438</v>
      </c>
      <c r="H39" s="297"/>
    </row>
    <row r="40" spans="4:8" ht="57" customHeight="1" thickBot="1" x14ac:dyDescent="0.4">
      <c r="D40" s="32"/>
      <c r="E40" s="132" t="s">
        <v>342</v>
      </c>
      <c r="F40" s="330"/>
      <c r="G40" s="298"/>
      <c r="H40" s="299"/>
    </row>
    <row r="41" spans="4:8" ht="25" customHeight="1" x14ac:dyDescent="0.35"/>
    <row r="42" spans="4:8" ht="25" hidden="1" customHeight="1" thickBot="1" x14ac:dyDescent="0.4">
      <c r="D42" s="15" t="s">
        <v>385</v>
      </c>
      <c r="E42" s="137"/>
      <c r="F42"/>
      <c r="G42"/>
    </row>
    <row r="43" spans="4:8" ht="25" hidden="1" customHeight="1" thickBot="1" x14ac:dyDescent="0.4">
      <c r="D43" s="79" t="s">
        <v>318</v>
      </c>
      <c r="E43" s="138" t="s">
        <v>155</v>
      </c>
      <c r="F43" s="80" t="s">
        <v>303</v>
      </c>
      <c r="G43" s="300" t="s">
        <v>320</v>
      </c>
      <c r="H43" s="301"/>
    </row>
    <row r="44" spans="4:8" ht="35.15" hidden="1" customHeight="1" x14ac:dyDescent="0.35">
      <c r="D44" s="302"/>
      <c r="E44" s="304" t="s">
        <v>504</v>
      </c>
      <c r="F44" s="302"/>
      <c r="G44" s="306"/>
      <c r="H44" s="307"/>
    </row>
    <row r="45" spans="4:8" ht="14.5" hidden="1" customHeight="1" thickBot="1" x14ac:dyDescent="0.4">
      <c r="D45" s="303"/>
      <c r="E45" s="305"/>
      <c r="F45" s="303"/>
      <c r="G45" s="308"/>
      <c r="H45" s="309"/>
    </row>
    <row r="46" spans="4:8" ht="20.149999999999999" hidden="1" customHeight="1" thickBot="1" x14ac:dyDescent="0.4">
      <c r="D46" s="27" t="s">
        <v>343</v>
      </c>
      <c r="E46" s="132" t="s">
        <v>344</v>
      </c>
      <c r="F46" s="28"/>
      <c r="G46" s="310"/>
      <c r="H46" s="311"/>
    </row>
  </sheetData>
  <mergeCells count="28">
    <mergeCell ref="G35:H36"/>
    <mergeCell ref="F37:F38"/>
    <mergeCell ref="D13:D14"/>
    <mergeCell ref="F13:F14"/>
    <mergeCell ref="D15:D17"/>
    <mergeCell ref="F15:F17"/>
    <mergeCell ref="G46:H46"/>
    <mergeCell ref="D6:H6"/>
    <mergeCell ref="G34:H34"/>
    <mergeCell ref="G37:H38"/>
    <mergeCell ref="G11:H12"/>
    <mergeCell ref="G13:H14"/>
    <mergeCell ref="G10:H10"/>
    <mergeCell ref="G15:H17"/>
    <mergeCell ref="F39:F40"/>
    <mergeCell ref="D11:D12"/>
    <mergeCell ref="F11:F12"/>
    <mergeCell ref="G24:H24"/>
    <mergeCell ref="G23:H23"/>
    <mergeCell ref="G18:H18"/>
    <mergeCell ref="G19:H19"/>
    <mergeCell ref="F35:F36"/>
    <mergeCell ref="G39:H40"/>
    <mergeCell ref="G43:H43"/>
    <mergeCell ref="F44:F45"/>
    <mergeCell ref="E44:E45"/>
    <mergeCell ref="D44:D45"/>
    <mergeCell ref="G44:H45"/>
  </mergeCells>
  <conditionalFormatting sqref="F24 F11 F35:H35 G36:H36 F15 F13 F37 F39 F46:H46 G39:H40">
    <cfRule type="cellIs" dxfId="11" priority="9" operator="equal">
      <formula>$C$4</formula>
    </cfRule>
  </conditionalFormatting>
  <conditionalFormatting sqref="F18">
    <cfRule type="cellIs" dxfId="10" priority="8" operator="equal">
      <formula>$C$4</formula>
    </cfRule>
  </conditionalFormatting>
  <conditionalFormatting sqref="G11:H12">
    <cfRule type="cellIs" dxfId="9" priority="7" operator="equal">
      <formula>$C$4</formula>
    </cfRule>
  </conditionalFormatting>
  <conditionalFormatting sqref="G13:H14">
    <cfRule type="cellIs" dxfId="8" priority="6" operator="equal">
      <formula>$C$4</formula>
    </cfRule>
  </conditionalFormatting>
  <conditionalFormatting sqref="G15:H17">
    <cfRule type="cellIs" dxfId="7" priority="5" operator="equal">
      <formula>$C$4</formula>
    </cfRule>
  </conditionalFormatting>
  <conditionalFormatting sqref="G18:H18">
    <cfRule type="cellIs" dxfId="6" priority="4" operator="equal">
      <formula>$C$4</formula>
    </cfRule>
  </conditionalFormatting>
  <conditionalFormatting sqref="G19:H19">
    <cfRule type="cellIs" dxfId="5" priority="3" operator="equal">
      <formula>$C$4</formula>
    </cfRule>
  </conditionalFormatting>
  <conditionalFormatting sqref="G24:H24">
    <cfRule type="cellIs" dxfId="4" priority="2" operator="equal">
      <formula>$C$4</formula>
    </cfRule>
  </conditionalFormatting>
  <conditionalFormatting sqref="G37:H38">
    <cfRule type="cellIs" dxfId="3" priority="1" operator="equal">
      <formula>$C$4</formula>
    </cfRule>
  </conditionalFormatting>
  <dataValidations count="1">
    <dataValidation type="list" allowBlank="1" showInputMessage="1" showErrorMessage="1" sqref="M13" xr:uid="{00000000-0002-0000-09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Mapping!$A$2:$A$4</xm:f>
          </x14:formula1>
          <xm:sqref>F11:F18 F24 F35:F40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O44"/>
  <sheetViews>
    <sheetView tabSelected="1" workbookViewId="0">
      <selection activeCell="A3" sqref="A3"/>
    </sheetView>
  </sheetViews>
  <sheetFormatPr defaultColWidth="9.1796875" defaultRowHeight="14.5" customHeight="1" x14ac:dyDescent="0.35"/>
  <cols>
    <col min="1" max="1" width="9.1796875" style="16" customWidth="1"/>
    <col min="2" max="2" width="51.54296875" style="16" customWidth="1"/>
    <col min="3"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1:15" x14ac:dyDescent="0.35"/>
    <row r="2" spans="1:15" x14ac:dyDescent="0.35">
      <c r="A2"/>
      <c r="B2" s="346" t="s">
        <v>439</v>
      </c>
      <c r="C2" s="346"/>
      <c r="D2" s="346"/>
      <c r="E2" s="346"/>
      <c r="F2" s="346"/>
      <c r="G2" s="346"/>
      <c r="H2" s="346"/>
      <c r="I2" s="346"/>
      <c r="J2" s="346"/>
      <c r="K2" s="346"/>
      <c r="L2" s="346"/>
      <c r="M2" s="346"/>
      <c r="N2"/>
      <c r="O2"/>
    </row>
    <row r="3" spans="1:15" ht="58.5" customHeight="1" x14ac:dyDescent="0.35">
      <c r="A3" s="142">
        <v>1</v>
      </c>
      <c r="B3" s="345" t="s">
        <v>428</v>
      </c>
      <c r="C3" s="345"/>
      <c r="D3" s="345"/>
      <c r="E3" s="345"/>
      <c r="F3" s="345"/>
      <c r="G3" s="345"/>
      <c r="H3" s="345"/>
      <c r="I3" s="345"/>
      <c r="J3" s="345"/>
      <c r="K3" s="345"/>
      <c r="L3" s="345"/>
      <c r="M3" s="345"/>
      <c r="N3"/>
      <c r="O3"/>
    </row>
    <row r="4" spans="1:15" ht="18" customHeight="1" x14ac:dyDescent="0.35">
      <c r="A4" s="142"/>
      <c r="B4" s="146"/>
      <c r="C4" s="146"/>
      <c r="D4" s="146"/>
      <c r="E4" s="146"/>
      <c r="F4" s="146"/>
      <c r="G4" s="146"/>
      <c r="H4" s="146"/>
      <c r="I4" s="146"/>
      <c r="J4" s="146"/>
      <c r="K4" s="146"/>
      <c r="L4" s="146"/>
      <c r="M4" s="146"/>
      <c r="N4"/>
      <c r="O4"/>
    </row>
    <row r="5" spans="1:15" ht="28.5" customHeight="1" x14ac:dyDescent="0.35">
      <c r="A5" s="142">
        <v>2</v>
      </c>
      <c r="B5" s="347" t="s">
        <v>497</v>
      </c>
      <c r="C5" s="347"/>
      <c r="D5" s="347"/>
      <c r="E5" s="347"/>
      <c r="F5" s="347"/>
      <c r="G5" s="347"/>
      <c r="H5" s="347"/>
      <c r="I5" s="347"/>
      <c r="J5" s="347"/>
      <c r="K5" s="347"/>
      <c r="L5" s="347"/>
      <c r="M5" s="347"/>
      <c r="N5"/>
      <c r="O5"/>
    </row>
    <row r="6" spans="1:15" ht="40.5" customHeight="1" x14ac:dyDescent="0.35">
      <c r="A6"/>
      <c r="B6" s="345" t="s">
        <v>498</v>
      </c>
      <c r="C6" s="345"/>
      <c r="D6" s="345"/>
      <c r="E6" s="345"/>
      <c r="F6" s="345"/>
      <c r="G6" s="345"/>
      <c r="H6" s="345"/>
      <c r="I6" s="345"/>
      <c r="J6" s="345"/>
      <c r="K6" s="345"/>
      <c r="L6" s="345"/>
      <c r="M6" s="345"/>
      <c r="N6"/>
      <c r="O6"/>
    </row>
    <row r="7" spans="1:15" x14ac:dyDescent="0.35">
      <c r="A7" s="142">
        <v>3</v>
      </c>
      <c r="B7" s="143" t="s">
        <v>441</v>
      </c>
      <c r="C7"/>
      <c r="D7"/>
      <c r="E7"/>
      <c r="F7"/>
      <c r="G7"/>
      <c r="H7"/>
      <c r="I7"/>
      <c r="J7"/>
      <c r="K7"/>
      <c r="L7"/>
      <c r="M7"/>
    </row>
    <row r="8" spans="1:15" ht="44.5" customHeight="1" x14ac:dyDescent="0.35">
      <c r="A8"/>
      <c r="B8" s="345" t="s">
        <v>499</v>
      </c>
      <c r="C8" s="345"/>
      <c r="D8" s="345"/>
      <c r="E8" s="345"/>
      <c r="F8" s="345"/>
      <c r="G8" s="345"/>
      <c r="H8" s="345"/>
      <c r="I8" s="345"/>
      <c r="J8" s="345"/>
      <c r="K8" s="345"/>
      <c r="L8" s="345"/>
      <c r="M8" s="345"/>
    </row>
    <row r="9" spans="1:15" ht="39" customHeight="1" x14ac:dyDescent="0.35">
      <c r="A9"/>
      <c r="B9" s="345" t="s">
        <v>442</v>
      </c>
      <c r="C9" s="345"/>
      <c r="D9" s="345"/>
      <c r="E9" s="345"/>
      <c r="F9" s="345"/>
      <c r="G9" s="345"/>
      <c r="H9" s="345"/>
      <c r="I9" s="345"/>
      <c r="J9" s="345"/>
      <c r="K9" s="345"/>
      <c r="L9" s="345"/>
      <c r="M9" s="345"/>
    </row>
    <row r="10" spans="1:15" x14ac:dyDescent="0.35">
      <c r="A10"/>
      <c r="B10" s="347" t="s">
        <v>440</v>
      </c>
      <c r="C10" s="347"/>
      <c r="D10" s="347"/>
      <c r="E10" s="347"/>
      <c r="F10" s="347"/>
      <c r="G10" s="347"/>
      <c r="H10" s="347"/>
      <c r="I10" s="347"/>
      <c r="J10" s="347"/>
      <c r="K10" s="347"/>
      <c r="L10" s="347"/>
      <c r="M10" s="347"/>
    </row>
    <row r="11" spans="1:15" ht="39" customHeight="1" x14ac:dyDescent="0.35">
      <c r="A11"/>
      <c r="B11" s="345" t="s">
        <v>438</v>
      </c>
      <c r="C11" s="345"/>
      <c r="D11" s="345"/>
      <c r="E11" s="345"/>
      <c r="F11" s="345"/>
      <c r="G11" s="345"/>
      <c r="H11" s="345"/>
      <c r="I11" s="345"/>
      <c r="J11" s="345"/>
      <c r="K11" s="345"/>
      <c r="L11" s="345"/>
      <c r="M11" s="345"/>
    </row>
    <row r="12" spans="1:15" x14ac:dyDescent="0.35">
      <c r="A12"/>
      <c r="B12" s="145"/>
      <c r="C12"/>
      <c r="D12"/>
      <c r="E12"/>
      <c r="F12"/>
      <c r="G12"/>
      <c r="H12"/>
      <c r="I12"/>
      <c r="J12"/>
      <c r="K12"/>
      <c r="L12"/>
      <c r="M12"/>
    </row>
    <row r="13" spans="1:15" x14ac:dyDescent="0.35">
      <c r="A13" s="142">
        <v>4</v>
      </c>
      <c r="B13" s="143" t="s">
        <v>444</v>
      </c>
      <c r="C13"/>
      <c r="D13"/>
      <c r="E13"/>
      <c r="F13"/>
      <c r="G13"/>
      <c r="H13"/>
      <c r="I13"/>
      <c r="J13"/>
      <c r="K13"/>
      <c r="L13" s="144"/>
      <c r="M13"/>
    </row>
    <row r="14" spans="1:15" ht="49.5" customHeight="1" x14ac:dyDescent="0.35">
      <c r="B14" s="345" t="s">
        <v>500</v>
      </c>
      <c r="C14" s="345"/>
      <c r="D14" s="345"/>
      <c r="E14" s="345"/>
      <c r="F14" s="345"/>
      <c r="G14" s="345"/>
      <c r="H14" s="345"/>
      <c r="I14" s="345"/>
      <c r="J14" s="345"/>
      <c r="K14" s="345"/>
      <c r="L14" s="345"/>
      <c r="M14" s="345"/>
    </row>
    <row r="15" spans="1:15" x14ac:dyDescent="0.35">
      <c r="B15" s="345"/>
      <c r="C15" s="345"/>
      <c r="D15" s="345"/>
      <c r="E15" s="345"/>
      <c r="F15" s="345"/>
      <c r="G15" s="345"/>
      <c r="H15" s="345"/>
      <c r="I15" s="345"/>
      <c r="J15" s="345"/>
      <c r="K15" s="345"/>
      <c r="L15" s="345"/>
      <c r="M15" s="345"/>
    </row>
    <row r="16" spans="1:15" x14ac:dyDescent="0.35">
      <c r="A16" s="16">
        <v>5</v>
      </c>
      <c r="B16" s="143" t="s">
        <v>456</v>
      </c>
    </row>
    <row r="17" spans="1:13" ht="39.75" customHeight="1" x14ac:dyDescent="0.35">
      <c r="B17" s="345" t="s">
        <v>457</v>
      </c>
      <c r="C17" s="345"/>
      <c r="D17" s="345"/>
      <c r="E17" s="345"/>
      <c r="F17" s="345"/>
      <c r="G17" s="345"/>
      <c r="H17" s="345"/>
      <c r="I17" s="345"/>
      <c r="J17" s="345"/>
      <c r="K17" s="345"/>
      <c r="L17" s="345"/>
      <c r="M17" s="345"/>
    </row>
    <row r="18" spans="1:13" x14ac:dyDescent="0.35">
      <c r="B18" s="347" t="s">
        <v>440</v>
      </c>
      <c r="C18" s="347"/>
      <c r="D18" s="347"/>
      <c r="E18" s="347"/>
      <c r="F18" s="347"/>
      <c r="G18" s="347"/>
      <c r="H18" s="347"/>
      <c r="I18" s="347"/>
      <c r="J18" s="347"/>
      <c r="K18" s="347"/>
      <c r="L18" s="347"/>
      <c r="M18" s="347"/>
    </row>
    <row r="19" spans="1:13" ht="43.5" customHeight="1" x14ac:dyDescent="0.35">
      <c r="B19" s="345" t="s">
        <v>458</v>
      </c>
      <c r="C19" s="345"/>
      <c r="D19" s="345"/>
      <c r="E19" s="345"/>
      <c r="F19" s="345"/>
      <c r="G19" s="345"/>
      <c r="H19" s="345"/>
      <c r="I19" s="345"/>
      <c r="J19" s="345"/>
      <c r="K19" s="345"/>
      <c r="L19" s="345"/>
      <c r="M19" s="345"/>
    </row>
    <row r="20" spans="1:13" x14ac:dyDescent="0.35"/>
    <row r="21" spans="1:13" x14ac:dyDescent="0.35">
      <c r="A21" s="16">
        <v>6</v>
      </c>
      <c r="B21" s="143" t="s">
        <v>478</v>
      </c>
    </row>
    <row r="22" spans="1:13" ht="62.25" customHeight="1" x14ac:dyDescent="0.35">
      <c r="B22" s="345" t="s">
        <v>479</v>
      </c>
      <c r="C22" s="345"/>
      <c r="D22" s="345"/>
      <c r="E22" s="345"/>
      <c r="F22" s="345"/>
      <c r="G22" s="345"/>
      <c r="H22" s="345"/>
      <c r="I22" s="345"/>
      <c r="J22" s="345"/>
      <c r="K22" s="345"/>
      <c r="L22" s="345"/>
      <c r="M22" s="345"/>
    </row>
    <row r="23" spans="1:13" x14ac:dyDescent="0.35"/>
    <row r="24" spans="1:13" x14ac:dyDescent="0.35">
      <c r="A24" s="16">
        <v>7</v>
      </c>
      <c r="B24" s="143" t="s">
        <v>462</v>
      </c>
      <c r="C24" s="143"/>
      <c r="D24" s="143"/>
      <c r="E24" s="143"/>
      <c r="F24" s="143"/>
      <c r="G24" s="143"/>
      <c r="H24" s="143"/>
      <c r="I24" s="143"/>
      <c r="J24" s="143"/>
      <c r="K24" s="143"/>
      <c r="L24" s="143"/>
      <c r="M24" s="143"/>
    </row>
    <row r="25" spans="1:13" ht="32.25" customHeight="1" x14ac:dyDescent="0.35">
      <c r="B25" s="345" t="s">
        <v>463</v>
      </c>
      <c r="C25" s="345"/>
      <c r="D25" s="345"/>
      <c r="E25" s="345"/>
      <c r="F25" s="345"/>
      <c r="G25" s="345"/>
      <c r="H25" s="345"/>
      <c r="I25" s="345"/>
      <c r="J25" s="345"/>
      <c r="K25" s="345"/>
      <c r="L25" s="345"/>
      <c r="M25" s="345"/>
    </row>
    <row r="26" spans="1:13" x14ac:dyDescent="0.35">
      <c r="B26" s="345" t="s">
        <v>464</v>
      </c>
      <c r="C26" s="345"/>
      <c r="D26" s="345"/>
      <c r="E26" s="345"/>
      <c r="F26" s="345"/>
      <c r="G26" s="345"/>
      <c r="H26" s="345"/>
      <c r="I26" s="345"/>
      <c r="J26" s="345"/>
      <c r="K26" s="345"/>
      <c r="L26" s="345"/>
      <c r="M26" s="345"/>
    </row>
    <row r="27" spans="1:13" x14ac:dyDescent="0.35">
      <c r="B27" s="347" t="s">
        <v>440</v>
      </c>
      <c r="C27" s="347"/>
      <c r="D27" s="347"/>
      <c r="E27" s="347"/>
      <c r="F27" s="347"/>
      <c r="G27" s="347"/>
      <c r="H27" s="347"/>
      <c r="I27" s="347"/>
      <c r="J27" s="347"/>
      <c r="K27" s="347"/>
      <c r="L27" s="347"/>
      <c r="M27" s="347"/>
    </row>
    <row r="28" spans="1:13" ht="21.75" customHeight="1" x14ac:dyDescent="0.35">
      <c r="B28" s="345" t="s">
        <v>461</v>
      </c>
      <c r="C28" s="345"/>
      <c r="D28" s="345"/>
      <c r="E28" s="345"/>
      <c r="F28" s="345"/>
      <c r="G28" s="345"/>
      <c r="H28" s="345"/>
      <c r="I28" s="345"/>
      <c r="J28" s="345"/>
      <c r="K28" s="345"/>
      <c r="L28" s="345"/>
      <c r="M28" s="345"/>
    </row>
    <row r="30" spans="1:13" x14ac:dyDescent="0.35">
      <c r="A30" s="16">
        <v>8</v>
      </c>
      <c r="B30" s="143" t="s">
        <v>475</v>
      </c>
      <c r="C30" s="143"/>
      <c r="D30" s="143"/>
      <c r="E30" s="143"/>
      <c r="F30" s="143"/>
      <c r="G30" s="143"/>
      <c r="H30" s="143"/>
      <c r="I30" s="143"/>
      <c r="J30" s="143"/>
      <c r="K30" s="143"/>
      <c r="L30" s="143"/>
      <c r="M30" s="143"/>
    </row>
    <row r="31" spans="1:13" ht="32.25" customHeight="1" x14ac:dyDescent="0.35">
      <c r="B31" s="345" t="s">
        <v>474</v>
      </c>
      <c r="C31" s="345"/>
      <c r="D31" s="345"/>
      <c r="E31" s="345"/>
      <c r="F31" s="345"/>
      <c r="G31" s="345"/>
      <c r="H31" s="345"/>
      <c r="I31" s="345"/>
      <c r="J31" s="345"/>
      <c r="K31" s="345"/>
      <c r="L31" s="345"/>
      <c r="M31" s="345"/>
    </row>
    <row r="32" spans="1:13" x14ac:dyDescent="0.35">
      <c r="B32" s="345" t="s">
        <v>476</v>
      </c>
      <c r="C32" s="345"/>
      <c r="D32" s="345"/>
      <c r="E32" s="345"/>
      <c r="F32" s="345"/>
      <c r="G32" s="345"/>
      <c r="H32" s="345"/>
      <c r="I32" s="345"/>
      <c r="J32" s="345"/>
      <c r="K32" s="345"/>
      <c r="L32" s="345"/>
      <c r="M32" s="345"/>
    </row>
    <row r="33" spans="1:13" x14ac:dyDescent="0.35">
      <c r="B33" s="347" t="s">
        <v>440</v>
      </c>
      <c r="C33" s="347"/>
      <c r="D33" s="347"/>
      <c r="E33" s="347"/>
      <c r="F33" s="347"/>
      <c r="G33" s="347"/>
      <c r="H33" s="347"/>
      <c r="I33" s="347"/>
      <c r="J33" s="347"/>
      <c r="K33" s="347"/>
      <c r="L33" s="347"/>
      <c r="M33" s="347"/>
    </row>
    <row r="34" spans="1:13" ht="26.25" customHeight="1" x14ac:dyDescent="0.35">
      <c r="B34" s="345" t="s">
        <v>477</v>
      </c>
      <c r="C34" s="345"/>
      <c r="D34" s="345"/>
      <c r="E34" s="345"/>
      <c r="F34" s="345"/>
      <c r="G34" s="345"/>
      <c r="H34" s="345"/>
      <c r="I34" s="345"/>
      <c r="J34" s="345"/>
      <c r="K34" s="345"/>
      <c r="L34" s="345"/>
      <c r="M34" s="345"/>
    </row>
    <row r="36" spans="1:13" ht="14.5" customHeight="1" x14ac:dyDescent="0.35">
      <c r="A36" s="16">
        <v>9</v>
      </c>
      <c r="B36" s="143" t="s">
        <v>466</v>
      </c>
      <c r="C36" s="143"/>
      <c r="D36" s="143"/>
      <c r="E36" s="143"/>
      <c r="F36" s="143"/>
      <c r="G36" s="143"/>
      <c r="H36" s="143"/>
      <c r="I36" s="143"/>
      <c r="J36" s="143"/>
      <c r="K36" s="143"/>
      <c r="L36" s="143"/>
      <c r="M36" s="143"/>
    </row>
    <row r="37" spans="1:13" ht="47.25" customHeight="1" x14ac:dyDescent="0.35">
      <c r="B37" s="345" t="s">
        <v>467</v>
      </c>
      <c r="C37" s="345"/>
      <c r="D37" s="345"/>
      <c r="E37" s="345"/>
      <c r="F37" s="345"/>
      <c r="G37" s="345"/>
      <c r="H37" s="345"/>
      <c r="I37" s="345"/>
      <c r="J37" s="345"/>
      <c r="K37" s="345"/>
      <c r="L37" s="345"/>
      <c r="M37" s="345"/>
    </row>
    <row r="38" spans="1:13" ht="14.5" customHeight="1" x14ac:dyDescent="0.35">
      <c r="B38" s="349" t="s">
        <v>359</v>
      </c>
      <c r="C38" s="349"/>
      <c r="D38" s="349"/>
      <c r="E38" s="349"/>
      <c r="F38" s="349"/>
      <c r="G38" s="349"/>
      <c r="H38" s="349"/>
      <c r="I38" s="349"/>
      <c r="J38" s="349"/>
      <c r="K38" s="349"/>
      <c r="L38" s="349"/>
      <c r="M38" s="349"/>
    </row>
    <row r="39" spans="1:13" ht="14.5" customHeight="1" x14ac:dyDescent="0.35">
      <c r="B39" s="345" t="s">
        <v>468</v>
      </c>
      <c r="C39" s="345"/>
      <c r="D39" s="345"/>
      <c r="E39" s="345"/>
      <c r="F39" s="345"/>
      <c r="G39" s="345"/>
      <c r="H39" s="345"/>
      <c r="I39" s="345"/>
      <c r="J39" s="345"/>
      <c r="K39" s="345"/>
      <c r="L39" s="345"/>
      <c r="M39" s="345"/>
    </row>
    <row r="41" spans="1:13" ht="14.5" customHeight="1" x14ac:dyDescent="0.35">
      <c r="A41" s="16">
        <v>10</v>
      </c>
      <c r="B41" s="348" t="s">
        <v>471</v>
      </c>
      <c r="C41" s="348"/>
      <c r="D41" s="348"/>
      <c r="E41" s="348"/>
      <c r="F41" s="348"/>
      <c r="G41" s="348"/>
      <c r="H41" s="348"/>
      <c r="I41" s="348"/>
      <c r="J41" s="348"/>
      <c r="K41" s="348"/>
      <c r="L41" s="348"/>
      <c r="M41" s="348"/>
    </row>
    <row r="42" spans="1:13" ht="77.25" customHeight="1" x14ac:dyDescent="0.35">
      <c r="B42" s="345" t="s">
        <v>482</v>
      </c>
      <c r="C42" s="345"/>
      <c r="D42" s="345"/>
      <c r="E42" s="345"/>
      <c r="F42" s="345"/>
      <c r="G42" s="345"/>
      <c r="H42" s="345"/>
      <c r="I42" s="345"/>
      <c r="J42" s="345"/>
      <c r="K42" s="345"/>
      <c r="L42" s="345"/>
      <c r="M42" s="345"/>
    </row>
    <row r="43" spans="1:13" ht="14.5" customHeight="1" x14ac:dyDescent="0.35">
      <c r="B43" s="349" t="s">
        <v>359</v>
      </c>
      <c r="C43" s="349"/>
      <c r="D43" s="349"/>
      <c r="E43" s="349"/>
      <c r="F43" s="349"/>
      <c r="G43" s="349"/>
      <c r="H43" s="349"/>
      <c r="I43" s="349"/>
      <c r="J43" s="349"/>
      <c r="K43" s="349"/>
      <c r="L43" s="349"/>
      <c r="M43" s="349"/>
    </row>
    <row r="44" spans="1:13" ht="46.5" customHeight="1" x14ac:dyDescent="0.35">
      <c r="B44" s="345" t="s">
        <v>483</v>
      </c>
      <c r="C44" s="345"/>
      <c r="D44" s="345"/>
      <c r="E44" s="345"/>
      <c r="F44" s="345"/>
      <c r="G44" s="345"/>
      <c r="H44" s="345"/>
      <c r="I44" s="345"/>
      <c r="J44" s="345"/>
      <c r="K44" s="345"/>
      <c r="L44" s="345"/>
      <c r="M44" s="345"/>
    </row>
  </sheetData>
  <mergeCells count="29">
    <mergeCell ref="B41:M41"/>
    <mergeCell ref="B44:M44"/>
    <mergeCell ref="B42:M42"/>
    <mergeCell ref="B43:M43"/>
    <mergeCell ref="B38:M38"/>
    <mergeCell ref="B39:M39"/>
    <mergeCell ref="B37:M37"/>
    <mergeCell ref="B17:M17"/>
    <mergeCell ref="B18:M18"/>
    <mergeCell ref="B19:M19"/>
    <mergeCell ref="B25:M25"/>
    <mergeCell ref="B22:M22"/>
    <mergeCell ref="B31:M31"/>
    <mergeCell ref="B32:M32"/>
    <mergeCell ref="B33:M33"/>
    <mergeCell ref="B34:M34"/>
    <mergeCell ref="B26:M26"/>
    <mergeCell ref="B27:M27"/>
    <mergeCell ref="B28:M28"/>
    <mergeCell ref="B15:M15"/>
    <mergeCell ref="B6:M6"/>
    <mergeCell ref="B3:M3"/>
    <mergeCell ref="B2:M2"/>
    <mergeCell ref="B5:M5"/>
    <mergeCell ref="B14:M14"/>
    <mergeCell ref="B11:M11"/>
    <mergeCell ref="B8:M8"/>
    <mergeCell ref="B9:M9"/>
    <mergeCell ref="B10:M10"/>
  </mergeCells>
  <dataValidations count="1">
    <dataValidation type="list" allowBlank="1" showInputMessage="1" showErrorMessage="1" sqref="O5" xr:uid="{00000000-0002-0000-0B00-000000000000}">
      <formula1>"High,Medium,Low"</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D2:I23"/>
  <sheetViews>
    <sheetView showGridLines="0" workbookViewId="0">
      <selection activeCell="J7" sqref="J7"/>
    </sheetView>
  </sheetViews>
  <sheetFormatPr defaultRowHeight="14.5" x14ac:dyDescent="0.35"/>
  <cols>
    <col min="5" max="5" width="112.54296875" customWidth="1"/>
    <col min="6" max="7" width="8.7265625" style="84" hidden="1" customWidth="1"/>
    <col min="8" max="8" width="8.7265625" hidden="1" customWidth="1"/>
    <col min="9" max="9" width="11.453125" hidden="1" customWidth="1"/>
    <col min="10" max="10" width="20.453125" customWidth="1"/>
    <col min="11" max="11" width="8.7265625" customWidth="1"/>
  </cols>
  <sheetData>
    <row r="2" spans="4:9" ht="15" thickBot="1" x14ac:dyDescent="0.4"/>
    <row r="3" spans="4:9" ht="15" thickBot="1" x14ac:dyDescent="0.4">
      <c r="D3" s="83" t="s">
        <v>387</v>
      </c>
      <c r="E3" s="83" t="s">
        <v>388</v>
      </c>
      <c r="F3" s="87"/>
      <c r="G3" s="88"/>
    </row>
    <row r="4" spans="4:9" ht="30" customHeight="1" thickBot="1" x14ac:dyDescent="0.4">
      <c r="E4" s="95" t="str" cm="1">
        <f t="array" ref="E4:G4">'Step 1'!C75:E75</f>
        <v>Change Order Form #5 (40056229) amend to SOW 676559 dated 6 July 2020 , has been submitted to extend the contract term by ~30 months. This change also includes a modification in the pricing structure.
As this change affects the contract pricing, it is treated as a contract modification. Consequently, the Change Order Form is considered an adjsutment to existing contract, and the modification is accounted for prospectively.</v>
      </c>
      <c r="F4" s="85">
        <v>0</v>
      </c>
      <c r="G4" s="86">
        <v>0</v>
      </c>
    </row>
    <row r="5" spans="4:9" ht="15" thickBot="1" x14ac:dyDescent="0.4"/>
    <row r="6" spans="4:9" ht="15" thickBot="1" x14ac:dyDescent="0.4">
      <c r="D6" s="83" t="s">
        <v>389</v>
      </c>
      <c r="E6" s="83" t="s">
        <v>388</v>
      </c>
      <c r="F6" s="87"/>
      <c r="G6" s="88"/>
    </row>
    <row r="7" spans="4:9" ht="85.5" customHeight="1" thickBot="1" x14ac:dyDescent="0.4">
      <c r="E7" s="94" t="str" cm="1">
        <f t="array" ref="E7:I7">'Step 2'!D29:H29</f>
        <v xml:space="preserve">As per above evaluation, we conclude that "ABC Customer Solution Services-  Kickstart, - Inbound/DSA, -Reception Desk, - Agency Builders, - New Business Sales (NBS), - Upper Mass Market (UMM), - New Business Sales - Development (NBS-D)” are single performance obligation by applying series guidance.
</v>
      </c>
      <c r="F7" s="85">
        <v>0</v>
      </c>
      <c r="G7" s="86">
        <v>0</v>
      </c>
      <c r="H7">
        <v>0</v>
      </c>
      <c r="I7">
        <v>0</v>
      </c>
    </row>
    <row r="8" spans="4:9" ht="15" thickBot="1" x14ac:dyDescent="0.4"/>
    <row r="9" spans="4:9" ht="15" thickBot="1" x14ac:dyDescent="0.4">
      <c r="D9" s="83" t="s">
        <v>390</v>
      </c>
      <c r="E9" s="83" t="s">
        <v>388</v>
      </c>
      <c r="F9" s="87"/>
      <c r="G9" s="88"/>
    </row>
    <row r="10" spans="4:9" ht="30" customHeight="1" thickBot="1" x14ac:dyDescent="0.4">
      <c r="E10" s="94" t="str" cm="1">
        <f t="array" ref="E10:G10">'Step 3'!D65:F65</f>
        <v>Service Level Credits - Expected Value method - SLA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Conclusion: Service credits should be recorded as reduction to revenue on monthly basis based on service level default &amp; related percentages stated in the contract. If the measurement period is other than monthly basis, then estimation of service credits at the inception should be estimated using expected value method.
Productivity benefits - Expected Value Method - Productivity benefits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
Conclusion: The Productivity benefits are in the nature of efficiency gains which will be passed on to client. This will be recorded as reduction of revenue in the form of reduction in monthly charges.
Incentive Fees - Bonus Payments, Targets and Weighting  -  Incentive Fees - Bonus Payments, Targets and Weighting  is a variable consideration under ASC 606 which needs to be estimated over the period using the Most likely method, the amount is included in the transaction price after considering any constraint to the amount, if any.  Incentive Fees - Bonus Payments, Targets and Weighting  should be estimated using most likely method as there would be only two possible outcomes i.e. whether service levels will be met or not met.   Incentive Fees - Bonus Payments, Targets and Weighting  should be accounted as revenue. 
Economic Change Adjustment (“ECA”) - Expected Value Method - Economic Change Adjustment (“ECA”) is a variable consideration under ASC 606 which needs to be estimated over the period using the Expected Value Method. If the outcome is estimated using the expected value method, the minimum committed amount is included in the transaction price after considering any constraint to the amount, if any.
Conclusion: Economic Change Adjustments (“ECA”) are in the nature of efficiency gains which will be passed on to client. This will be recorded as reduction of revenue in the form of reduction in monthly charges.
Variable Costs - This term gives rights to the service provider to recover the Variable costs. Hence it is a variable consideration (measured at most likely method) as per ASC 606 because ranges of costs provided. In the given case, starting on the effective date, the service provider is eligible for the variable cost adjustment to increase such a cost by up to 10-15% per year. This will be accounted as revenue.</v>
      </c>
      <c r="F10" s="85">
        <v>0</v>
      </c>
      <c r="G10" s="86">
        <v>0</v>
      </c>
    </row>
    <row r="11" spans="4:9" ht="30" customHeight="1" thickBot="1" x14ac:dyDescent="0.4">
      <c r="E11" s="94" cm="1">
        <f t="array" ref="E11:G11">'Step 3'!D81:F81</f>
        <v>0</v>
      </c>
      <c r="F11" s="85">
        <v>0</v>
      </c>
      <c r="G11" s="86">
        <v>0</v>
      </c>
    </row>
    <row r="12" spans="4:9" ht="30" customHeight="1" thickBot="1" x14ac:dyDescent="0.4">
      <c r="E12" s="94" t="str" cm="1">
        <f t="array" ref="E12:G12">'Step 3'!D104:F104</f>
        <v>NA</v>
      </c>
      <c r="F12" s="85">
        <v>0</v>
      </c>
      <c r="G12" s="86">
        <v>0</v>
      </c>
    </row>
    <row r="13" spans="4:9" ht="30" customHeight="1" thickBot="1" x14ac:dyDescent="0.4">
      <c r="E13" s="94" t="str" cm="1">
        <f t="array" ref="E13:G13">'Step 3'!D117:F117</f>
        <v>No financing component</v>
      </c>
      <c r="F13" s="85">
        <v>0</v>
      </c>
      <c r="G13" s="86">
        <v>0</v>
      </c>
    </row>
    <row r="14" spans="4:9" ht="15" thickBot="1" x14ac:dyDescent="0.4"/>
    <row r="15" spans="4:9" ht="15" thickBot="1" x14ac:dyDescent="0.4">
      <c r="D15" s="83" t="s">
        <v>391</v>
      </c>
      <c r="E15" s="83" t="s">
        <v>388</v>
      </c>
      <c r="F15" s="87"/>
      <c r="G15" s="88"/>
    </row>
    <row r="16" spans="4:9" ht="30" customHeight="1" thickBot="1" x14ac:dyDescent="0.4">
      <c r="E16" s="95" t="str" cm="1">
        <f t="array" ref="E16:G16">'Step 4'!D23:F23</f>
        <v>Since there is only 1 performance obligation, allocation of transaction price is not required</v>
      </c>
      <c r="F16" s="85">
        <v>0</v>
      </c>
      <c r="G16" s="86">
        <v>0</v>
      </c>
    </row>
    <row r="17" spans="4:7" ht="30" customHeight="1" thickBot="1" x14ac:dyDescent="0.4">
      <c r="E17" s="95" t="str" cm="1">
        <f t="array" ref="E17:G17">'Step 4'!D39:F39</f>
        <v>Not required to be allocated as only 1 performance obligation has been identified in the contract.</v>
      </c>
      <c r="F17" s="97">
        <v>0</v>
      </c>
      <c r="G17" s="97">
        <v>0</v>
      </c>
    </row>
    <row r="18" spans="4:7" ht="15" thickBot="1" x14ac:dyDescent="0.4"/>
    <row r="19" spans="4:7" ht="15" thickBot="1" x14ac:dyDescent="0.4">
      <c r="D19" s="83" t="s">
        <v>393</v>
      </c>
      <c r="E19" s="83" t="s">
        <v>388</v>
      </c>
    </row>
    <row r="20" spans="4:7" ht="15" thickBot="1" x14ac:dyDescent="0.4">
      <c r="E20" s="95" t="str">
        <f>'Step 5'!H17</f>
        <v>Performance obligation is satisfied over time</v>
      </c>
    </row>
    <row r="21" spans="4:7" ht="15" thickBot="1" x14ac:dyDescent="0.4">
      <c r="E21" s="95" t="str">
        <f>'Step 5'!H18</f>
        <v/>
      </c>
    </row>
    <row r="22" spans="4:7" ht="15" thickBot="1" x14ac:dyDescent="0.4">
      <c r="E22" s="95" t="str">
        <f>'Step 5'!H19</f>
        <v/>
      </c>
    </row>
    <row r="23" spans="4:7" ht="15" thickBot="1" x14ac:dyDescent="0.4">
      <c r="E23" s="95" t="str">
        <f>'Step 5'!H20</f>
        <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J73"/>
  <sheetViews>
    <sheetView showGridLines="0" workbookViewId="0">
      <pane ySplit="1" topLeftCell="A2" activePane="bottomLeft" state="frozen"/>
      <selection pane="bottomLeft" activeCell="H12" sqref="H12"/>
    </sheetView>
  </sheetViews>
  <sheetFormatPr defaultRowHeight="14.5" outlineLevelCol="1" x14ac:dyDescent="0.35"/>
  <cols>
    <col min="1" max="2" width="15.7265625" customWidth="1"/>
    <col min="3" max="5" width="15.7265625" hidden="1" customWidth="1" outlineLevel="1"/>
    <col min="6" max="6" width="15.7265625" customWidth="1" collapsed="1"/>
    <col min="7" max="10" width="15.7265625" customWidth="1"/>
  </cols>
  <sheetData>
    <row r="1" spans="1:10" ht="15" customHeight="1" x14ac:dyDescent="0.35">
      <c r="A1" s="2" t="s">
        <v>11</v>
      </c>
      <c r="B1" s="2" t="s">
        <v>12</v>
      </c>
      <c r="C1" s="2" t="s">
        <v>122</v>
      </c>
      <c r="D1" s="2" t="s">
        <v>123</v>
      </c>
      <c r="E1" s="2" t="s">
        <v>124</v>
      </c>
      <c r="F1" s="2" t="s">
        <v>0</v>
      </c>
      <c r="G1" s="2" t="s">
        <v>13</v>
      </c>
      <c r="H1" s="2" t="s">
        <v>14</v>
      </c>
      <c r="I1" s="2" t="s">
        <v>15</v>
      </c>
      <c r="J1" s="11" t="s">
        <v>126</v>
      </c>
    </row>
    <row r="2" spans="1:10" ht="15" customHeight="1" x14ac:dyDescent="0.35">
      <c r="A2" s="1" t="s">
        <v>1</v>
      </c>
      <c r="B2" s="1" t="s">
        <v>42</v>
      </c>
      <c r="C2" s="1"/>
      <c r="D2" s="1"/>
      <c r="E2" s="1"/>
      <c r="F2" s="3">
        <v>43466</v>
      </c>
      <c r="G2" s="3">
        <v>43471</v>
      </c>
      <c r="H2" s="1" t="s">
        <v>17</v>
      </c>
      <c r="I2" s="4">
        <v>0.2</v>
      </c>
      <c r="J2" s="10" t="str">
        <f ca="1">IF(H2="Completed","G",IF(H2="In Progress",IF(TODAY()&gt;G2,"A","G"),IF(H2="Pending",IF(TODAY()&gt;F2,"R",""),"")))</f>
        <v>G</v>
      </c>
    </row>
    <row r="3" spans="1:10" ht="15" customHeight="1" x14ac:dyDescent="0.35">
      <c r="A3" s="1" t="s">
        <v>2</v>
      </c>
      <c r="B3" s="1" t="s">
        <v>42</v>
      </c>
      <c r="C3" s="1"/>
      <c r="D3" s="1"/>
      <c r="E3" s="1"/>
      <c r="F3" s="3">
        <v>43469</v>
      </c>
      <c r="G3" s="3">
        <v>43474</v>
      </c>
      <c r="H3" s="1" t="s">
        <v>17</v>
      </c>
      <c r="I3" s="4">
        <v>0.62</v>
      </c>
      <c r="J3" s="10" t="str">
        <f t="shared" ref="J3:J66" ca="1" si="0">IF(H3="Completed","G",IF(H3="In Progress",IF(TODAY()&gt;G3,"A","G"),IF(H3="Pending",IF(TODAY()&gt;F3,"R",""),"")))</f>
        <v>G</v>
      </c>
    </row>
    <row r="4" spans="1:10" ht="15" customHeight="1" x14ac:dyDescent="0.35">
      <c r="A4" s="1" t="s">
        <v>3</v>
      </c>
      <c r="B4" s="1" t="s">
        <v>55</v>
      </c>
      <c r="C4" s="1"/>
      <c r="D4" s="1"/>
      <c r="E4" s="1"/>
      <c r="F4" s="3">
        <v>43472</v>
      </c>
      <c r="G4" s="3">
        <v>43476</v>
      </c>
      <c r="H4" s="1" t="s">
        <v>17</v>
      </c>
      <c r="I4" s="4">
        <v>0</v>
      </c>
      <c r="J4" s="10" t="str">
        <f t="shared" ca="1" si="0"/>
        <v>G</v>
      </c>
    </row>
    <row r="5" spans="1:10" ht="15" customHeight="1" x14ac:dyDescent="0.35">
      <c r="A5" s="1" t="s">
        <v>4</v>
      </c>
      <c r="B5" s="1" t="s">
        <v>54</v>
      </c>
      <c r="C5" s="1"/>
      <c r="D5" s="1"/>
      <c r="E5" s="1"/>
      <c r="F5" s="3">
        <v>43475</v>
      </c>
      <c r="G5" s="3">
        <v>43477</v>
      </c>
      <c r="H5" s="1" t="s">
        <v>118</v>
      </c>
      <c r="I5" s="4">
        <v>0.42</v>
      </c>
      <c r="J5" s="10" t="str">
        <f t="shared" ca="1" si="0"/>
        <v>A</v>
      </c>
    </row>
    <row r="6" spans="1:10" ht="15" customHeight="1" x14ac:dyDescent="0.35">
      <c r="A6" s="1" t="s">
        <v>5</v>
      </c>
      <c r="B6" s="1" t="s">
        <v>54</v>
      </c>
      <c r="C6" s="1"/>
      <c r="D6" s="1"/>
      <c r="E6" s="1"/>
      <c r="F6" s="3">
        <v>43476</v>
      </c>
      <c r="G6" s="3">
        <v>43485</v>
      </c>
      <c r="H6" s="1" t="s">
        <v>17</v>
      </c>
      <c r="I6" s="4">
        <v>0.33</v>
      </c>
      <c r="J6" s="10" t="str">
        <f t="shared" ca="1" si="0"/>
        <v>G</v>
      </c>
    </row>
    <row r="7" spans="1:10" ht="15" customHeight="1" x14ac:dyDescent="0.35">
      <c r="A7" s="1" t="s">
        <v>6</v>
      </c>
      <c r="B7" s="1" t="s">
        <v>44</v>
      </c>
      <c r="C7" s="1"/>
      <c r="D7" s="1"/>
      <c r="E7" s="1"/>
      <c r="F7" s="3">
        <v>43486</v>
      </c>
      <c r="G7" s="3">
        <v>43490</v>
      </c>
      <c r="H7" s="1" t="s">
        <v>17</v>
      </c>
      <c r="I7" s="4">
        <v>0.78</v>
      </c>
      <c r="J7" s="10" t="str">
        <f t="shared" ca="1" si="0"/>
        <v>G</v>
      </c>
    </row>
    <row r="8" spans="1:10" ht="15" customHeight="1" x14ac:dyDescent="0.35">
      <c r="A8" s="1" t="s">
        <v>7</v>
      </c>
      <c r="B8" s="1" t="s">
        <v>20</v>
      </c>
      <c r="C8" s="1"/>
      <c r="D8" s="1"/>
      <c r="E8" s="1"/>
      <c r="F8" s="3">
        <v>43489</v>
      </c>
      <c r="G8" s="3">
        <v>43495</v>
      </c>
      <c r="H8" s="1" t="s">
        <v>17</v>
      </c>
      <c r="I8" s="4">
        <v>1</v>
      </c>
      <c r="J8" s="10" t="str">
        <f t="shared" ca="1" si="0"/>
        <v>G</v>
      </c>
    </row>
    <row r="9" spans="1:10" ht="15" customHeight="1" x14ac:dyDescent="0.35">
      <c r="A9" s="1" t="s">
        <v>8</v>
      </c>
      <c r="B9" s="1" t="s">
        <v>19</v>
      </c>
      <c r="C9" s="1"/>
      <c r="D9" s="1"/>
      <c r="E9" s="1"/>
      <c r="F9" s="3">
        <v>43495</v>
      </c>
      <c r="G9" s="3">
        <v>43499</v>
      </c>
      <c r="H9" s="1" t="s">
        <v>17</v>
      </c>
      <c r="I9" s="4">
        <v>0</v>
      </c>
      <c r="J9" s="10" t="str">
        <f t="shared" ca="1" si="0"/>
        <v>G</v>
      </c>
    </row>
    <row r="10" spans="1:10" ht="15" customHeight="1" x14ac:dyDescent="0.35">
      <c r="A10" s="1" t="s">
        <v>9</v>
      </c>
      <c r="B10" s="1" t="s">
        <v>45</v>
      </c>
      <c r="C10" s="1"/>
      <c r="D10" s="1"/>
      <c r="E10" s="1"/>
      <c r="F10" s="3">
        <v>43504</v>
      </c>
      <c r="G10" s="3">
        <v>43508</v>
      </c>
      <c r="H10" s="1" t="s">
        <v>17</v>
      </c>
      <c r="I10" s="4">
        <v>0</v>
      </c>
      <c r="J10" s="10" t="str">
        <f t="shared" ca="1" si="0"/>
        <v>G</v>
      </c>
    </row>
    <row r="11" spans="1:10" ht="15" customHeight="1" x14ac:dyDescent="0.35">
      <c r="A11" s="1" t="s">
        <v>10</v>
      </c>
      <c r="B11" s="1" t="s">
        <v>48</v>
      </c>
      <c r="C11" s="1"/>
      <c r="D11" s="1"/>
      <c r="E11" s="1"/>
      <c r="F11" s="3">
        <v>43506</v>
      </c>
      <c r="G11" s="3">
        <v>43513</v>
      </c>
      <c r="H11" s="1" t="s">
        <v>17</v>
      </c>
      <c r="I11" s="4">
        <v>0</v>
      </c>
      <c r="J11" s="10" t="str">
        <f t="shared" ca="1" si="0"/>
        <v>G</v>
      </c>
    </row>
    <row r="12" spans="1:10" ht="15" customHeight="1" x14ac:dyDescent="0.35">
      <c r="A12" s="1" t="s">
        <v>56</v>
      </c>
      <c r="B12" s="1" t="s">
        <v>55</v>
      </c>
      <c r="C12" s="1"/>
      <c r="D12" s="1"/>
      <c r="E12" s="1"/>
      <c r="F12" s="3">
        <v>43512</v>
      </c>
      <c r="G12" s="3">
        <v>43520</v>
      </c>
      <c r="H12" s="1" t="s">
        <v>118</v>
      </c>
      <c r="I12" s="4">
        <v>1</v>
      </c>
      <c r="J12" s="10" t="str">
        <f t="shared" ca="1" si="0"/>
        <v>A</v>
      </c>
    </row>
    <row r="13" spans="1:10" ht="15" customHeight="1" x14ac:dyDescent="0.35">
      <c r="A13" s="1" t="s">
        <v>57</v>
      </c>
      <c r="B13" s="1" t="s">
        <v>18</v>
      </c>
      <c r="C13" s="1"/>
      <c r="D13" s="1"/>
      <c r="E13" s="1"/>
      <c r="F13" s="3">
        <v>43519</v>
      </c>
      <c r="G13" s="3">
        <v>43529</v>
      </c>
      <c r="H13" s="1" t="s">
        <v>118</v>
      </c>
      <c r="I13" s="4">
        <v>0</v>
      </c>
      <c r="J13" s="10" t="str">
        <f t="shared" ca="1" si="0"/>
        <v>A</v>
      </c>
    </row>
    <row r="14" spans="1:10" ht="15" customHeight="1" x14ac:dyDescent="0.35">
      <c r="A14" s="1" t="s">
        <v>58</v>
      </c>
      <c r="B14" s="1" t="s">
        <v>50</v>
      </c>
      <c r="C14" s="1"/>
      <c r="D14" s="1"/>
      <c r="E14" s="1"/>
      <c r="F14" s="3">
        <v>43530</v>
      </c>
      <c r="G14" s="3">
        <v>43533</v>
      </c>
      <c r="H14" s="1" t="s">
        <v>118</v>
      </c>
      <c r="I14" s="4">
        <v>0</v>
      </c>
      <c r="J14" s="10" t="str">
        <f t="shared" ca="1" si="0"/>
        <v>A</v>
      </c>
    </row>
    <row r="15" spans="1:10" ht="15" customHeight="1" x14ac:dyDescent="0.35">
      <c r="A15" s="1" t="s">
        <v>59</v>
      </c>
      <c r="B15" s="1" t="s">
        <v>20</v>
      </c>
      <c r="C15" s="1"/>
      <c r="D15" s="1"/>
      <c r="E15" s="1"/>
      <c r="F15" s="3">
        <v>43531</v>
      </c>
      <c r="G15" s="3">
        <v>43536</v>
      </c>
      <c r="H15" s="1" t="s">
        <v>118</v>
      </c>
      <c r="I15" s="4">
        <v>0</v>
      </c>
      <c r="J15" s="10" t="str">
        <f t="shared" ca="1" si="0"/>
        <v>A</v>
      </c>
    </row>
    <row r="16" spans="1:10" ht="15" customHeight="1" x14ac:dyDescent="0.35">
      <c r="A16" s="1" t="s">
        <v>60</v>
      </c>
      <c r="B16" s="1" t="s">
        <v>52</v>
      </c>
      <c r="C16" s="1"/>
      <c r="D16" s="1"/>
      <c r="E16" s="1"/>
      <c r="F16" s="3">
        <v>43537</v>
      </c>
      <c r="G16" s="3">
        <v>43540</v>
      </c>
      <c r="H16" s="1" t="s">
        <v>118</v>
      </c>
      <c r="I16" s="4">
        <v>1</v>
      </c>
      <c r="J16" s="10" t="str">
        <f t="shared" ca="1" si="0"/>
        <v>A</v>
      </c>
    </row>
    <row r="17" spans="1:10" ht="15" customHeight="1" x14ac:dyDescent="0.35">
      <c r="A17" s="1" t="s">
        <v>61</v>
      </c>
      <c r="B17" s="1" t="s">
        <v>41</v>
      </c>
      <c r="C17" s="1"/>
      <c r="D17" s="1"/>
      <c r="E17" s="1"/>
      <c r="F17" s="3">
        <v>43539</v>
      </c>
      <c r="G17" s="3">
        <v>43547</v>
      </c>
      <c r="H17" s="1" t="s">
        <v>118</v>
      </c>
      <c r="I17" s="4">
        <v>1</v>
      </c>
      <c r="J17" s="10" t="str">
        <f t="shared" ca="1" si="0"/>
        <v>A</v>
      </c>
    </row>
    <row r="18" spans="1:10" ht="15" customHeight="1" x14ac:dyDescent="0.35">
      <c r="A18" s="1" t="s">
        <v>62</v>
      </c>
      <c r="B18" s="1" t="s">
        <v>41</v>
      </c>
      <c r="C18" s="1"/>
      <c r="D18" s="1"/>
      <c r="E18" s="1"/>
      <c r="F18" s="3">
        <v>43546</v>
      </c>
      <c r="G18" s="3">
        <v>43550</v>
      </c>
      <c r="H18" s="1" t="s">
        <v>118</v>
      </c>
      <c r="I18" s="4">
        <v>0.57999999999999996</v>
      </c>
      <c r="J18" s="10" t="str">
        <f t="shared" ca="1" si="0"/>
        <v>A</v>
      </c>
    </row>
    <row r="19" spans="1:10" ht="15" customHeight="1" x14ac:dyDescent="0.35">
      <c r="A19" s="1" t="s">
        <v>63</v>
      </c>
      <c r="B19" s="1" t="s">
        <v>53</v>
      </c>
      <c r="C19" s="1"/>
      <c r="D19" s="1"/>
      <c r="E19" s="1"/>
      <c r="F19" s="3">
        <v>43550</v>
      </c>
      <c r="G19" s="3">
        <v>43554</v>
      </c>
      <c r="H19" s="1" t="s">
        <v>118</v>
      </c>
      <c r="I19" s="4">
        <v>0.3</v>
      </c>
      <c r="J19" s="10" t="str">
        <f t="shared" ca="1" si="0"/>
        <v>A</v>
      </c>
    </row>
    <row r="20" spans="1:10" ht="15" customHeight="1" x14ac:dyDescent="0.35">
      <c r="A20" s="1" t="s">
        <v>64</v>
      </c>
      <c r="B20" s="1" t="s">
        <v>41</v>
      </c>
      <c r="C20" s="1"/>
      <c r="D20" s="1"/>
      <c r="E20" s="1"/>
      <c r="F20" s="3">
        <v>43554</v>
      </c>
      <c r="G20" s="3">
        <v>43562</v>
      </c>
      <c r="H20" s="1" t="s">
        <v>118</v>
      </c>
      <c r="I20" s="4">
        <v>0</v>
      </c>
      <c r="J20" s="10" t="str">
        <f t="shared" ca="1" si="0"/>
        <v>A</v>
      </c>
    </row>
    <row r="21" spans="1:10" ht="15" customHeight="1" x14ac:dyDescent="0.35">
      <c r="A21" s="1" t="s">
        <v>65</v>
      </c>
      <c r="B21" s="1" t="s">
        <v>20</v>
      </c>
      <c r="C21" s="1"/>
      <c r="D21" s="1"/>
      <c r="E21" s="1"/>
      <c r="F21" s="3">
        <v>43560</v>
      </c>
      <c r="G21" s="3">
        <v>43563</v>
      </c>
      <c r="H21" s="1" t="s">
        <v>17</v>
      </c>
      <c r="I21" s="4">
        <v>0</v>
      </c>
      <c r="J21" s="10" t="str">
        <f t="shared" ca="1" si="0"/>
        <v>G</v>
      </c>
    </row>
    <row r="22" spans="1:10" ht="15" customHeight="1" x14ac:dyDescent="0.35">
      <c r="A22" s="1" t="s">
        <v>66</v>
      </c>
      <c r="B22" s="1" t="s">
        <v>45</v>
      </c>
      <c r="C22" s="1"/>
      <c r="D22" s="1"/>
      <c r="E22" s="1"/>
      <c r="F22" s="3">
        <v>43562</v>
      </c>
      <c r="G22" s="3">
        <v>43569</v>
      </c>
      <c r="H22" s="1" t="s">
        <v>17</v>
      </c>
      <c r="I22" s="4">
        <v>1</v>
      </c>
      <c r="J22" s="10" t="str">
        <f t="shared" ca="1" si="0"/>
        <v>G</v>
      </c>
    </row>
    <row r="23" spans="1:10" ht="15" customHeight="1" x14ac:dyDescent="0.35">
      <c r="A23" s="1" t="s">
        <v>67</v>
      </c>
      <c r="B23" s="1" t="s">
        <v>46</v>
      </c>
      <c r="C23" s="1"/>
      <c r="D23" s="1"/>
      <c r="E23" s="1"/>
      <c r="F23" s="3">
        <v>43570</v>
      </c>
      <c r="G23" s="3">
        <v>43577</v>
      </c>
      <c r="H23" s="1" t="s">
        <v>16</v>
      </c>
      <c r="I23" s="4">
        <v>0</v>
      </c>
      <c r="J23" s="10" t="str">
        <f t="shared" ca="1" si="0"/>
        <v>R</v>
      </c>
    </row>
    <row r="24" spans="1:10" ht="15" customHeight="1" x14ac:dyDescent="0.35">
      <c r="A24" s="1" t="s">
        <v>68</v>
      </c>
      <c r="B24" s="1" t="s">
        <v>49</v>
      </c>
      <c r="C24" s="1"/>
      <c r="D24" s="1"/>
      <c r="E24" s="1"/>
      <c r="F24" s="3">
        <v>43576</v>
      </c>
      <c r="G24" s="3">
        <v>43579</v>
      </c>
      <c r="H24" s="1" t="s">
        <v>16</v>
      </c>
      <c r="I24" s="4">
        <v>0.69</v>
      </c>
      <c r="J24" s="10" t="str">
        <f t="shared" ca="1" si="0"/>
        <v>R</v>
      </c>
    </row>
    <row r="25" spans="1:10" ht="15" customHeight="1" x14ac:dyDescent="0.35">
      <c r="A25" s="1" t="s">
        <v>69</v>
      </c>
      <c r="B25" s="1" t="s">
        <v>43</v>
      </c>
      <c r="C25" s="1"/>
      <c r="D25" s="1"/>
      <c r="E25" s="1"/>
      <c r="F25" s="3">
        <v>43578</v>
      </c>
      <c r="G25" s="3">
        <v>43580</v>
      </c>
      <c r="H25" s="1" t="s">
        <v>16</v>
      </c>
      <c r="I25" s="4">
        <v>1</v>
      </c>
      <c r="J25" s="10" t="str">
        <f t="shared" ca="1" si="0"/>
        <v>R</v>
      </c>
    </row>
    <row r="26" spans="1:10" ht="15" customHeight="1" x14ac:dyDescent="0.35">
      <c r="A26" s="1" t="s">
        <v>70</v>
      </c>
      <c r="B26" s="1" t="s">
        <v>47</v>
      </c>
      <c r="C26" s="1"/>
      <c r="D26" s="1"/>
      <c r="E26" s="1"/>
      <c r="F26" s="3">
        <v>43579</v>
      </c>
      <c r="G26" s="3">
        <v>43586</v>
      </c>
      <c r="H26" s="1" t="s">
        <v>16</v>
      </c>
      <c r="I26" s="4">
        <v>0.28000000000000003</v>
      </c>
      <c r="J26" s="10" t="str">
        <f t="shared" ca="1" si="0"/>
        <v>R</v>
      </c>
    </row>
    <row r="27" spans="1:10" ht="15" customHeight="1" x14ac:dyDescent="0.35">
      <c r="A27" s="1" t="s">
        <v>71</v>
      </c>
      <c r="B27" s="1" t="s">
        <v>47</v>
      </c>
      <c r="C27" s="1"/>
      <c r="D27" s="1"/>
      <c r="E27" s="1"/>
      <c r="F27" s="3">
        <v>43585</v>
      </c>
      <c r="G27" s="3">
        <v>43591</v>
      </c>
      <c r="H27" s="1" t="s">
        <v>16</v>
      </c>
      <c r="I27" s="4">
        <v>0.42</v>
      </c>
      <c r="J27" s="10" t="str">
        <f t="shared" ca="1" si="0"/>
        <v>R</v>
      </c>
    </row>
    <row r="28" spans="1:10" ht="15" customHeight="1" x14ac:dyDescent="0.35">
      <c r="A28" s="1" t="s">
        <v>72</v>
      </c>
      <c r="B28" s="1" t="s">
        <v>21</v>
      </c>
      <c r="C28" s="1"/>
      <c r="D28" s="1"/>
      <c r="E28" s="1"/>
      <c r="F28" s="3">
        <v>43591</v>
      </c>
      <c r="G28" s="3">
        <v>43597</v>
      </c>
      <c r="H28" s="1" t="s">
        <v>16</v>
      </c>
      <c r="I28" s="4">
        <v>0</v>
      </c>
      <c r="J28" s="10" t="str">
        <f t="shared" ca="1" si="0"/>
        <v>R</v>
      </c>
    </row>
    <row r="29" spans="1:10" ht="15" customHeight="1" x14ac:dyDescent="0.35">
      <c r="A29" s="1" t="s">
        <v>73</v>
      </c>
      <c r="B29" s="1" t="s">
        <v>41</v>
      </c>
      <c r="C29" s="1"/>
      <c r="D29" s="1"/>
      <c r="E29" s="1"/>
      <c r="F29" s="3">
        <v>43596</v>
      </c>
      <c r="G29" s="3">
        <v>43599</v>
      </c>
      <c r="H29" s="1" t="s">
        <v>16</v>
      </c>
      <c r="I29" s="4">
        <v>0.77</v>
      </c>
      <c r="J29" s="10" t="str">
        <f t="shared" ca="1" si="0"/>
        <v>R</v>
      </c>
    </row>
    <row r="30" spans="1:10" ht="15" customHeight="1" x14ac:dyDescent="0.35">
      <c r="A30" s="1" t="s">
        <v>74</v>
      </c>
      <c r="B30" s="1" t="s">
        <v>51</v>
      </c>
      <c r="C30" s="1"/>
      <c r="D30" s="1"/>
      <c r="E30" s="1"/>
      <c r="F30" s="3">
        <v>43598</v>
      </c>
      <c r="G30" s="3">
        <v>43608</v>
      </c>
      <c r="H30" s="1" t="s">
        <v>16</v>
      </c>
      <c r="I30" s="4">
        <v>0</v>
      </c>
      <c r="J30" s="10" t="str">
        <f t="shared" ca="1" si="0"/>
        <v>R</v>
      </c>
    </row>
    <row r="31" spans="1:10" ht="15" customHeight="1" x14ac:dyDescent="0.35">
      <c r="A31" s="1" t="s">
        <v>75</v>
      </c>
      <c r="B31" s="1" t="s">
        <v>55</v>
      </c>
      <c r="C31" s="1"/>
      <c r="D31" s="1"/>
      <c r="E31" s="1"/>
      <c r="F31" s="3">
        <v>43609</v>
      </c>
      <c r="G31" s="3">
        <v>43615</v>
      </c>
      <c r="H31" s="1" t="s">
        <v>16</v>
      </c>
      <c r="I31" s="4">
        <v>1</v>
      </c>
      <c r="J31" s="10" t="str">
        <f t="shared" ca="1" si="0"/>
        <v>R</v>
      </c>
    </row>
    <row r="32" spans="1:10" ht="15" customHeight="1" x14ac:dyDescent="0.35">
      <c r="A32" s="1" t="s">
        <v>76</v>
      </c>
      <c r="B32" s="1" t="s">
        <v>55</v>
      </c>
      <c r="C32" s="1"/>
      <c r="D32" s="1"/>
      <c r="E32" s="1"/>
      <c r="F32" s="3">
        <v>43615</v>
      </c>
      <c r="G32" s="3">
        <v>43618</v>
      </c>
      <c r="H32" s="1" t="s">
        <v>16</v>
      </c>
      <c r="I32" s="4">
        <v>1</v>
      </c>
      <c r="J32" s="10" t="str">
        <f t="shared" ca="1" si="0"/>
        <v>R</v>
      </c>
    </row>
    <row r="33" spans="1:10" ht="15" customHeight="1" x14ac:dyDescent="0.35">
      <c r="A33" s="1" t="s">
        <v>77</v>
      </c>
      <c r="B33" s="1" t="s">
        <v>20</v>
      </c>
      <c r="C33" s="1"/>
      <c r="D33" s="1"/>
      <c r="E33" s="1"/>
      <c r="F33" s="3">
        <v>43618</v>
      </c>
      <c r="G33" s="3">
        <v>43628</v>
      </c>
      <c r="H33" s="1" t="s">
        <v>16</v>
      </c>
      <c r="I33" s="4">
        <v>1</v>
      </c>
      <c r="J33" s="10" t="str">
        <f t="shared" ca="1" si="0"/>
        <v>R</v>
      </c>
    </row>
    <row r="34" spans="1:10" ht="15" customHeight="1" x14ac:dyDescent="0.35">
      <c r="A34" s="1" t="s">
        <v>78</v>
      </c>
      <c r="B34" s="1" t="s">
        <v>18</v>
      </c>
      <c r="C34" s="1"/>
      <c r="D34" s="1"/>
      <c r="E34" s="1"/>
      <c r="F34" s="3">
        <v>43628</v>
      </c>
      <c r="G34" s="3">
        <v>43637</v>
      </c>
      <c r="H34" s="1" t="s">
        <v>16</v>
      </c>
      <c r="I34" s="4">
        <v>0.46</v>
      </c>
      <c r="J34" s="10" t="str">
        <f t="shared" ca="1" si="0"/>
        <v>R</v>
      </c>
    </row>
    <row r="35" spans="1:10" ht="15" customHeight="1" x14ac:dyDescent="0.35">
      <c r="A35" s="1" t="s">
        <v>79</v>
      </c>
      <c r="B35" s="1" t="s">
        <v>54</v>
      </c>
      <c r="C35" s="1"/>
      <c r="D35" s="1"/>
      <c r="E35" s="1"/>
      <c r="F35" s="3">
        <v>43636</v>
      </c>
      <c r="G35" s="3">
        <v>43639</v>
      </c>
      <c r="H35" s="1" t="s">
        <v>16</v>
      </c>
      <c r="I35" s="4">
        <v>0</v>
      </c>
      <c r="J35" s="10" t="str">
        <f t="shared" ca="1" si="0"/>
        <v>R</v>
      </c>
    </row>
    <row r="36" spans="1:10" ht="15" customHeight="1" x14ac:dyDescent="0.35">
      <c r="A36" s="1" t="s">
        <v>80</v>
      </c>
      <c r="B36" s="1" t="s">
        <v>22</v>
      </c>
      <c r="C36" s="1"/>
      <c r="D36" s="1"/>
      <c r="E36" s="1"/>
      <c r="F36" s="3">
        <v>43640</v>
      </c>
      <c r="G36" s="3">
        <v>43646</v>
      </c>
      <c r="H36" s="1" t="s">
        <v>16</v>
      </c>
      <c r="I36" s="4">
        <v>0</v>
      </c>
      <c r="J36" s="10" t="str">
        <f t="shared" ca="1" si="0"/>
        <v>R</v>
      </c>
    </row>
    <row r="37" spans="1:10" ht="15" customHeight="1" x14ac:dyDescent="0.35">
      <c r="A37" s="1" t="s">
        <v>81</v>
      </c>
      <c r="B37" s="1" t="s">
        <v>55</v>
      </c>
      <c r="C37" s="1"/>
      <c r="D37" s="1"/>
      <c r="E37" s="1"/>
      <c r="F37" s="3">
        <v>43647</v>
      </c>
      <c r="G37" s="3">
        <v>43651</v>
      </c>
      <c r="H37" s="1" t="s">
        <v>16</v>
      </c>
      <c r="I37" s="4">
        <v>0.27</v>
      </c>
      <c r="J37" s="10" t="str">
        <f t="shared" ca="1" si="0"/>
        <v>R</v>
      </c>
    </row>
    <row r="38" spans="1:10" ht="15" customHeight="1" x14ac:dyDescent="0.35">
      <c r="A38" s="1" t="s">
        <v>82</v>
      </c>
      <c r="B38" s="1" t="s">
        <v>22</v>
      </c>
      <c r="C38" s="1"/>
      <c r="D38" s="1"/>
      <c r="E38" s="1"/>
      <c r="F38" s="3">
        <v>43649</v>
      </c>
      <c r="G38" s="3">
        <v>43655</v>
      </c>
      <c r="H38" s="1" t="s">
        <v>16</v>
      </c>
      <c r="I38" s="4">
        <v>0</v>
      </c>
      <c r="J38" s="10" t="str">
        <f t="shared" ca="1" si="0"/>
        <v>R</v>
      </c>
    </row>
    <row r="39" spans="1:10" ht="15" customHeight="1" x14ac:dyDescent="0.35">
      <c r="A39" s="1" t="s">
        <v>83</v>
      </c>
      <c r="B39" s="1" t="s">
        <v>19</v>
      </c>
      <c r="C39" s="1"/>
      <c r="D39" s="1"/>
      <c r="E39" s="1"/>
      <c r="F39" s="3">
        <v>43656</v>
      </c>
      <c r="G39" s="3">
        <v>43658</v>
      </c>
      <c r="H39" s="1" t="s">
        <v>16</v>
      </c>
      <c r="I39" s="4">
        <v>0</v>
      </c>
      <c r="J39" s="10" t="str">
        <f t="shared" ca="1" si="0"/>
        <v>R</v>
      </c>
    </row>
    <row r="40" spans="1:10" ht="15" customHeight="1" x14ac:dyDescent="0.35">
      <c r="A40" s="1" t="s">
        <v>84</v>
      </c>
      <c r="B40" s="1" t="s">
        <v>53</v>
      </c>
      <c r="C40" s="1"/>
      <c r="D40" s="1"/>
      <c r="E40" s="1"/>
      <c r="F40" s="3">
        <v>43657</v>
      </c>
      <c r="G40" s="3">
        <v>43659</v>
      </c>
      <c r="H40" s="1" t="s">
        <v>16</v>
      </c>
      <c r="I40" s="4">
        <v>0.72</v>
      </c>
      <c r="J40" s="10" t="str">
        <f t="shared" ca="1" si="0"/>
        <v>R</v>
      </c>
    </row>
    <row r="41" spans="1:10" ht="15" customHeight="1" x14ac:dyDescent="0.35">
      <c r="A41" s="1" t="s">
        <v>85</v>
      </c>
      <c r="B41" s="1" t="s">
        <v>52</v>
      </c>
      <c r="C41" s="1"/>
      <c r="D41" s="1"/>
      <c r="E41" s="1"/>
      <c r="F41" s="3">
        <v>43657</v>
      </c>
      <c r="G41" s="3">
        <v>43664</v>
      </c>
      <c r="H41" s="1" t="s">
        <v>16</v>
      </c>
      <c r="I41" s="4">
        <v>0</v>
      </c>
      <c r="J41" s="10" t="str">
        <f t="shared" ca="1" si="0"/>
        <v>R</v>
      </c>
    </row>
    <row r="42" spans="1:10" ht="15" customHeight="1" x14ac:dyDescent="0.35">
      <c r="A42" s="1" t="s">
        <v>86</v>
      </c>
      <c r="B42" s="1" t="s">
        <v>48</v>
      </c>
      <c r="C42" s="1"/>
      <c r="D42" s="1"/>
      <c r="E42" s="1"/>
      <c r="F42" s="3">
        <v>43662</v>
      </c>
      <c r="G42" s="3">
        <v>43672</v>
      </c>
      <c r="H42" s="1" t="s">
        <v>16</v>
      </c>
      <c r="I42" s="4">
        <v>1</v>
      </c>
      <c r="J42" s="10" t="str">
        <f t="shared" ca="1" si="0"/>
        <v>R</v>
      </c>
    </row>
    <row r="43" spans="1:10" ht="15" customHeight="1" x14ac:dyDescent="0.35">
      <c r="A43" s="1" t="s">
        <v>87</v>
      </c>
      <c r="B43" s="1" t="s">
        <v>22</v>
      </c>
      <c r="C43" s="1"/>
      <c r="D43" s="1"/>
      <c r="E43" s="1"/>
      <c r="F43" s="3">
        <v>43673</v>
      </c>
      <c r="G43" s="3">
        <v>43681</v>
      </c>
      <c r="H43" s="1" t="s">
        <v>16</v>
      </c>
      <c r="I43" s="4">
        <v>0.72</v>
      </c>
      <c r="J43" s="10" t="str">
        <f t="shared" ca="1" si="0"/>
        <v>R</v>
      </c>
    </row>
    <row r="44" spans="1:10" ht="15" customHeight="1" x14ac:dyDescent="0.35">
      <c r="A44" s="1" t="s">
        <v>88</v>
      </c>
      <c r="B44" s="1" t="s">
        <v>55</v>
      </c>
      <c r="C44" s="1"/>
      <c r="D44" s="1"/>
      <c r="E44" s="1"/>
      <c r="F44" s="3">
        <v>43681</v>
      </c>
      <c r="G44" s="3">
        <v>43684</v>
      </c>
      <c r="H44" s="1" t="s">
        <v>16</v>
      </c>
      <c r="I44" s="4">
        <v>0.28999999999999998</v>
      </c>
      <c r="J44" s="10" t="str">
        <f t="shared" ca="1" si="0"/>
        <v>R</v>
      </c>
    </row>
    <row r="45" spans="1:10" ht="15" customHeight="1" x14ac:dyDescent="0.35">
      <c r="A45" s="1" t="s">
        <v>89</v>
      </c>
      <c r="B45" s="1" t="s">
        <v>51</v>
      </c>
      <c r="C45" s="1"/>
      <c r="D45" s="1"/>
      <c r="E45" s="1"/>
      <c r="F45" s="3">
        <v>43684</v>
      </c>
      <c r="G45" s="3">
        <v>43689</v>
      </c>
      <c r="H45" s="1" t="s">
        <v>16</v>
      </c>
      <c r="I45" s="4">
        <v>0</v>
      </c>
      <c r="J45" s="10" t="str">
        <f t="shared" ca="1" si="0"/>
        <v>R</v>
      </c>
    </row>
    <row r="46" spans="1:10" ht="15" customHeight="1" x14ac:dyDescent="0.35">
      <c r="A46" s="1" t="s">
        <v>90</v>
      </c>
      <c r="B46" s="1" t="s">
        <v>50</v>
      </c>
      <c r="C46" s="1"/>
      <c r="D46" s="1"/>
      <c r="E46" s="1"/>
      <c r="F46" s="3">
        <v>43689</v>
      </c>
      <c r="G46" s="3">
        <v>43696</v>
      </c>
      <c r="H46" s="1" t="s">
        <v>16</v>
      </c>
      <c r="I46" s="4">
        <v>0.85</v>
      </c>
      <c r="J46" s="10" t="str">
        <f t="shared" ca="1" si="0"/>
        <v>R</v>
      </c>
    </row>
    <row r="47" spans="1:10" ht="15" customHeight="1" x14ac:dyDescent="0.35">
      <c r="A47" s="1" t="s">
        <v>91</v>
      </c>
      <c r="B47" s="1" t="s">
        <v>22</v>
      </c>
      <c r="C47" s="1"/>
      <c r="D47" s="1"/>
      <c r="E47" s="1"/>
      <c r="F47" s="3">
        <v>43697</v>
      </c>
      <c r="G47" s="3">
        <v>43703</v>
      </c>
      <c r="H47" s="1" t="s">
        <v>16</v>
      </c>
      <c r="I47" s="4">
        <v>1</v>
      </c>
      <c r="J47" s="10" t="str">
        <f t="shared" ca="1" si="0"/>
        <v>R</v>
      </c>
    </row>
    <row r="48" spans="1:10" ht="15" customHeight="1" x14ac:dyDescent="0.35">
      <c r="A48" s="1" t="s">
        <v>92</v>
      </c>
      <c r="B48" s="1" t="s">
        <v>55</v>
      </c>
      <c r="C48" s="1"/>
      <c r="D48" s="1"/>
      <c r="E48" s="1"/>
      <c r="F48" s="3">
        <v>43704</v>
      </c>
      <c r="G48" s="3">
        <v>43713</v>
      </c>
      <c r="H48" s="1" t="s">
        <v>16</v>
      </c>
      <c r="I48" s="4">
        <v>1</v>
      </c>
      <c r="J48" s="10" t="str">
        <f t="shared" ca="1" si="0"/>
        <v>R</v>
      </c>
    </row>
    <row r="49" spans="1:10" ht="15" customHeight="1" x14ac:dyDescent="0.35">
      <c r="A49" s="1" t="s">
        <v>93</v>
      </c>
      <c r="B49" s="1" t="s">
        <v>47</v>
      </c>
      <c r="C49" s="1"/>
      <c r="D49" s="1"/>
      <c r="E49" s="1"/>
      <c r="F49" s="3">
        <v>43713</v>
      </c>
      <c r="G49" s="3">
        <v>43719</v>
      </c>
      <c r="H49" s="1" t="s">
        <v>16</v>
      </c>
      <c r="I49" s="4">
        <v>0</v>
      </c>
      <c r="J49" s="10" t="str">
        <f t="shared" ca="1" si="0"/>
        <v>R</v>
      </c>
    </row>
    <row r="50" spans="1:10" ht="15" customHeight="1" x14ac:dyDescent="0.35">
      <c r="A50" s="1" t="s">
        <v>94</v>
      </c>
      <c r="B50" s="1" t="s">
        <v>19</v>
      </c>
      <c r="C50" s="1"/>
      <c r="D50" s="1"/>
      <c r="E50" s="1"/>
      <c r="F50" s="3">
        <v>43720</v>
      </c>
      <c r="G50" s="3">
        <v>43724</v>
      </c>
      <c r="H50" s="1" t="s">
        <v>16</v>
      </c>
      <c r="I50" s="4">
        <v>0.65</v>
      </c>
      <c r="J50" s="10" t="str">
        <f t="shared" ca="1" si="0"/>
        <v>R</v>
      </c>
    </row>
    <row r="51" spans="1:10" ht="15" customHeight="1" x14ac:dyDescent="0.35">
      <c r="A51" s="1" t="s">
        <v>95</v>
      </c>
      <c r="B51" s="1" t="s">
        <v>44</v>
      </c>
      <c r="C51" s="1"/>
      <c r="D51" s="1"/>
      <c r="E51" s="1"/>
      <c r="F51" s="3">
        <v>43722</v>
      </c>
      <c r="G51" s="3">
        <v>43730</v>
      </c>
      <c r="H51" s="1" t="s">
        <v>16</v>
      </c>
      <c r="I51" s="4">
        <v>1</v>
      </c>
      <c r="J51" s="10" t="str">
        <f t="shared" ca="1" si="0"/>
        <v>R</v>
      </c>
    </row>
    <row r="52" spans="1:10" ht="15" customHeight="1" x14ac:dyDescent="0.35">
      <c r="A52" s="1" t="s">
        <v>96</v>
      </c>
      <c r="B52" s="1" t="s">
        <v>43</v>
      </c>
      <c r="C52" s="1"/>
      <c r="D52" s="1"/>
      <c r="E52" s="1"/>
      <c r="F52" s="3">
        <v>43728</v>
      </c>
      <c r="G52" s="3">
        <v>43737</v>
      </c>
      <c r="H52" s="1" t="s">
        <v>16</v>
      </c>
      <c r="I52" s="4">
        <v>0</v>
      </c>
      <c r="J52" s="10" t="str">
        <f t="shared" ca="1" si="0"/>
        <v>R</v>
      </c>
    </row>
    <row r="53" spans="1:10" ht="15" customHeight="1" x14ac:dyDescent="0.35">
      <c r="A53" s="1" t="s">
        <v>97</v>
      </c>
      <c r="B53" s="1" t="s">
        <v>18</v>
      </c>
      <c r="C53" s="1"/>
      <c r="D53" s="1"/>
      <c r="E53" s="1"/>
      <c r="F53" s="3">
        <v>43736</v>
      </c>
      <c r="G53" s="3">
        <v>43738</v>
      </c>
      <c r="H53" s="1" t="s">
        <v>16</v>
      </c>
      <c r="I53" s="4">
        <v>0.71</v>
      </c>
      <c r="J53" s="10" t="str">
        <f t="shared" ca="1" si="0"/>
        <v>R</v>
      </c>
    </row>
    <row r="54" spans="1:10" ht="15" customHeight="1" x14ac:dyDescent="0.35">
      <c r="A54" s="1" t="s">
        <v>98</v>
      </c>
      <c r="B54" s="1" t="s">
        <v>19</v>
      </c>
      <c r="C54" s="1"/>
      <c r="D54" s="1"/>
      <c r="E54" s="1"/>
      <c r="F54" s="3">
        <v>43737</v>
      </c>
      <c r="G54" s="3">
        <v>43742</v>
      </c>
      <c r="H54" s="1" t="s">
        <v>16</v>
      </c>
      <c r="I54" s="4">
        <v>0.44</v>
      </c>
      <c r="J54" s="10" t="str">
        <f t="shared" ca="1" si="0"/>
        <v>R</v>
      </c>
    </row>
    <row r="55" spans="1:10" ht="15" customHeight="1" x14ac:dyDescent="0.35">
      <c r="A55" s="1" t="s">
        <v>99</v>
      </c>
      <c r="B55" s="1" t="s">
        <v>50</v>
      </c>
      <c r="C55" s="1"/>
      <c r="D55" s="1"/>
      <c r="E55" s="1"/>
      <c r="F55" s="3">
        <v>43742</v>
      </c>
      <c r="G55" s="3">
        <v>43746</v>
      </c>
      <c r="H55" s="1" t="s">
        <v>16</v>
      </c>
      <c r="I55" s="4">
        <v>1</v>
      </c>
      <c r="J55" s="10" t="str">
        <f t="shared" ca="1" si="0"/>
        <v>R</v>
      </c>
    </row>
    <row r="56" spans="1:10" ht="15" customHeight="1" x14ac:dyDescent="0.35">
      <c r="A56" s="1" t="s">
        <v>100</v>
      </c>
      <c r="B56" s="1" t="s">
        <v>55</v>
      </c>
      <c r="C56" s="1"/>
      <c r="D56" s="1"/>
      <c r="E56" s="1"/>
      <c r="F56" s="3">
        <v>43746</v>
      </c>
      <c r="G56" s="3">
        <v>43752</v>
      </c>
      <c r="H56" s="1" t="s">
        <v>16</v>
      </c>
      <c r="I56" s="4">
        <v>0</v>
      </c>
      <c r="J56" s="10" t="str">
        <f t="shared" ca="1" si="0"/>
        <v>R</v>
      </c>
    </row>
    <row r="57" spans="1:10" ht="15" customHeight="1" x14ac:dyDescent="0.35">
      <c r="A57" s="1" t="s">
        <v>101</v>
      </c>
      <c r="B57" s="1" t="s">
        <v>47</v>
      </c>
      <c r="C57" s="1"/>
      <c r="D57" s="1"/>
      <c r="E57" s="1"/>
      <c r="F57" s="3">
        <v>43752</v>
      </c>
      <c r="G57" s="3">
        <v>43754</v>
      </c>
      <c r="H57" s="1" t="s">
        <v>16</v>
      </c>
      <c r="I57" s="4">
        <v>1</v>
      </c>
      <c r="J57" s="10" t="str">
        <f t="shared" ca="1" si="0"/>
        <v>R</v>
      </c>
    </row>
    <row r="58" spans="1:10" ht="15" customHeight="1" x14ac:dyDescent="0.35">
      <c r="A58" s="1" t="s">
        <v>102</v>
      </c>
      <c r="B58" s="1" t="s">
        <v>18</v>
      </c>
      <c r="C58" s="1"/>
      <c r="D58" s="1"/>
      <c r="E58" s="1"/>
      <c r="F58" s="3">
        <v>43752</v>
      </c>
      <c r="G58" s="3">
        <v>43757</v>
      </c>
      <c r="H58" s="1" t="s">
        <v>16</v>
      </c>
      <c r="I58" s="4">
        <v>0.61</v>
      </c>
      <c r="J58" s="10" t="str">
        <f t="shared" ca="1" si="0"/>
        <v>R</v>
      </c>
    </row>
    <row r="59" spans="1:10" ht="15" customHeight="1" x14ac:dyDescent="0.35">
      <c r="A59" s="1" t="s">
        <v>103</v>
      </c>
      <c r="B59" s="1" t="s">
        <v>50</v>
      </c>
      <c r="C59" s="1"/>
      <c r="D59" s="1"/>
      <c r="E59" s="1"/>
      <c r="F59" s="3">
        <v>43757</v>
      </c>
      <c r="G59" s="3">
        <v>43763</v>
      </c>
      <c r="H59" s="1" t="s">
        <v>16</v>
      </c>
      <c r="I59" s="4">
        <v>1</v>
      </c>
      <c r="J59" s="10" t="str">
        <f t="shared" ca="1" si="0"/>
        <v>R</v>
      </c>
    </row>
    <row r="60" spans="1:10" ht="15" customHeight="1" x14ac:dyDescent="0.35">
      <c r="A60" s="1" t="s">
        <v>104</v>
      </c>
      <c r="B60" s="1" t="s">
        <v>19</v>
      </c>
      <c r="C60" s="1"/>
      <c r="D60" s="1"/>
      <c r="E60" s="1"/>
      <c r="F60" s="3">
        <v>43763</v>
      </c>
      <c r="G60" s="3">
        <v>43773</v>
      </c>
      <c r="H60" s="1" t="s">
        <v>16</v>
      </c>
      <c r="I60" s="4">
        <v>0</v>
      </c>
      <c r="J60" s="10" t="str">
        <f t="shared" ca="1" si="0"/>
        <v>R</v>
      </c>
    </row>
    <row r="61" spans="1:10" ht="15" customHeight="1" x14ac:dyDescent="0.35">
      <c r="A61" s="1" t="s">
        <v>105</v>
      </c>
      <c r="B61" s="1" t="s">
        <v>48</v>
      </c>
      <c r="C61" s="1"/>
      <c r="D61" s="1"/>
      <c r="E61" s="1"/>
      <c r="F61" s="3">
        <v>43771</v>
      </c>
      <c r="G61" s="3">
        <v>43781</v>
      </c>
      <c r="H61" s="1" t="s">
        <v>16</v>
      </c>
      <c r="I61" s="4">
        <v>1</v>
      </c>
      <c r="J61" s="10" t="str">
        <f t="shared" ca="1" si="0"/>
        <v>R</v>
      </c>
    </row>
    <row r="62" spans="1:10" ht="15" customHeight="1" x14ac:dyDescent="0.35">
      <c r="A62" s="1" t="s">
        <v>106</v>
      </c>
      <c r="B62" s="1" t="s">
        <v>52</v>
      </c>
      <c r="C62" s="1"/>
      <c r="D62" s="1"/>
      <c r="E62" s="1"/>
      <c r="F62" s="3">
        <v>43779</v>
      </c>
      <c r="G62" s="3">
        <v>43782</v>
      </c>
      <c r="H62" s="1" t="s">
        <v>16</v>
      </c>
      <c r="I62" s="4">
        <v>1</v>
      </c>
      <c r="J62" s="10" t="str">
        <f t="shared" ca="1" si="0"/>
        <v>R</v>
      </c>
    </row>
    <row r="63" spans="1:10" ht="15" customHeight="1" x14ac:dyDescent="0.35">
      <c r="A63" s="1" t="s">
        <v>107</v>
      </c>
      <c r="B63" s="1" t="s">
        <v>21</v>
      </c>
      <c r="C63" s="1"/>
      <c r="D63" s="1"/>
      <c r="E63" s="1"/>
      <c r="F63" s="3">
        <v>43783</v>
      </c>
      <c r="G63" s="3">
        <v>43789</v>
      </c>
      <c r="H63" s="1" t="s">
        <v>16</v>
      </c>
      <c r="I63" s="4">
        <v>0.59</v>
      </c>
      <c r="J63" s="10" t="str">
        <f t="shared" ca="1" si="0"/>
        <v>R</v>
      </c>
    </row>
    <row r="64" spans="1:10" ht="15" customHeight="1" x14ac:dyDescent="0.35">
      <c r="A64" s="1" t="s">
        <v>108</v>
      </c>
      <c r="B64" s="1" t="s">
        <v>20</v>
      </c>
      <c r="C64" s="1"/>
      <c r="D64" s="1"/>
      <c r="E64" s="1"/>
      <c r="F64" s="3">
        <v>43789</v>
      </c>
      <c r="G64" s="3">
        <v>43791</v>
      </c>
      <c r="H64" s="1" t="s">
        <v>16</v>
      </c>
      <c r="I64" s="4">
        <v>0.74</v>
      </c>
      <c r="J64" s="10" t="str">
        <f t="shared" ca="1" si="0"/>
        <v>R</v>
      </c>
    </row>
    <row r="65" spans="1:10" ht="15" customHeight="1" x14ac:dyDescent="0.35">
      <c r="A65" s="1" t="s">
        <v>109</v>
      </c>
      <c r="B65" s="1" t="s">
        <v>45</v>
      </c>
      <c r="C65" s="1"/>
      <c r="D65" s="1"/>
      <c r="E65" s="1"/>
      <c r="F65" s="3">
        <v>43792</v>
      </c>
      <c r="G65" s="3">
        <v>43802</v>
      </c>
      <c r="H65" s="1" t="s">
        <v>16</v>
      </c>
      <c r="I65" s="4">
        <v>0</v>
      </c>
      <c r="J65" s="10" t="str">
        <f t="shared" ca="1" si="0"/>
        <v>R</v>
      </c>
    </row>
    <row r="66" spans="1:10" ht="15" customHeight="1" x14ac:dyDescent="0.35">
      <c r="A66" s="1" t="s">
        <v>110</v>
      </c>
      <c r="B66" s="1" t="s">
        <v>19</v>
      </c>
      <c r="C66" s="1"/>
      <c r="D66" s="1"/>
      <c r="E66" s="1"/>
      <c r="F66" s="3">
        <v>43801</v>
      </c>
      <c r="G66" s="3">
        <v>43808</v>
      </c>
      <c r="H66" s="1" t="s">
        <v>16</v>
      </c>
      <c r="I66" s="4">
        <v>1</v>
      </c>
      <c r="J66" s="10" t="str">
        <f t="shared" ca="1" si="0"/>
        <v>R</v>
      </c>
    </row>
    <row r="67" spans="1:10" ht="15" customHeight="1" x14ac:dyDescent="0.35">
      <c r="A67" s="1" t="s">
        <v>111</v>
      </c>
      <c r="B67" s="1" t="s">
        <v>47</v>
      </c>
      <c r="C67" s="1"/>
      <c r="D67" s="1"/>
      <c r="E67" s="1"/>
      <c r="F67" s="3">
        <v>43807</v>
      </c>
      <c r="G67" s="3">
        <v>43810</v>
      </c>
      <c r="H67" s="1" t="s">
        <v>16</v>
      </c>
      <c r="I67" s="4">
        <v>0.61</v>
      </c>
      <c r="J67" s="10" t="str">
        <f t="shared" ref="J67:J73" ca="1" si="1">IF(H67="Completed","G",IF(H67="In Progress",IF(TODAY()&gt;G67,"A","G"),IF(H67="Pending",IF(TODAY()&gt;F67,"R",""),"")))</f>
        <v>R</v>
      </c>
    </row>
    <row r="68" spans="1:10" ht="15" customHeight="1" x14ac:dyDescent="0.35">
      <c r="A68" s="1" t="s">
        <v>112</v>
      </c>
      <c r="B68" s="1" t="s">
        <v>55</v>
      </c>
      <c r="C68" s="1"/>
      <c r="D68" s="1"/>
      <c r="E68" s="1"/>
      <c r="F68" s="3">
        <v>43808</v>
      </c>
      <c r="G68" s="3">
        <v>43818</v>
      </c>
      <c r="H68" s="1" t="s">
        <v>16</v>
      </c>
      <c r="I68" s="4">
        <v>0.53</v>
      </c>
      <c r="J68" s="10" t="str">
        <f t="shared" ca="1" si="1"/>
        <v>R</v>
      </c>
    </row>
    <row r="69" spans="1:10" ht="15" customHeight="1" x14ac:dyDescent="0.35">
      <c r="A69" s="1" t="s">
        <v>113</v>
      </c>
      <c r="B69" s="1" t="s">
        <v>42</v>
      </c>
      <c r="C69" s="1"/>
      <c r="D69" s="1"/>
      <c r="E69" s="1"/>
      <c r="F69" s="3">
        <v>43818</v>
      </c>
      <c r="G69" s="3">
        <v>43823</v>
      </c>
      <c r="H69" s="1" t="s">
        <v>16</v>
      </c>
      <c r="I69" s="4">
        <v>0</v>
      </c>
      <c r="J69" s="10" t="str">
        <f t="shared" ca="1" si="1"/>
        <v>R</v>
      </c>
    </row>
    <row r="70" spans="1:10" ht="15" customHeight="1" x14ac:dyDescent="0.35">
      <c r="A70" s="1" t="s">
        <v>114</v>
      </c>
      <c r="B70" s="1" t="s">
        <v>50</v>
      </c>
      <c r="C70" s="1"/>
      <c r="D70" s="1"/>
      <c r="E70" s="1"/>
      <c r="F70" s="3">
        <v>43823</v>
      </c>
      <c r="G70" s="3">
        <v>43830</v>
      </c>
      <c r="H70" s="1" t="s">
        <v>16</v>
      </c>
      <c r="I70" s="4">
        <v>0.46</v>
      </c>
      <c r="J70" s="10" t="str">
        <f t="shared" ca="1" si="1"/>
        <v>R</v>
      </c>
    </row>
    <row r="71" spans="1:10" ht="15" customHeight="1" x14ac:dyDescent="0.35">
      <c r="A71" s="1" t="s">
        <v>115</v>
      </c>
      <c r="B71" s="1" t="s">
        <v>41</v>
      </c>
      <c r="C71" s="1"/>
      <c r="D71" s="1"/>
      <c r="E71" s="1"/>
      <c r="F71" s="3">
        <v>43829</v>
      </c>
      <c r="G71" s="3">
        <v>43834</v>
      </c>
      <c r="H71" s="1" t="s">
        <v>16</v>
      </c>
      <c r="I71" s="4">
        <v>0</v>
      </c>
      <c r="J71" s="10" t="str">
        <f t="shared" ca="1" si="1"/>
        <v>R</v>
      </c>
    </row>
    <row r="72" spans="1:10" ht="15" customHeight="1" x14ac:dyDescent="0.35">
      <c r="A72" s="1" t="s">
        <v>116</v>
      </c>
      <c r="B72" s="1" t="s">
        <v>55</v>
      </c>
      <c r="C72" s="1"/>
      <c r="D72" s="1"/>
      <c r="E72" s="1"/>
      <c r="F72" s="3">
        <v>43835</v>
      </c>
      <c r="G72" s="3">
        <v>43841</v>
      </c>
      <c r="H72" s="1" t="s">
        <v>16</v>
      </c>
      <c r="I72" s="4">
        <v>1</v>
      </c>
      <c r="J72" s="10" t="str">
        <f t="shared" ca="1" si="1"/>
        <v>R</v>
      </c>
    </row>
    <row r="73" spans="1:10" ht="15" customHeight="1" x14ac:dyDescent="0.35">
      <c r="A73" s="1" t="s">
        <v>117</v>
      </c>
      <c r="B73" s="1" t="s">
        <v>54</v>
      </c>
      <c r="C73" s="1"/>
      <c r="D73" s="1"/>
      <c r="E73" s="1"/>
      <c r="F73" s="3">
        <v>43842</v>
      </c>
      <c r="G73" s="3">
        <v>43850</v>
      </c>
      <c r="H73" s="1" t="s">
        <v>16</v>
      </c>
      <c r="I73" s="4">
        <v>0</v>
      </c>
      <c r="J73" s="10" t="str">
        <f t="shared" ca="1" si="1"/>
        <v>R</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Settings!$J$3:$J$6</xm:f>
          </x14:formula1>
          <xm:sqref>H2:H73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B2:J22"/>
  <sheetViews>
    <sheetView showGridLines="0" workbookViewId="0">
      <selection activeCell="H5" sqref="H5"/>
    </sheetView>
  </sheetViews>
  <sheetFormatPr defaultRowHeight="14.5" x14ac:dyDescent="0.35"/>
  <cols>
    <col min="1" max="1" width="6.1796875" customWidth="1"/>
    <col min="2" max="3" width="15.7265625" customWidth="1"/>
    <col min="4" max="4" width="4" customWidth="1"/>
    <col min="5" max="6" width="15.7265625" customWidth="1"/>
    <col min="7" max="7" width="3.453125" customWidth="1"/>
    <col min="8" max="8" width="14.26953125" customWidth="1"/>
    <col min="9" max="9" width="2.453125" customWidth="1"/>
    <col min="10" max="10" width="14.26953125" customWidth="1"/>
  </cols>
  <sheetData>
    <row r="2" spans="2:10" ht="15" customHeight="1" x14ac:dyDescent="0.35">
      <c r="B2" s="2" t="s">
        <v>23</v>
      </c>
      <c r="C2" s="2" t="s">
        <v>30</v>
      </c>
      <c r="E2" s="2" t="s">
        <v>30</v>
      </c>
      <c r="F2" s="2" t="s">
        <v>34</v>
      </c>
      <c r="H2" s="2" t="s">
        <v>40</v>
      </c>
      <c r="J2" s="2" t="s">
        <v>14</v>
      </c>
    </row>
    <row r="3" spans="2:10" ht="15" customHeight="1" x14ac:dyDescent="0.35">
      <c r="B3" s="1" t="s">
        <v>24</v>
      </c>
      <c r="C3" s="1" t="s">
        <v>31</v>
      </c>
      <c r="E3" s="5" t="s">
        <v>35</v>
      </c>
      <c r="F3" s="3">
        <v>43766</v>
      </c>
      <c r="H3" s="1" t="s">
        <v>18</v>
      </c>
      <c r="J3" s="1" t="s">
        <v>17</v>
      </c>
    </row>
    <row r="4" spans="2:10" ht="15" customHeight="1" x14ac:dyDescent="0.35">
      <c r="B4" s="1" t="s">
        <v>25</v>
      </c>
      <c r="C4" s="1" t="s">
        <v>32</v>
      </c>
      <c r="E4" s="1" t="s">
        <v>36</v>
      </c>
      <c r="F4" s="3">
        <v>43814</v>
      </c>
      <c r="H4" s="1" t="s">
        <v>19</v>
      </c>
      <c r="J4" s="1" t="s">
        <v>16</v>
      </c>
    </row>
    <row r="5" spans="2:10" ht="15" customHeight="1" x14ac:dyDescent="0.35">
      <c r="B5" s="1" t="s">
        <v>26</v>
      </c>
      <c r="C5" s="1" t="s">
        <v>32</v>
      </c>
      <c r="E5" s="1"/>
      <c r="F5" s="3">
        <v>43475</v>
      </c>
      <c r="H5" s="1" t="s">
        <v>20</v>
      </c>
      <c r="J5" s="1" t="s">
        <v>118</v>
      </c>
    </row>
    <row r="6" spans="2:10" ht="15" customHeight="1" x14ac:dyDescent="0.35">
      <c r="B6" s="1" t="s">
        <v>27</v>
      </c>
      <c r="C6" s="1" t="s">
        <v>32</v>
      </c>
      <c r="E6" s="1"/>
      <c r="F6" s="3">
        <v>43500</v>
      </c>
      <c r="H6" s="1" t="s">
        <v>21</v>
      </c>
      <c r="J6" s="1"/>
    </row>
    <row r="7" spans="2:10" ht="15" customHeight="1" x14ac:dyDescent="0.35">
      <c r="B7" s="1" t="s">
        <v>28</v>
      </c>
      <c r="C7" s="1" t="s">
        <v>32</v>
      </c>
      <c r="E7" s="1"/>
      <c r="F7" s="3"/>
      <c r="H7" s="1" t="s">
        <v>22</v>
      </c>
      <c r="J7" s="1"/>
    </row>
    <row r="8" spans="2:10" ht="15" customHeight="1" x14ac:dyDescent="0.35">
      <c r="B8" s="1" t="s">
        <v>29</v>
      </c>
      <c r="C8" s="1" t="s">
        <v>32</v>
      </c>
      <c r="E8" s="1"/>
      <c r="F8" s="3"/>
      <c r="H8" s="1" t="s">
        <v>41</v>
      </c>
      <c r="J8" s="1"/>
    </row>
    <row r="9" spans="2:10" ht="15" customHeight="1" x14ac:dyDescent="0.35">
      <c r="B9" s="1" t="s">
        <v>33</v>
      </c>
      <c r="C9" s="1" t="s">
        <v>31</v>
      </c>
      <c r="E9" s="1"/>
      <c r="F9" s="3"/>
      <c r="H9" s="1" t="s">
        <v>42</v>
      </c>
    </row>
    <row r="10" spans="2:10" x14ac:dyDescent="0.35">
      <c r="H10" s="1" t="s">
        <v>43</v>
      </c>
    </row>
    <row r="11" spans="2:10" x14ac:dyDescent="0.35">
      <c r="H11" s="1" t="s">
        <v>44</v>
      </c>
    </row>
    <row r="12" spans="2:10" x14ac:dyDescent="0.35">
      <c r="H12" s="1" t="s">
        <v>45</v>
      </c>
    </row>
    <row r="13" spans="2:10" x14ac:dyDescent="0.35">
      <c r="H13" s="1" t="s">
        <v>46</v>
      </c>
    </row>
    <row r="14" spans="2:10" x14ac:dyDescent="0.35">
      <c r="H14" s="1" t="s">
        <v>47</v>
      </c>
    </row>
    <row r="15" spans="2:10" x14ac:dyDescent="0.35">
      <c r="H15" s="1" t="s">
        <v>48</v>
      </c>
    </row>
    <row r="16" spans="2:10" x14ac:dyDescent="0.35">
      <c r="H16" s="1" t="s">
        <v>49</v>
      </c>
    </row>
    <row r="17" spans="8:8" x14ac:dyDescent="0.35">
      <c r="H17" s="1" t="s">
        <v>50</v>
      </c>
    </row>
    <row r="18" spans="8:8" x14ac:dyDescent="0.35">
      <c r="H18" s="1" t="s">
        <v>51</v>
      </c>
    </row>
    <row r="19" spans="8:8" x14ac:dyDescent="0.35">
      <c r="H19" s="1" t="s">
        <v>52</v>
      </c>
    </row>
    <row r="20" spans="8:8" x14ac:dyDescent="0.35">
      <c r="H20" s="1" t="s">
        <v>53</v>
      </c>
    </row>
    <row r="21" spans="8:8" x14ac:dyDescent="0.35">
      <c r="H21" s="1" t="s">
        <v>54</v>
      </c>
    </row>
    <row r="22" spans="8:8" x14ac:dyDescent="0.35">
      <c r="H22" s="1" t="s">
        <v>55</v>
      </c>
    </row>
  </sheetData>
  <dataValidations count="1">
    <dataValidation type="list" allowBlank="1" showInputMessage="1" showErrorMessage="1" sqref="C3:C9" xr:uid="{00000000-0002-0000-0E00-000000000000}">
      <formula1>"Y,N"</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32"/>
  <sheetViews>
    <sheetView workbookViewId="0">
      <selection activeCell="F6" sqref="F6"/>
    </sheetView>
  </sheetViews>
  <sheetFormatPr defaultRowHeight="14.5" x14ac:dyDescent="0.35"/>
  <cols>
    <col min="1" max="1" width="9.7265625" style="8" bestFit="1" customWidth="1"/>
    <col min="2" max="2" width="9.1796875" style="7"/>
    <col min="3" max="3" width="10.81640625" bestFit="1" customWidth="1"/>
    <col min="5" max="5" width="11" bestFit="1" customWidth="1"/>
    <col min="6" max="6" width="10.81640625" bestFit="1" customWidth="1"/>
    <col min="13" max="13" width="38.7265625" bestFit="1" customWidth="1"/>
  </cols>
  <sheetData>
    <row r="1" spans="1:16" x14ac:dyDescent="0.35">
      <c r="A1">
        <v>84</v>
      </c>
      <c r="B1" s="350" t="s">
        <v>121</v>
      </c>
      <c r="C1" s="350"/>
      <c r="D1" s="350"/>
      <c r="E1" s="350"/>
      <c r="F1" s="350"/>
      <c r="G1" s="350"/>
      <c r="M1" s="12" t="s">
        <v>125</v>
      </c>
    </row>
    <row r="2" spans="1:16" x14ac:dyDescent="0.35">
      <c r="A2" s="8" t="s">
        <v>0</v>
      </c>
      <c r="B2" s="7" t="s">
        <v>119</v>
      </c>
      <c r="C2" t="s">
        <v>14</v>
      </c>
      <c r="D2" t="s">
        <v>16</v>
      </c>
      <c r="E2" t="s">
        <v>118</v>
      </c>
      <c r="F2" t="s">
        <v>17</v>
      </c>
      <c r="G2" t="s">
        <v>120</v>
      </c>
    </row>
    <row r="3" spans="1:16" x14ac:dyDescent="0.35">
      <c r="A3" s="8">
        <f>EOMONTH(Data!$F$2,-1)+1+$A$1</f>
        <v>43550</v>
      </c>
      <c r="B3" s="7" t="str">
        <f>IFERROR(INDEX(Data!A:A,MATCH(Support!A3,Data!F:F,0)),"")</f>
        <v>Task 18</v>
      </c>
      <c r="C3" t="str">
        <f>IFERROR(INDEX(Data!H:H,MATCH(Support!A3,Data!F:F,0)),"")</f>
        <v>In Progress</v>
      </c>
      <c r="D3">
        <f t="shared" ref="D3:D32" si="0">COUNTIF($C3,D$2)*(MOD(ROW(),2)+1)</f>
        <v>0</v>
      </c>
      <c r="E3">
        <f t="shared" ref="E3:F32" si="1">COUNTIF($C3,E$2)*(MOD(ROW(),2)+1)</f>
        <v>2</v>
      </c>
      <c r="F3">
        <f t="shared" si="1"/>
        <v>0</v>
      </c>
      <c r="G3">
        <f>SUM(D3:F3)</f>
        <v>2</v>
      </c>
      <c r="M3" t="s">
        <v>120</v>
      </c>
      <c r="N3" t="e">
        <f>SUM(N4:N6)</f>
        <v>#REF!</v>
      </c>
      <c r="O3" t="e">
        <f>M3&amp;CHAR(10)&amp;N3</f>
        <v>#REF!</v>
      </c>
    </row>
    <row r="4" spans="1:16" x14ac:dyDescent="0.35">
      <c r="A4" s="8">
        <f>A3+1</f>
        <v>43551</v>
      </c>
      <c r="B4" s="7" t="str">
        <f>IFERROR(INDEX(Data!A:A,MATCH(Support!A4,Data!F:F,0)),"")</f>
        <v/>
      </c>
      <c r="C4" t="str">
        <f>IFERROR(INDEX(Data!H:H,MATCH(Support!A4,Data!F:F,0)),"")</f>
        <v/>
      </c>
      <c r="D4">
        <f t="shared" si="0"/>
        <v>0</v>
      </c>
      <c r="E4">
        <f t="shared" si="1"/>
        <v>0</v>
      </c>
      <c r="F4">
        <f t="shared" si="1"/>
        <v>0</v>
      </c>
      <c r="G4">
        <f>SUM(D4:F4)</f>
        <v>0</v>
      </c>
      <c r="M4" t="s">
        <v>37</v>
      </c>
      <c r="N4" t="e">
        <f>COUNTIF(#REF!,M4)</f>
        <v>#REF!</v>
      </c>
      <c r="O4" s="9" t="e">
        <f>N4/$N$3</f>
        <v>#REF!</v>
      </c>
    </row>
    <row r="5" spans="1:16" x14ac:dyDescent="0.35">
      <c r="A5" s="8">
        <f t="shared" ref="A5:A32" si="2">A4+1</f>
        <v>43552</v>
      </c>
      <c r="B5" s="7" t="str">
        <f>IFERROR(INDEX(Data!A:A,MATCH(Support!A5,Data!F:F,0)),"")</f>
        <v/>
      </c>
      <c r="C5" t="str">
        <f>IFERROR(INDEX(Data!H:H,MATCH(Support!A5,Data!F:F,0)),"")</f>
        <v/>
      </c>
      <c r="D5">
        <f t="shared" si="0"/>
        <v>0</v>
      </c>
      <c r="E5">
        <f t="shared" si="1"/>
        <v>0</v>
      </c>
      <c r="F5">
        <f t="shared" si="1"/>
        <v>0</v>
      </c>
      <c r="G5">
        <f t="shared" ref="G5:G21" si="3">SUM(D5:F5)</f>
        <v>0</v>
      </c>
      <c r="M5" t="s">
        <v>38</v>
      </c>
      <c r="N5" t="e">
        <f>COUNTIF(#REF!,M5)</f>
        <v>#REF!</v>
      </c>
      <c r="O5" s="9" t="e">
        <f>N5/$N$3</f>
        <v>#REF!</v>
      </c>
    </row>
    <row r="6" spans="1:16" x14ac:dyDescent="0.35">
      <c r="A6" s="8">
        <f t="shared" si="2"/>
        <v>43553</v>
      </c>
      <c r="B6" s="7" t="str">
        <f>IFERROR(INDEX(Data!A:A,MATCH(Support!A6,Data!F:F,0)),"")</f>
        <v/>
      </c>
      <c r="C6" t="str">
        <f>IFERROR(INDEX(Data!H:H,MATCH(Support!A6,Data!F:F,0)),"")</f>
        <v/>
      </c>
      <c r="D6">
        <f t="shared" si="0"/>
        <v>0</v>
      </c>
      <c r="E6">
        <f t="shared" si="1"/>
        <v>0</v>
      </c>
      <c r="F6">
        <f t="shared" si="1"/>
        <v>0</v>
      </c>
      <c r="G6">
        <f t="shared" si="3"/>
        <v>0</v>
      </c>
      <c r="M6" t="s">
        <v>39</v>
      </c>
      <c r="N6" t="e">
        <f>COUNTIF(#REF!,M6)</f>
        <v>#REF!</v>
      </c>
      <c r="O6" s="9" t="e">
        <f>N6/$N$3</f>
        <v>#REF!</v>
      </c>
    </row>
    <row r="7" spans="1:16" x14ac:dyDescent="0.35">
      <c r="A7" s="8">
        <f t="shared" si="2"/>
        <v>43554</v>
      </c>
      <c r="B7" s="7" t="str">
        <f>IFERROR(INDEX(Data!A:A,MATCH(Support!A7,Data!F:F,0)),"")</f>
        <v>Task 19</v>
      </c>
      <c r="C7" t="str">
        <f>IFERROR(INDEX(Data!H:H,MATCH(Support!A7,Data!F:F,0)),"")</f>
        <v>In Progress</v>
      </c>
      <c r="D7">
        <f t="shared" si="0"/>
        <v>0</v>
      </c>
      <c r="E7">
        <f t="shared" si="1"/>
        <v>2</v>
      </c>
      <c r="F7">
        <f t="shared" si="1"/>
        <v>0</v>
      </c>
      <c r="G7">
        <f t="shared" si="3"/>
        <v>2</v>
      </c>
    </row>
    <row r="8" spans="1:16" x14ac:dyDescent="0.35">
      <c r="A8" s="8">
        <f t="shared" si="2"/>
        <v>43555</v>
      </c>
      <c r="B8" s="7" t="str">
        <f>IFERROR(INDEX(Data!A:A,MATCH(Support!A8,Data!F:F,0)),"")</f>
        <v/>
      </c>
      <c r="C8" t="str">
        <f>IFERROR(INDEX(Data!H:H,MATCH(Support!A8,Data!F:F,0)),"")</f>
        <v/>
      </c>
      <c r="D8">
        <f t="shared" si="0"/>
        <v>0</v>
      </c>
      <c r="E8">
        <f t="shared" si="1"/>
        <v>0</v>
      </c>
      <c r="F8">
        <f t="shared" si="1"/>
        <v>0</v>
      </c>
      <c r="G8">
        <f t="shared" si="3"/>
        <v>0</v>
      </c>
    </row>
    <row r="9" spans="1:16" x14ac:dyDescent="0.35">
      <c r="A9" s="8">
        <f t="shared" si="2"/>
        <v>43556</v>
      </c>
      <c r="B9" s="7" t="str">
        <f>IFERROR(INDEX(Data!A:A,MATCH(Support!A9,Data!F:F,0)),"")</f>
        <v/>
      </c>
      <c r="C9" t="str">
        <f>IFERROR(INDEX(Data!H:H,MATCH(Support!A9,Data!F:F,0)),"")</f>
        <v/>
      </c>
      <c r="D9">
        <f t="shared" si="0"/>
        <v>0</v>
      </c>
      <c r="E9">
        <f t="shared" si="1"/>
        <v>0</v>
      </c>
      <c r="F9">
        <f t="shared" si="1"/>
        <v>0</v>
      </c>
      <c r="G9">
        <f t="shared" si="3"/>
        <v>0</v>
      </c>
    </row>
    <row r="10" spans="1:16" x14ac:dyDescent="0.35">
      <c r="A10" s="8">
        <f t="shared" si="2"/>
        <v>43557</v>
      </c>
      <c r="B10" s="7" t="str">
        <f>IFERROR(INDEX(Data!A:A,MATCH(Support!A10,Data!F:F,0)),"")</f>
        <v/>
      </c>
      <c r="C10" t="str">
        <f>IFERROR(INDEX(Data!H:H,MATCH(Support!A10,Data!F:F,0)),"")</f>
        <v/>
      </c>
      <c r="D10">
        <f t="shared" si="0"/>
        <v>0</v>
      </c>
      <c r="E10">
        <f t="shared" si="1"/>
        <v>0</v>
      </c>
      <c r="F10">
        <f t="shared" si="1"/>
        <v>0</v>
      </c>
      <c r="G10">
        <f t="shared" si="3"/>
        <v>0</v>
      </c>
      <c r="M10" s="12" t="s">
        <v>119</v>
      </c>
    </row>
    <row r="11" spans="1:16" x14ac:dyDescent="0.35">
      <c r="A11" s="8">
        <f t="shared" si="2"/>
        <v>43558</v>
      </c>
      <c r="B11" s="7" t="str">
        <f>IFERROR(INDEX(Data!A:A,MATCH(Support!A11,Data!F:F,0)),"")</f>
        <v/>
      </c>
      <c r="C11" t="str">
        <f>IFERROR(INDEX(Data!H:H,MATCH(Support!A11,Data!F:F,0)),"")</f>
        <v/>
      </c>
      <c r="D11">
        <f t="shared" si="0"/>
        <v>0</v>
      </c>
      <c r="E11">
        <f t="shared" si="1"/>
        <v>0</v>
      </c>
      <c r="F11">
        <f t="shared" si="1"/>
        <v>0</v>
      </c>
      <c r="G11">
        <f t="shared" si="3"/>
        <v>0</v>
      </c>
      <c r="M11" t="s">
        <v>120</v>
      </c>
      <c r="N11">
        <f>SUM(N12:N14)</f>
        <v>72</v>
      </c>
      <c r="O11" t="str">
        <f>M11&amp;CHAR(10)&amp;N11</f>
        <v>Total
72</v>
      </c>
    </row>
    <row r="12" spans="1:16" x14ac:dyDescent="0.35">
      <c r="A12" s="8">
        <f t="shared" si="2"/>
        <v>43559</v>
      </c>
      <c r="B12" s="7" t="str">
        <f>IFERROR(INDEX(Data!A:A,MATCH(Support!A12,Data!F:F,0)),"")</f>
        <v/>
      </c>
      <c r="C12" t="str">
        <f>IFERROR(INDEX(Data!H:H,MATCH(Support!A12,Data!F:F,0)),"")</f>
        <v/>
      </c>
      <c r="D12">
        <f t="shared" si="0"/>
        <v>0</v>
      </c>
      <c r="E12">
        <f t="shared" si="1"/>
        <v>0</v>
      </c>
      <c r="F12">
        <f t="shared" si="1"/>
        <v>0</v>
      </c>
      <c r="G12">
        <f t="shared" si="3"/>
        <v>0</v>
      </c>
      <c r="M12" t="s">
        <v>16</v>
      </c>
      <c r="N12">
        <f>COUNTIF(Data!$H:$H,M12)</f>
        <v>51</v>
      </c>
      <c r="O12" s="9">
        <f>N12/$N$11</f>
        <v>0.70833333333333337</v>
      </c>
      <c r="P12" s="9">
        <f>1-O12</f>
        <v>0.29166666666666663</v>
      </c>
    </row>
    <row r="13" spans="1:16" x14ac:dyDescent="0.35">
      <c r="A13" s="8">
        <f t="shared" si="2"/>
        <v>43560</v>
      </c>
      <c r="B13" s="7" t="str">
        <f>IFERROR(INDEX(Data!A:A,MATCH(Support!A13,Data!F:F,0)),"")</f>
        <v>Task 20</v>
      </c>
      <c r="C13" t="str">
        <f>IFERROR(INDEX(Data!H:H,MATCH(Support!A13,Data!F:F,0)),"")</f>
        <v>Completed</v>
      </c>
      <c r="D13">
        <f t="shared" si="0"/>
        <v>0</v>
      </c>
      <c r="E13">
        <f t="shared" si="1"/>
        <v>0</v>
      </c>
      <c r="F13">
        <f t="shared" si="1"/>
        <v>2</v>
      </c>
      <c r="G13">
        <f t="shared" si="3"/>
        <v>2</v>
      </c>
      <c r="M13" t="s">
        <v>118</v>
      </c>
      <c r="N13">
        <f>COUNTIF(Data!$H:$H,M13)</f>
        <v>10</v>
      </c>
      <c r="O13" s="9">
        <f>N13/$N$11</f>
        <v>0.1388888888888889</v>
      </c>
      <c r="P13" s="9">
        <f>1-O13</f>
        <v>0.86111111111111116</v>
      </c>
    </row>
    <row r="14" spans="1:16" x14ac:dyDescent="0.35">
      <c r="A14" s="8">
        <f t="shared" si="2"/>
        <v>43561</v>
      </c>
      <c r="B14" s="7" t="str">
        <f>IFERROR(INDEX(Data!A:A,MATCH(Support!A14,Data!F:F,0)),"")</f>
        <v/>
      </c>
      <c r="C14" t="str">
        <f>IFERROR(INDEX(Data!H:H,MATCH(Support!A14,Data!F:F,0)),"")</f>
        <v/>
      </c>
      <c r="D14">
        <f t="shared" si="0"/>
        <v>0</v>
      </c>
      <c r="E14">
        <f t="shared" si="1"/>
        <v>0</v>
      </c>
      <c r="F14">
        <f t="shared" si="1"/>
        <v>0</v>
      </c>
      <c r="G14">
        <f t="shared" si="3"/>
        <v>0</v>
      </c>
      <c r="M14" t="s">
        <v>17</v>
      </c>
      <c r="N14">
        <f>COUNTIF(Data!$H:$H,M14)</f>
        <v>11</v>
      </c>
      <c r="O14" s="9">
        <f>N14/$N$11</f>
        <v>0.15277777777777779</v>
      </c>
      <c r="P14" s="9">
        <f>1-O14</f>
        <v>0.84722222222222221</v>
      </c>
    </row>
    <row r="15" spans="1:16" x14ac:dyDescent="0.35">
      <c r="A15" s="8">
        <f t="shared" si="2"/>
        <v>43562</v>
      </c>
      <c r="B15" s="7" t="str">
        <f>IFERROR(INDEX(Data!A:A,MATCH(Support!A15,Data!F:F,0)),"")</f>
        <v>Task 21</v>
      </c>
      <c r="C15" t="str">
        <f>IFERROR(INDEX(Data!H:H,MATCH(Support!A15,Data!F:F,0)),"")</f>
        <v>Completed</v>
      </c>
      <c r="D15">
        <f t="shared" si="0"/>
        <v>0</v>
      </c>
      <c r="E15">
        <f t="shared" si="1"/>
        <v>0</v>
      </c>
      <c r="F15">
        <f t="shared" si="1"/>
        <v>2</v>
      </c>
      <c r="G15">
        <f t="shared" si="3"/>
        <v>2</v>
      </c>
    </row>
    <row r="16" spans="1:16" x14ac:dyDescent="0.35">
      <c r="A16" s="8">
        <f t="shared" si="2"/>
        <v>43563</v>
      </c>
      <c r="B16" s="7" t="str">
        <f>IFERROR(INDEX(Data!A:A,MATCH(Support!A16,Data!F:F,0)),"")</f>
        <v/>
      </c>
      <c r="C16" t="str">
        <f>IFERROR(INDEX(Data!H:H,MATCH(Support!A16,Data!F:F,0)),"")</f>
        <v/>
      </c>
      <c r="D16">
        <f t="shared" si="0"/>
        <v>0</v>
      </c>
      <c r="E16">
        <f t="shared" si="1"/>
        <v>0</v>
      </c>
      <c r="F16">
        <f t="shared" si="1"/>
        <v>0</v>
      </c>
      <c r="G16">
        <f t="shared" si="3"/>
        <v>0</v>
      </c>
    </row>
    <row r="17" spans="1:15" x14ac:dyDescent="0.35">
      <c r="A17" s="8">
        <f t="shared" si="2"/>
        <v>43564</v>
      </c>
      <c r="B17" s="7" t="str">
        <f>IFERROR(INDEX(Data!A:A,MATCH(Support!A17,Data!F:F,0)),"")</f>
        <v/>
      </c>
      <c r="C17" t="str">
        <f>IFERROR(INDEX(Data!H:H,MATCH(Support!A17,Data!F:F,0)),"")</f>
        <v/>
      </c>
      <c r="D17">
        <f t="shared" si="0"/>
        <v>0</v>
      </c>
      <c r="E17">
        <f t="shared" si="1"/>
        <v>0</v>
      </c>
      <c r="F17">
        <f t="shared" si="1"/>
        <v>0</v>
      </c>
      <c r="G17">
        <f t="shared" si="3"/>
        <v>0</v>
      </c>
      <c r="M17" t="s">
        <v>127</v>
      </c>
      <c r="N17" s="7" t="str">
        <f ca="1">IF(COUNTIF(Data!J:J,"R")&gt;0,"R",IF(COUNTIF(Data!J:J,"A")&gt;0,"A","G"))</f>
        <v>R</v>
      </c>
    </row>
    <row r="18" spans="1:15" x14ac:dyDescent="0.35">
      <c r="A18" s="8">
        <f t="shared" si="2"/>
        <v>43565</v>
      </c>
      <c r="B18" s="7" t="str">
        <f>IFERROR(INDEX(Data!A:A,MATCH(Support!A18,Data!F:F,0)),"")</f>
        <v/>
      </c>
      <c r="C18" t="str">
        <f>IFERROR(INDEX(Data!H:H,MATCH(Support!A18,Data!F:F,0)),"")</f>
        <v/>
      </c>
      <c r="D18">
        <f t="shared" si="0"/>
        <v>0</v>
      </c>
      <c r="E18">
        <f t="shared" si="1"/>
        <v>0</v>
      </c>
      <c r="F18">
        <f t="shared" si="1"/>
        <v>0</v>
      </c>
      <c r="G18">
        <f t="shared" si="3"/>
        <v>0</v>
      </c>
      <c r="M18" t="s">
        <v>129</v>
      </c>
      <c r="N18" s="7">
        <f ca="1">COUNTIF(Data!J:J,"R")</f>
        <v>51</v>
      </c>
      <c r="O18" s="9">
        <f ca="1">N18/$N$11</f>
        <v>0.70833333333333337</v>
      </c>
    </row>
    <row r="19" spans="1:15" x14ac:dyDescent="0.35">
      <c r="A19" s="8">
        <f t="shared" si="2"/>
        <v>43566</v>
      </c>
      <c r="B19" s="7" t="str">
        <f>IFERROR(INDEX(Data!A:A,MATCH(Support!A19,Data!F:F,0)),"")</f>
        <v/>
      </c>
      <c r="C19" t="str">
        <f>IFERROR(INDEX(Data!H:H,MATCH(Support!A19,Data!F:F,0)),"")</f>
        <v/>
      </c>
      <c r="D19">
        <f t="shared" si="0"/>
        <v>0</v>
      </c>
      <c r="E19">
        <f t="shared" si="1"/>
        <v>0</v>
      </c>
      <c r="F19">
        <f t="shared" si="1"/>
        <v>0</v>
      </c>
      <c r="G19">
        <f t="shared" si="3"/>
        <v>0</v>
      </c>
      <c r="M19" t="s">
        <v>128</v>
      </c>
      <c r="N19" s="7">
        <f ca="1">COUNTIF(Data!J:J,"A")</f>
        <v>10</v>
      </c>
      <c r="O19" s="9">
        <f ca="1">N19/$N$11</f>
        <v>0.1388888888888889</v>
      </c>
    </row>
    <row r="20" spans="1:15" x14ac:dyDescent="0.35">
      <c r="A20" s="8">
        <f t="shared" si="2"/>
        <v>43567</v>
      </c>
      <c r="B20" s="7" t="str">
        <f>IFERROR(INDEX(Data!A:A,MATCH(Support!A20,Data!F:F,0)),"")</f>
        <v/>
      </c>
      <c r="C20" t="str">
        <f>IFERROR(INDEX(Data!H:H,MATCH(Support!A20,Data!F:F,0)),"")</f>
        <v/>
      </c>
      <c r="D20">
        <f t="shared" si="0"/>
        <v>0</v>
      </c>
      <c r="E20">
        <f t="shared" si="1"/>
        <v>0</v>
      </c>
      <c r="F20">
        <f t="shared" si="1"/>
        <v>0</v>
      </c>
      <c r="G20">
        <f t="shared" si="3"/>
        <v>0</v>
      </c>
    </row>
    <row r="21" spans="1:15" x14ac:dyDescent="0.35">
      <c r="A21" s="8">
        <f t="shared" si="2"/>
        <v>43568</v>
      </c>
      <c r="B21" s="7" t="str">
        <f>IFERROR(INDEX(Data!A:A,MATCH(Support!A21,Data!F:F,0)),"")</f>
        <v/>
      </c>
      <c r="C21" t="str">
        <f>IFERROR(INDEX(Data!H:H,MATCH(Support!A21,Data!F:F,0)),"")</f>
        <v/>
      </c>
      <c r="D21">
        <f t="shared" si="0"/>
        <v>0</v>
      </c>
      <c r="E21">
        <f t="shared" si="1"/>
        <v>0</v>
      </c>
      <c r="F21">
        <f t="shared" si="1"/>
        <v>0</v>
      </c>
      <c r="G21">
        <f t="shared" si="3"/>
        <v>0</v>
      </c>
    </row>
    <row r="22" spans="1:15" x14ac:dyDescent="0.35">
      <c r="A22" s="8">
        <f t="shared" si="2"/>
        <v>43569</v>
      </c>
      <c r="B22" s="7" t="str">
        <f>IFERROR(INDEX(Data!A:A,MATCH(Support!A22,Data!F:F,0)),"")</f>
        <v/>
      </c>
      <c r="C22" t="str">
        <f>IFERROR(INDEX(Data!H:H,MATCH(Support!A22,Data!F:F,0)),"")</f>
        <v/>
      </c>
      <c r="D22">
        <f t="shared" si="0"/>
        <v>0</v>
      </c>
      <c r="E22">
        <f t="shared" si="1"/>
        <v>0</v>
      </c>
      <c r="F22">
        <f t="shared" si="1"/>
        <v>0</v>
      </c>
      <c r="G22">
        <f t="shared" ref="G22:G32" si="4">SUM(D22:F22)</f>
        <v>0</v>
      </c>
    </row>
    <row r="23" spans="1:15" x14ac:dyDescent="0.35">
      <c r="A23" s="8">
        <f t="shared" si="2"/>
        <v>43570</v>
      </c>
      <c r="B23" s="7" t="str">
        <f>IFERROR(INDEX(Data!A:A,MATCH(Support!A23,Data!F:F,0)),"")</f>
        <v>Task 22</v>
      </c>
      <c r="C23" t="str">
        <f>IFERROR(INDEX(Data!H:H,MATCH(Support!A23,Data!F:F,0)),"")</f>
        <v>Pending</v>
      </c>
      <c r="D23">
        <f t="shared" si="0"/>
        <v>2</v>
      </c>
      <c r="E23">
        <f t="shared" si="1"/>
        <v>0</v>
      </c>
      <c r="F23">
        <f t="shared" si="1"/>
        <v>0</v>
      </c>
      <c r="G23">
        <f t="shared" si="4"/>
        <v>2</v>
      </c>
      <c r="N23" s="351" t="str">
        <f ca="1">N17</f>
        <v>R</v>
      </c>
      <c r="O23" s="351"/>
    </row>
    <row r="24" spans="1:15" x14ac:dyDescent="0.35">
      <c r="A24" s="8">
        <f t="shared" si="2"/>
        <v>43571</v>
      </c>
      <c r="B24" s="7" t="str">
        <f>IFERROR(INDEX(Data!A:A,MATCH(Support!A24,Data!F:F,0)),"")</f>
        <v/>
      </c>
      <c r="C24" t="str">
        <f>IFERROR(INDEX(Data!H:H,MATCH(Support!A24,Data!F:F,0)),"")</f>
        <v/>
      </c>
      <c r="D24">
        <f t="shared" si="0"/>
        <v>0</v>
      </c>
      <c r="E24">
        <f t="shared" si="1"/>
        <v>0</v>
      </c>
      <c r="F24">
        <f t="shared" si="1"/>
        <v>0</v>
      </c>
      <c r="G24">
        <f t="shared" si="4"/>
        <v>0</v>
      </c>
      <c r="N24" s="351"/>
      <c r="O24" s="351"/>
    </row>
    <row r="25" spans="1:15" x14ac:dyDescent="0.35">
      <c r="A25" s="8">
        <f t="shared" si="2"/>
        <v>43572</v>
      </c>
      <c r="B25" s="7" t="str">
        <f>IFERROR(INDEX(Data!A:A,MATCH(Support!A25,Data!F:F,0)),"")</f>
        <v/>
      </c>
      <c r="C25" t="str">
        <f>IFERROR(INDEX(Data!H:H,MATCH(Support!A25,Data!F:F,0)),"")</f>
        <v/>
      </c>
      <c r="D25">
        <f t="shared" si="0"/>
        <v>0</v>
      </c>
      <c r="E25">
        <f t="shared" si="1"/>
        <v>0</v>
      </c>
      <c r="F25">
        <f t="shared" si="1"/>
        <v>0</v>
      </c>
      <c r="G25">
        <f t="shared" si="4"/>
        <v>0</v>
      </c>
      <c r="N25" s="351"/>
      <c r="O25" s="351"/>
    </row>
    <row r="26" spans="1:15" x14ac:dyDescent="0.35">
      <c r="A26" s="8">
        <f t="shared" si="2"/>
        <v>43573</v>
      </c>
      <c r="B26" s="7" t="str">
        <f>IFERROR(INDEX(Data!A:A,MATCH(Support!A26,Data!F:F,0)),"")</f>
        <v/>
      </c>
      <c r="C26" t="str">
        <f>IFERROR(INDEX(Data!H:H,MATCH(Support!A26,Data!F:F,0)),"")</f>
        <v/>
      </c>
      <c r="D26">
        <f t="shared" si="0"/>
        <v>0</v>
      </c>
      <c r="E26">
        <f t="shared" si="1"/>
        <v>0</v>
      </c>
      <c r="F26">
        <f t="shared" si="1"/>
        <v>0</v>
      </c>
      <c r="G26">
        <f t="shared" si="4"/>
        <v>0</v>
      </c>
      <c r="N26" s="351"/>
      <c r="O26" s="351"/>
    </row>
    <row r="27" spans="1:15" x14ac:dyDescent="0.35">
      <c r="A27" s="8">
        <f t="shared" si="2"/>
        <v>43574</v>
      </c>
      <c r="B27" s="7" t="str">
        <f>IFERROR(INDEX(Data!A:A,MATCH(Support!A27,Data!F:F,0)),"")</f>
        <v/>
      </c>
      <c r="C27" t="str">
        <f>IFERROR(INDEX(Data!H:H,MATCH(Support!A27,Data!F:F,0)),"")</f>
        <v/>
      </c>
      <c r="D27">
        <f t="shared" si="0"/>
        <v>0</v>
      </c>
      <c r="E27">
        <f t="shared" si="1"/>
        <v>0</v>
      </c>
      <c r="F27">
        <f t="shared" si="1"/>
        <v>0</v>
      </c>
      <c r="G27">
        <f t="shared" si="4"/>
        <v>0</v>
      </c>
    </row>
    <row r="28" spans="1:15" x14ac:dyDescent="0.35">
      <c r="A28" s="8">
        <f t="shared" si="2"/>
        <v>43575</v>
      </c>
      <c r="B28" s="7" t="str">
        <f>IFERROR(INDEX(Data!A:A,MATCH(Support!A28,Data!F:F,0)),"")</f>
        <v/>
      </c>
      <c r="C28" t="str">
        <f>IFERROR(INDEX(Data!H:H,MATCH(Support!A28,Data!F:F,0)),"")</f>
        <v/>
      </c>
      <c r="D28">
        <f t="shared" si="0"/>
        <v>0</v>
      </c>
      <c r="E28">
        <f t="shared" si="1"/>
        <v>0</v>
      </c>
      <c r="F28">
        <f t="shared" si="1"/>
        <v>0</v>
      </c>
      <c r="G28">
        <f t="shared" si="4"/>
        <v>0</v>
      </c>
    </row>
    <row r="29" spans="1:15" x14ac:dyDescent="0.35">
      <c r="A29" s="8">
        <f t="shared" si="2"/>
        <v>43576</v>
      </c>
      <c r="B29" s="7" t="str">
        <f>IFERROR(INDEX(Data!A:A,MATCH(Support!A29,Data!F:F,0)),"")</f>
        <v>Task 23</v>
      </c>
      <c r="C29" t="str">
        <f>IFERROR(INDEX(Data!H:H,MATCH(Support!A29,Data!F:F,0)),"")</f>
        <v>Pending</v>
      </c>
      <c r="D29">
        <f t="shared" si="0"/>
        <v>2</v>
      </c>
      <c r="E29">
        <f t="shared" si="1"/>
        <v>0</v>
      </c>
      <c r="F29">
        <f t="shared" si="1"/>
        <v>0</v>
      </c>
      <c r="G29">
        <f t="shared" si="4"/>
        <v>2</v>
      </c>
    </row>
    <row r="30" spans="1:15" x14ac:dyDescent="0.35">
      <c r="A30" s="8">
        <f t="shared" si="2"/>
        <v>43577</v>
      </c>
      <c r="B30" s="7" t="str">
        <f>IFERROR(INDEX(Data!A:A,MATCH(Support!A30,Data!F:F,0)),"")</f>
        <v/>
      </c>
      <c r="C30" t="str">
        <f>IFERROR(INDEX(Data!H:H,MATCH(Support!A30,Data!F:F,0)),"")</f>
        <v/>
      </c>
      <c r="D30">
        <f t="shared" si="0"/>
        <v>0</v>
      </c>
      <c r="E30">
        <f t="shared" si="1"/>
        <v>0</v>
      </c>
      <c r="F30">
        <f t="shared" si="1"/>
        <v>0</v>
      </c>
      <c r="G30">
        <f t="shared" si="4"/>
        <v>0</v>
      </c>
    </row>
    <row r="31" spans="1:15" x14ac:dyDescent="0.35">
      <c r="A31" s="8">
        <f t="shared" si="2"/>
        <v>43578</v>
      </c>
      <c r="B31" s="7" t="str">
        <f>IFERROR(INDEX(Data!A:A,MATCH(Support!A31,Data!F:F,0)),"")</f>
        <v>Task 24</v>
      </c>
      <c r="C31" t="str">
        <f>IFERROR(INDEX(Data!H:H,MATCH(Support!A31,Data!F:F,0)),"")</f>
        <v>Pending</v>
      </c>
      <c r="D31">
        <f t="shared" si="0"/>
        <v>2</v>
      </c>
      <c r="E31">
        <f t="shared" si="1"/>
        <v>0</v>
      </c>
      <c r="F31">
        <f t="shared" si="1"/>
        <v>0</v>
      </c>
      <c r="G31">
        <f t="shared" si="4"/>
        <v>2</v>
      </c>
    </row>
    <row r="32" spans="1:15" x14ac:dyDescent="0.35">
      <c r="A32" s="8">
        <f t="shared" si="2"/>
        <v>43579</v>
      </c>
      <c r="B32" s="7" t="str">
        <f>IFERROR(INDEX(Data!A:A,MATCH(Support!A32,Data!F:F,0)),"")</f>
        <v>Task 25</v>
      </c>
      <c r="C32" t="str">
        <f>IFERROR(INDEX(Data!H:H,MATCH(Support!A32,Data!F:F,0)),"")</f>
        <v>Pending</v>
      </c>
      <c r="D32">
        <f t="shared" si="0"/>
        <v>1</v>
      </c>
      <c r="E32">
        <f t="shared" si="1"/>
        <v>0</v>
      </c>
      <c r="F32">
        <f t="shared" si="1"/>
        <v>0</v>
      </c>
      <c r="G32">
        <f t="shared" si="4"/>
        <v>1</v>
      </c>
    </row>
  </sheetData>
  <mergeCells count="2">
    <mergeCell ref="B1:G1"/>
    <mergeCell ref="N23:O26"/>
  </mergeCells>
  <conditionalFormatting sqref="N23">
    <cfRule type="cellIs" dxfId="2" priority="1" operator="equal">
      <formula>"G"</formula>
    </cfRule>
    <cfRule type="cellIs" dxfId="1" priority="2" operator="equal">
      <formula>"A"</formula>
    </cfRule>
    <cfRule type="cellIs" dxfId="0" priority="3" operator="equal">
      <formula>"R"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FFCA9A4D734914B9454B1B6149E55C6" ma:contentTypeVersion="3" ma:contentTypeDescription="Create a new document." ma:contentTypeScope="" ma:versionID="4fa869665bb039de1b00c0a8ba30295a">
  <xsd:schema xmlns:xsd="http://www.w3.org/2001/XMLSchema" xmlns:xs="http://www.w3.org/2001/XMLSchema" xmlns:p="http://schemas.microsoft.com/office/2006/metadata/properties" xmlns:ns2="b41b4a84-9209-4cda-b712-a63f475acec1" targetNamespace="http://schemas.microsoft.com/office/2006/metadata/properties" ma:root="true" ma:fieldsID="eda52b5b1607839c245e9b28c91b026b" ns2:_="">
    <xsd:import namespace="b41b4a84-9209-4cda-b712-a63f475acec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b4a84-9209-4cda-b712-a63f475ace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FDA65DF-3889-4912-B8D2-9EA408A19211}">
  <ds:schemaRefs>
    <ds:schemaRef ds:uri="http://schemas.microsoft.com/sharepoint/v3/contenttype/forms"/>
  </ds:schemaRefs>
</ds:datastoreItem>
</file>

<file path=customXml/itemProps2.xml><?xml version="1.0" encoding="utf-8"?>
<ds:datastoreItem xmlns:ds="http://schemas.openxmlformats.org/officeDocument/2006/customXml" ds:itemID="{AB30021A-76A2-4281-ADEE-CBF22BC865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b4a84-9209-4cda-b712-a63f475ace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21A5A7A-179D-4E48-BCC3-17DAF4F30B5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Mapping</vt:lpstr>
      <vt:lpstr>Dashboard</vt:lpstr>
      <vt:lpstr>Intro</vt:lpstr>
      <vt:lpstr>Step 1</vt:lpstr>
      <vt:lpstr>Step 2</vt:lpstr>
      <vt:lpstr>Step 3</vt:lpstr>
      <vt:lpstr>Step 4</vt:lpstr>
      <vt:lpstr>Step 5</vt:lpstr>
      <vt:lpstr>Cost</vt:lpstr>
      <vt:lpstr>Other Issues</vt:lpstr>
      <vt:lpstr>Assesment</vt:lpstr>
      <vt:lpstr>Conclusion</vt:lpstr>
      <vt:lpstr>Data</vt:lpstr>
      <vt:lpstr>Settings</vt:lpstr>
      <vt:lpstr>Support</vt:lpstr>
      <vt:lpstr>'Other Issues'!_Hlk503774654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Priyendra Kumar</dc:creator>
  <cp:lastModifiedBy>Ashish Gupta</cp:lastModifiedBy>
  <dcterms:created xsi:type="dcterms:W3CDTF">2019-09-18T08:51:50Z</dcterms:created>
  <dcterms:modified xsi:type="dcterms:W3CDTF">2025-08-02T05:43:16Z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