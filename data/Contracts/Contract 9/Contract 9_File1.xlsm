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B544B5EB-CB78-4342-8440-96CAD833803F}" xr6:coauthVersionLast="47" xr6:coauthVersionMax="47" xr10:uidLastSave="{00000000-0000-0000-0000-000000000000}"/>
  <bookViews>
    <workbookView xWindow="-110" yWindow="-110" windowWidth="19420" windowHeight="10300" firstSheet="5"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r:id="rId10"/>
    <sheet name="Assesment" sheetId="32" r:id="rId11"/>
    <sheet name="Conclusion" sheetId="34" r:id="rId12"/>
    <sheet name="Data" sheetId="7" state="hidden" r:id="rId13"/>
    <sheet name="Settings" sheetId="8" state="hidden" r:id="rId14"/>
    <sheet name="Support" sheetId="10" state="hidden" r:id="rId15"/>
  </sheets>
  <definedNames>
    <definedName name="_xlnm._FilterDatabase" localSheetId="1" hidden="1">Dashboard!$D$9:$F$11</definedName>
    <definedName name="_xlnm._FilterDatabase" localSheetId="12"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34" l="1" a="1"/>
  <c r="E17" i="34" s="1"/>
  <c r="E16" i="34" a="1"/>
  <c r="E16" i="34" s="1"/>
  <c r="E13" i="34" a="1"/>
  <c r="E13" i="34" s="1"/>
  <c r="E12" i="34" a="1"/>
  <c r="E12" i="34" s="1"/>
  <c r="E11" i="34" a="1"/>
  <c r="E11" i="34" s="1"/>
  <c r="E10" i="34" a="1"/>
  <c r="E10" i="34" s="1"/>
  <c r="D45" i="26"/>
  <c r="D44" i="26"/>
  <c r="D43" i="26"/>
  <c r="D42" i="26"/>
  <c r="E27" i="26"/>
  <c r="E26" i="26"/>
  <c r="E25" i="26"/>
  <c r="E24" i="26"/>
  <c r="F50" i="26" l="1"/>
  <c r="F49" i="26"/>
  <c r="F48" i="26"/>
  <c r="F47" i="26"/>
  <c r="F46" i="26"/>
  <c r="F45" i="26"/>
  <c r="F44" i="26"/>
  <c r="F43" i="26"/>
  <c r="E7" i="34" a="1"/>
  <c r="E7" i="34" s="1"/>
  <c r="E4" i="34" a="1"/>
  <c r="E4" i="34" s="1"/>
  <c r="D50" i="26"/>
  <c r="D49" i="26"/>
  <c r="D48" i="26"/>
  <c r="D47" i="26"/>
  <c r="D46" i="26"/>
  <c r="E32" i="26"/>
  <c r="E31" i="26"/>
  <c r="E30" i="26"/>
  <c r="E29" i="26"/>
  <c r="E28" i="26"/>
  <c r="G23" i="25" l="1"/>
  <c r="D27" i="27" s="1"/>
  <c r="H20" i="28"/>
  <c r="E23" i="34" s="1"/>
  <c r="H19" i="28"/>
  <c r="E22" i="34" s="1"/>
  <c r="H18" i="28"/>
  <c r="E21" i="34" s="1"/>
  <c r="H17" i="28"/>
  <c r="E20" i="34" s="1"/>
  <c r="G26" i="25"/>
  <c r="G25" i="25"/>
  <c r="D29" i="27" s="1"/>
  <c r="G24" i="25"/>
  <c r="E21" i="27" l="1"/>
  <c r="D28" i="27"/>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tc={8B4D15D8-17F7-4F67-98A7-25D2F1916111}</author>
  </authors>
  <commentList>
    <comment ref="D22" authorId="0" shapeId="0" xr:uid="{00000000-0006-0000-0400-000001000000}">
      <text>
        <t>[Threaded comment]
Your version of Excel allows you to read this threaded comment; however, any edits to it will get removed if the file is opened in a newer version of Excel. Learn more: https://go.microsoft.com/fwlink/?linkid=870924
Comment:
    Please copy paste the below row while inserting the new row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<sst xmlns="http://schemas.openxmlformats.org/spreadsheetml/2006/main" count="846" uniqueCount="533">
  <si>
    <t>Input/Output</t>
  </si>
  <si>
    <t xml:space="preserve">Variable consideration consists of: </t>
  </si>
  <si>
    <t>Approach</t>
  </si>
  <si>
    <t>Whether the XYZ is the principal or agent in the contract?</t>
  </si>
  <si>
    <t>Conclusion Step 2 (Promises in the contract)</t>
  </si>
  <si>
    <t>Method used</t>
  </si>
  <si>
    <t>Yes</t>
  </si>
  <si>
    <t>Input</t>
  </si>
  <si>
    <t>Service  Credit</t>
  </si>
  <si>
    <t>Expected Value Method</t>
  </si>
  <si>
    <t>Principal</t>
  </si>
  <si>
    <t>Promise is a distinct performance obligation</t>
  </si>
  <si>
    <t>Adjusted Market Assessment</t>
  </si>
  <si>
    <t>No</t>
  </si>
  <si>
    <t>Output</t>
  </si>
  <si>
    <t>CBB penalty and rewards</t>
  </si>
  <si>
    <t>Most Likely Method</t>
  </si>
  <si>
    <t>Agent</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</si>
  <si>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</si>
  <si>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Cost Plus</t>
  </si>
  <si>
    <t>NA</t>
  </si>
  <si>
    <t>No Select</t>
  </si>
  <si>
    <t>Bundle of goods or services is a single performance</t>
  </si>
  <si>
    <t xml:space="preserve">Residual </t>
  </si>
  <si>
    <t>Observable price</t>
  </si>
  <si>
    <t>Output Folder -:</t>
  </si>
  <si>
    <t>Z:\Public\2024-25\Revenue RRC 2024-25\6. September 2024\RRM\</t>
  </si>
  <si>
    <t>Select Month -:</t>
  </si>
  <si>
    <t>Current Status      (Maker) -:</t>
  </si>
  <si>
    <t>Other Issues</t>
  </si>
  <si>
    <t>Checker :</t>
  </si>
  <si>
    <t>XYZ Entity –</t>
  </si>
  <si>
    <t>Client Name –</t>
  </si>
  <si>
    <t xml:space="preserve">Vertical / Horizontal : </t>
  </si>
  <si>
    <t xml:space="preserve">Travel / Finance &amp; Accounting </t>
  </si>
  <si>
    <t>Type of contract –</t>
  </si>
  <si>
    <t>Amendment 1 to SOW (ICMSOWAmendment_1944)</t>
  </si>
  <si>
    <t>LOE date :</t>
  </si>
  <si>
    <t>MSA Date -:</t>
  </si>
  <si>
    <t>20th July 2018 till 19th July 2024</t>
  </si>
  <si>
    <t>Amendment#1 Date -:</t>
  </si>
  <si>
    <t>20th July 2024 till 19th July 2029</t>
  </si>
  <si>
    <t>Amendment#1 Client Sign Date -:</t>
  </si>
  <si>
    <t>01st August 2024</t>
  </si>
  <si>
    <t xml:space="preserve">Contract Value- TCV/ACV </t>
  </si>
  <si>
    <t>TCV - $ 21,964 K</t>
  </si>
  <si>
    <t>ACV - $ 4,393 K</t>
  </si>
  <si>
    <t xml:space="preserve"> Term of the contracts -:</t>
  </si>
  <si>
    <t>60 months</t>
  </si>
  <si>
    <t xml:space="preserve">Total Contract period (for amortization of Contract costs, including expected renewal):  </t>
  </si>
  <si>
    <t xml:space="preserve">Checklist Reference no. - </t>
  </si>
  <si>
    <t>2024-25-68</t>
  </si>
  <si>
    <t>New Logo -:</t>
  </si>
  <si>
    <t>Existing Customer -:</t>
  </si>
  <si>
    <t>Modification-:</t>
  </si>
  <si>
    <t>RRC Reference Number (if any)</t>
  </si>
  <si>
    <t>Prepared by</t>
  </si>
  <si>
    <t>Reviewed By</t>
  </si>
  <si>
    <t>Approved By</t>
  </si>
  <si>
    <t>Designation: Deputy Manager</t>
  </si>
  <si>
    <t xml:space="preserve">Designation: General Manager </t>
  </si>
  <si>
    <t>Designation: Corporate VP</t>
  </si>
  <si>
    <t>September 24</t>
  </si>
  <si>
    <t>Key Elements of contract :</t>
  </si>
  <si>
    <t>Scope of services - general requirement for PTP, OTC, CAPEX &amp; RTR</t>
  </si>
  <si>
    <t>FTE based billing , overtime</t>
  </si>
  <si>
    <t>Transition services, Tools and Transformation - one time set up and Recurring</t>
  </si>
  <si>
    <t>ARC/RRC and Repricing event / Gainsharing / service credits</t>
  </si>
  <si>
    <t>Account Management Charges / Project Rate card</t>
  </si>
  <si>
    <t>Pass through Expenses</t>
  </si>
  <si>
    <t>Termination Fees</t>
  </si>
  <si>
    <t>Literature reference for relevant accounting guidance under US GAAP</t>
  </si>
  <si>
    <t>ASC 606 - Revenue from contract with customer</t>
  </si>
  <si>
    <t>Any other relevant literature reference (please specify)</t>
  </si>
  <si>
    <t>ASC 450 - Contingencies</t>
  </si>
  <si>
    <t>ASC 815 - Derivatives and hedging</t>
  </si>
  <si>
    <t>Objective</t>
  </si>
  <si>
    <t>Aim of this checklist is to ensure that all the revenue recognition criteria as prescribed under US GAAP are fulfilled. This Accounting Checklist is tailored to address the specific circumstances of BPO – Outsourcing business.</t>
  </si>
  <si>
    <t>Business Overview</t>
  </si>
  <si>
    <t>XYZ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XYZ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</si>
  <si>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In BPM segment, Company charges for services primarily based on the following pricing models:</t>
  </si>
  <si>
    <r>
      <t>1)</t>
    </r>
    <r>
      <rPr>
        <sz val="7"/>
        <color theme="1"/>
        <rFont val="Times New Roman"/>
        <family val="1"/>
      </rPr>
      <t xml:space="preserve">       </t>
    </r>
    <r>
      <rPr>
        <b/>
        <sz val="10"/>
        <color theme="1"/>
        <rFont val="Calibri"/>
        <family val="2"/>
      </rPr>
      <t>Per full time equivalent</t>
    </r>
    <r>
      <rPr>
        <sz val="10"/>
        <color theme="1"/>
        <rFont val="Calibri"/>
        <family val="2"/>
      </rPr>
      <t xml:space="preserve"> – This arrangement typically involve billing based on number of full time employees (or equivalent) deployed on the execution of the business process managed;</t>
    </r>
  </si>
  <si>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</si>
  <si>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</si>
  <si>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</si>
  <si>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r>
      <t>Other pricing arrangements,</t>
    </r>
    <r>
      <rPr>
        <sz val="10"/>
        <color theme="1"/>
        <rFont val="Calibri"/>
        <family val="2"/>
        <scheme val="minor"/>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</si>
  <si>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</si>
  <si>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A. contract exists if:</t>
  </si>
  <si>
    <t xml:space="preserve">i. </t>
  </si>
  <si>
    <t xml:space="preserve">Collection is considered probable </t>
  </si>
  <si>
    <t xml:space="preserve">ii. </t>
  </si>
  <si>
    <t xml:space="preserve">It has commercial substance </t>
  </si>
  <si>
    <t xml:space="preserve">iii. </t>
  </si>
  <si>
    <t xml:space="preserve">Rights to goods and services and payment terms can be identified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</si>
  <si>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</si>
  <si>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</si>
  <si>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</si>
  <si>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</si>
  <si>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</si>
  <si>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</si>
  <si>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</si>
  <si>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 xml:space="preserve">Is the contract approved and the parties are committed to their obligation ((ASC 606-10-25-1(a) ) ? </t>
  </si>
  <si>
    <t>Agreement have been signed by both the parties to the contract.</t>
  </si>
  <si>
    <t xml:space="preserve">Are each parties' rights regarding the goods or services to be transferred identifiable (ASC 606-10-25-1(b)) ? </t>
  </si>
  <si>
    <t>Scope of services has been defined in Exhibit 1 of SOW</t>
  </si>
  <si>
    <t xml:space="preserve">Can the payment terms for the goods and services be identified (ASC 606-10-25-1(c)) ? </t>
  </si>
  <si>
    <t>Payment Terms are mentioned in Exhibit 2 of SOW</t>
  </si>
  <si>
    <t xml:space="preserve">Has the contract commercial substance (ASC 606-10-25-1(d)) ? </t>
  </si>
  <si>
    <t>SOW defines the pricing, risks and timing of the services, therefore commercial substance of the contract exists.</t>
  </si>
  <si>
    <t xml:space="preserve">Is the collection of consideration probable ("likely") (ASC 606-10-25-1(e)) ? </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</si>
  <si>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XYZ follows above established process for assessing the credit ratings of the prospective and existing Customers</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</si>
  <si>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</si>
  <si>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</si>
  <si>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</si>
  <si>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</si>
  <si>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</si>
  <si>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</si>
  <si>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</si>
  <si>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</si>
  <si>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</si>
  <si>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Is there a combination of contracts necessary (606-10-25-9)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</si>
  <si>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</si>
  <si>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</si>
  <si>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</si>
  <si>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</si>
  <si>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 xml:space="preserve">Conclusion: </t>
  </si>
  <si>
    <t>No contracts are combined as none of the above criteria are met.</t>
  </si>
  <si>
    <t>Remarks :</t>
  </si>
  <si>
    <t>There are no contracts entered at or near the same time as contract under assessment (Amedment 1 to SOW which includes MSA) . Hence, combination not applicable</t>
  </si>
  <si>
    <t>C. Modification of contract</t>
  </si>
  <si>
    <t>Is the contract modification approved ?</t>
  </si>
  <si>
    <t>Does the modification solely add additional goods or services ?</t>
  </si>
  <si>
    <t>Are the additional goods or services distinct ?</t>
  </si>
  <si>
    <t>Are the remaning goods or services distinct ?</t>
  </si>
  <si>
    <t>Does the contract price increase by an amount that reflect standalone selling price for the new goods or services (considering the circumstances of the contract) ?</t>
  </si>
  <si>
    <t>Account for modification as a separate contract</t>
  </si>
  <si>
    <t xml:space="preserve">Remarks: </t>
  </si>
  <si>
    <t>The SOW under assessment terminates, supersedes, and replaces the Professional Services Agreement by and between the Parties dated January 16, 2018 in its entirety, including all statements of work thereunder (collectively, the “Prior Agreement”). All rights and obligations (including payment obligations) of the Parties under the Prior Agreement and any disputes arising therefrom will be superseded and governed by the terms and conditions of this Statement of Work and the Master Agreement. Hence, the contract has been treated as the separate contract.</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</si>
  <si>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</si>
  <si>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</si>
  <si>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</si>
  <si>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</si>
  <si>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A promise is classified as a performance obligation, if the good or service is capable of being distinct  distinct (ASC 606-10-25-19 (a)) and distinct in the context of the contract (ASC 606-10-25-19 (b)). (ASC 606-10-25-14)</t>
  </si>
  <si>
    <t xml:space="preserve">Criterion 1 </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</si>
  <si>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</si>
  <si>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 Company promise to transfer the good or service separately identifiable from other promises in the contract (ASC 606-10-25-19(b))?? The following factors should be considered with regard to the above question: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</si>
  <si>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</si>
  <si>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</si>
  <si>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</si>
  <si>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</si>
  <si>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</si>
  <si>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 xml:space="preserve">Criterion 2 </t>
  </si>
  <si>
    <t>Performance Obligation?</t>
  </si>
  <si>
    <t xml:space="preserve">Conclusion </t>
  </si>
  <si>
    <t xml:space="preserve">General requirement for PTP, OTC, CAPEX &amp; RTR
- General Accounting
- Revenue Integration
- Accounts Payable
- Accounts Receivable
- Inquires &amp; Disputes (A/P and A/R)
- CAPP invoice processing
</t>
  </si>
  <si>
    <t xml:space="preserve">Tools and Transformations - Implementation of Solutions
AP TRAC R3 + supplier portal one time implementation
Doppel Skanner one time implementation </t>
  </si>
  <si>
    <t>Not a distinct service in the contract as it does not transfer any incremental benefit to the Customer on standalone basis. These are treated as input to the overall combined output of the contract.</t>
  </si>
  <si>
    <t xml:space="preserve">Tools &amp; Transformation Recurring services
AP TRAC R3 + supplier portal and Kofax Recurring fees
Zoho Desk and Analytics -  Licenses and Support 
Doppel Skanner Recurring fees 
RPA - Licenses and Support </t>
  </si>
  <si>
    <t>Technology (includes BCP)
One time
Recurring</t>
  </si>
  <si>
    <t>As per above evaluation, we conclude that “General requirement for PTP, OTC, CAPEX &amp; RTR  - General Accounting, Revenue Integration, Accounts Payable, Accounts Receivable,Inquires &amp; Disputes (A/P and A/R) and CAPP invoice processing” are single performance obligation by applying series guidance. 
Technology/ Tools and Transformation services a merely set-up activities as it is not providing any incremental benefit to the customer as the customer cannot benefit from the Technology / the Implementation of these tools alone which means that it is not capable of being distinct from the BPM service. The implementation of Tools and Solutions / Technology services are required to be performed so that XYZ can deliver its contracted service of business process outsourcing. Technology/ Tools and Transformation  and BPM services are not separately identified here because Technology/ Tools and Transformation services are inputs to the combined output (i.e. the BPM service) for which the customer has contracted, such that the entity is providing a significant integration service of combining those inputs into that combined 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</si>
  <si>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</si>
  <si>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</si>
  <si>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</si>
  <si>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</si>
  <si>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i</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</si>
  <si>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</si>
  <si>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</si>
  <si>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</si>
  <si>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</si>
  <si>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</si>
  <si>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</si>
  <si>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</si>
  <si>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</si>
  <si>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</si>
  <si>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</si>
  <si>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</si>
  <si>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</si>
  <si>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</si>
  <si>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</si>
  <si>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Variable consideration consists of:</t>
  </si>
  <si>
    <t>Service credits/ Penalty</t>
  </si>
  <si>
    <t>Refer Exhibit # 3B and "Proposed Risk Reward Key Metrics" table [Refer page 110-111 of 174]</t>
  </si>
  <si>
    <t>Clawback [Earnback]</t>
  </si>
  <si>
    <t>Refer "Proposed Risk Reward Key Metrics" table  [Refer page 110-111 of 174]</t>
  </si>
  <si>
    <t>Gainshare</t>
  </si>
  <si>
    <t>Refer section 10 of Exhibit 2(A)</t>
  </si>
  <si>
    <t>Economic Change Adjustment - COLA</t>
  </si>
  <si>
    <t>Refer para 11 of SOW</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</si>
  <si>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</si>
  <si>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</si>
  <si>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</si>
  <si>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As per Para 10-32-6 of ASC 606 consideration can vary because of discounts, rebates, refunds, credits, price concessions, incentives, performance bonuses, penalties, or other similar items. Hence Service credit/Penalty, Gainshare, Clawback/Earnback and Economic Change Adjustment - COLA shall be considered as variable consideration.</t>
  </si>
  <si>
    <t xml:space="preserve">Please describe the approach to estimate the variable amount for each variable consideration (most likely amount, expected value) and explain why the method used better predicts the consideration to which the Company will be entitled </t>
  </si>
  <si>
    <t>Variable consideration</t>
  </si>
  <si>
    <t>Method</t>
  </si>
  <si>
    <t>Explanation</t>
  </si>
  <si>
    <t>The expected value is the sum of probability weighted amounts in a range of possible consideration amounts.</t>
  </si>
  <si>
    <t xml:space="preserve">Please explain the reasonableness whether it is probable that a significant reversal in the amount of cumulative revenue recognized will not occur (ASC 606-10-32-11. (Please consider the likelihood and the magnitude of a revenue reversal) </t>
  </si>
  <si>
    <t xml:space="preserve">Since the variable considerations are measured quaterly and a quaterly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 . Hence, the significant reversal of revenue is not probable.
Since earnbacks are estimated on most likely method, the amount estimated is considered as revenue only after applying the constraints, Hence, reversal of revenue will not occur.
Since COLA will be applied prospectively, no significant reversals will occur.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</si>
  <si>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</si>
  <si>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</si>
  <si>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</si>
  <si>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</si>
  <si>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</si>
  <si>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</si>
  <si>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</si>
  <si>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If the answer is "Yes" to any of the above questions, the variable consideration may not be  probable and cannot be included in the transaction price until it is deemed probable that the variable consideration will not result in a significant revenue reversal.</t>
  </si>
  <si>
    <t>The transaction price consists of variable consideration(s) which are deemed  probable and need(s) to be included in the transaction price.</t>
  </si>
  <si>
    <t>Conclusion :</t>
  </si>
  <si>
    <t xml:space="preserve">Service credits/ penalty : Service credits is applicable only for 6 key metrics identified in the contrac. The measurement period for Key metrics for Year 1 is 9 months and from subsequent years it is 12 months.If specifict key metrics is not met for 3 month during the measurement period.
In this case service levels for key metrics are measured on yearly basis. Since the measurement period is more than a month, estimation of service level credits is done using expected value method. The expected service credits will be accounted as reduction to revenue on monthly basis in case of service level defaults.
Penalty is applicable only for specific LOBs where SLA is missed and not on overall revenue. Penalty on specific LOBs SLA  will be recorded as reduction to revenue on monthly basis based on service level default. Since the measurement period is monthly and quarterly for some SLA's, estimation of service credits at the inception can be foregone  for monthly SLA's as the estimated amount per month and actuals will almost be the same and for quaterly measurement period it should be estimated using expected value method after applying the constraints to the amount,if any.
Earnback should be estimated using Most Likely Method as there would be only two possible outcomes  i.e. whether service levels will be met or not met.  Earnback will be accounted as revenue. In the absence of specified conditions and measurement parameters for earnback in the contract, we have currently defined only the accounting aspects.
Gain share is in the nature of efficiency gains which are being passed on to client over the period of the contract. Gain share [XYZ share] will be accounted as  revenue. The gain share revenues would be estimated using an appropriate method i.e. most likely method and should be accrued on a monthly basis after applying the contrainst to it if any.
Economic Change Adjustment - COLA - As we are using practical expedient of 'As invoiced', COLA will be applied prospectively.
</t>
  </si>
  <si>
    <r>
      <t xml:space="preserve">B. </t>
    </r>
    <r>
      <rPr>
        <b/>
        <u/>
        <sz val="10"/>
        <color rgb="FF000000"/>
        <rFont val="Calibri"/>
        <family val="2"/>
      </rPr>
      <t>Non-cash consideration:</t>
    </r>
  </si>
  <si>
    <t>Does the consideration include a non-cash component?</t>
  </si>
  <si>
    <t>If the previous question was answered "Yes" please describe the type of non-cash consideration in the contract</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</si>
  <si>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</si>
  <si>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</si>
  <si>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</si>
  <si>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</si>
  <si>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Guidance </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</si>
  <si>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</si>
  <si>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</si>
  <si>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If the consideration payable to a customer includes a variable amount, an entity shall estimate the transaction price (including assessing whether the estimate of variable consideration is constrained) in accordance with paragraphs ASC 606-10-32-5 to 32-1350–58</t>
  </si>
  <si>
    <t>Consideration Payable to customer :</t>
  </si>
  <si>
    <t>Does the consideration payable to a customer (or to the customer's) represent a payable for a distinct goods or service ?</t>
  </si>
  <si>
    <t xml:space="preserve">If answer of the previous question is "Yes", the following questions are relevant: </t>
  </si>
  <si>
    <t>Can the entity reasonably estimate the fair value of the goods or service received ?</t>
  </si>
  <si>
    <t>Does the consideration payble exceed the fair value of the distinct good or services ?</t>
  </si>
  <si>
    <t>Conclusion</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</si>
  <si>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</si>
  <si>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</si>
  <si>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</si>
  <si>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</si>
  <si>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</si>
  <si>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</si>
  <si>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</si>
  <si>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</si>
  <si>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No financing component</t>
  </si>
  <si>
    <t xml:space="preserve">A significant financing component exists for which the entity needs to account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</si>
  <si>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</si>
  <si>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</si>
  <si>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</si>
  <si>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</si>
  <si>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1. Determine stand-alone selling prices
</t>
  </si>
  <si>
    <t>2. Allocate the transaction price</t>
  </si>
  <si>
    <t xml:space="preserve">Allocation of transaction price required? </t>
  </si>
  <si>
    <t>Since there is only 1 performance obligation, allocation of transaction price is not required</t>
  </si>
  <si>
    <t>Allocation of Transaction price</t>
  </si>
  <si>
    <t>Performance obligation</t>
  </si>
  <si>
    <t>Method used/ Other</t>
  </si>
  <si>
    <t>Standalone Selling price</t>
  </si>
  <si>
    <t>Allocation</t>
  </si>
  <si>
    <t>Allocated Transaction price</t>
  </si>
  <si>
    <t>Allocation of variable consideration</t>
  </si>
  <si>
    <t xml:space="preserve">Is there an allocation of a variable consideration ? (ASC 606-10-32-39 to 32-41)? </t>
  </si>
  <si>
    <t>Not required to be allocated as only 1 performance obligation has been identified in the contract.</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</si>
  <si>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</si>
  <si>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</si>
  <si>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</si>
  <si>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</si>
  <si>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Criterion 1 ASC 606-10-25-27(a) </t>
  </si>
  <si>
    <t xml:space="preserve">The customer simultaneously receives and consumes the benefits provided by the Company' performance as the Company performs </t>
  </si>
  <si>
    <t xml:space="preserve">Criterion 2 ASC 606-10-25-27(b) </t>
  </si>
  <si>
    <t xml:space="preserve">The Company's performance creates or enhances an asset that the customer controls as the asset is created or enhanced </t>
  </si>
  <si>
    <t xml:space="preserve">Criterion 3 ASC 606-10-25-27(c)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</si>
  <si>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</si>
  <si>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Performance obligations according to Step 2 </t>
  </si>
  <si>
    <t xml:space="preserve">Criterion 3 </t>
  </si>
  <si>
    <t xml:space="preserve">Performance obligations satisfied over time </t>
  </si>
  <si>
    <t>Perforamance obligation satisfied at a point in time</t>
  </si>
  <si>
    <t>Selecting a method that depicts the performance i.e. a pattern of transfer of control of the goods and services to the customer:</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</si>
  <si>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</si>
  <si>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</si>
  <si>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 xml:space="preserve">Method 1: Output: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</si>
  <si>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</si>
  <si>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Method 2: Input: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</si>
  <si>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</si>
  <si>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</si>
  <si>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</si>
  <si>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Progress is measured based on FTE consumed for performing the services. Therefore, method 2 i.e. measurement of progress based on Input appears to be appropriate.
Since XYZ is using As-Invoiced practical expedient, the applicability of input method use has been foregone.</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</si>
  <si>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</si>
  <si>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</si>
  <si>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 xml:space="preserve">Contract costs: </t>
  </si>
  <si>
    <r>
      <rPr>
        <b/>
        <u/>
        <sz val="10"/>
        <color rgb="FF000000"/>
        <rFont val="Calibri"/>
        <family val="2"/>
        <scheme val="minor"/>
      </rPr>
      <t>Costs of fulfilling a contract</t>
    </r>
    <r>
      <rPr>
        <b/>
        <sz val="10"/>
        <color rgb="FF000000"/>
        <rFont val="Calibri"/>
        <family val="2"/>
        <scheme val="minor"/>
      </rPr>
      <t xml:space="preserve"> </t>
    </r>
  </si>
  <si>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</si>
  <si>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</si>
  <si>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</si>
  <si>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</si>
  <si>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</si>
  <si>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</si>
  <si>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</si>
  <si>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</si>
  <si>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</si>
  <si>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Implementation cost- this cost related to implementation of tools does not fall under other guidances viz PPE and hence are assessed and concluded as cost to fulfill. It will be deferred and amortized over the contract term including one expected renewal.
Technology set-up- these are mainly hardware elements like Desktops,Laptops, Headsets, Monitor 20", Keyboard and Mouse. Cost will be recognized over the life of the asset i.e. PPE, as it falls under this accounting guidance.</t>
  </si>
  <si>
    <t xml:space="preserve">If the conclusion is that costs of fulfilment shall be capitalized, please explain the background </t>
  </si>
  <si>
    <t>Technology/ Implementation of tools costs are considered as input to the main services and does not provide incremental benefits to the customer on standalone basis as they do not directly transfer any services. These setup activities are necessary to facilitate services in the contract.</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</si>
  <si>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</si>
  <si>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</si>
  <si>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</si>
  <si>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Zoho Implementation cost and Licence and support fees of Zoho Desk and Analytics
Doppel implementation fees
RPA Licenses</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</si>
  <si>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</si>
  <si>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</si>
  <si>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</si>
  <si>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Zoho Implementation cost and Licence and support fees of Zoho Desk and Analytics, Doppel implementation fees and  RPA Licenses charges will be deferred and recognised over the contract term/ Servicec term</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</si>
  <si>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</si>
  <si>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</si>
  <si>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</si>
  <si>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</si>
  <si>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</si>
  <si>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</si>
  <si>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XYZ is the principal</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</si>
  <si>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</si>
  <si>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</si>
  <si>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</si>
  <si>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XYZ is primarily responsible for fulfullment of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</si>
  <si>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</si>
  <si>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</si>
  <si>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No inventory risk involved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</si>
  <si>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</si>
  <si>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</si>
  <si>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</si>
  <si>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 xml:space="preserve">XYZ has the discretion to establish the price. </t>
  </si>
  <si>
    <t xml:space="preserve">Principal vs. Agent </t>
  </si>
  <si>
    <t>Principal - Gross</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</si>
  <si>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</si>
  <si>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</si>
  <si>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</si>
  <si>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No such element</t>
  </si>
  <si>
    <t xml:space="preserve">Embedded derivative (third currency contracts) </t>
  </si>
  <si>
    <t>ASC 815-15-15-10 (b)(1)</t>
  </si>
  <si>
    <t>What is the currency of invoicing? Is this currency, the functional currency of either XYZ or of the customer or any substantial party to the contract? If no, evaluate whether the contract contains a foreign currency embedded derivative.</t>
  </si>
  <si>
    <t>USD is the functional currency of North America Inc</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</si>
  <si>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</si>
  <si>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</si>
  <si>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</si>
  <si>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COLA based on Index</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</si>
  <si>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</si>
  <si>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</si>
  <si>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</si>
  <si>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</si>
  <si>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Provisions/ Onerous contracts (where there are any penalty or warranty clauses or any non-cancellable or termination clauses in the contract)</t>
  </si>
  <si>
    <t>Yes / No</t>
  </si>
  <si>
    <t>ASC 606-10-50-22</t>
  </si>
  <si>
    <t>Practical expedients</t>
  </si>
  <si>
    <t>Revenue Recognition</t>
  </si>
  <si>
    <t>One time Transformation Implementation services charges</t>
  </si>
  <si>
    <t xml:space="preserve">“Transformation Implementation Services” refers to the initial phase of installation and setting up of the Technology Solutions for the Customer in order to deploy the Technology Solutions to the Customer. Tools includes AP TRAC R3 + Supplier Portal, Zoho Desk and Zoho Analytics and Doppel Skanner .
The transformation services provided by XYZ to ABC North Companies will be considered as a significant services of integration goods or services into a bundle that represented a combined output for which the customer has contracted i.e. an input to deliver the Core Services which is a single promise under the ABC North Companies contract construct. Here, implementation services are necessary for XYZ to be performed so that it can deliver its contracted service of business process outsourcing. </t>
  </si>
  <si>
    <r>
      <rPr>
        <u/>
        <sz val="9"/>
        <color theme="1"/>
        <rFont val="Calibri"/>
        <family val="2"/>
      </rPr>
      <t>Transformation Implementation services - AP TRAC R3 + Supplier Portal</t>
    </r>
    <r>
      <rPr>
        <sz val="9"/>
        <color theme="1"/>
        <rFont val="Calibri"/>
        <family val="2"/>
      </rPr>
      <t xml:space="preserve">
It is a cloud-based solution that drives automation with multi-source document ingestion, work management, quality checking and integration with different ERP systems, as well as a supplier self-service portal (R3 cloud based will be replaced by Kofax platform which is on premise ). </t>
    </r>
  </si>
  <si>
    <r>
      <rPr>
        <u/>
        <sz val="9"/>
        <color theme="1"/>
        <rFont val="Calibri"/>
        <family val="2"/>
      </rPr>
      <t>Transformation Implementation services - Zoho Desk and Zoho Analytics</t>
    </r>
    <r>
      <rPr>
        <sz val="9"/>
        <color theme="1"/>
        <rFont val="Calibri"/>
        <family val="2"/>
      </rPr>
      <t xml:space="preserve">
Zoho Desk  ia a third-party cloud-based case management tool that allows business teams to streamline and collaborate their work practises by easy and effective tracking of each query/request through its life cycle and Zoho Analytics robust reporting module which is integrated with Zoho Desk and provides a host of complex reports and dashboards.</t>
    </r>
  </si>
  <si>
    <r>
      <rPr>
        <u/>
        <sz val="9"/>
        <color theme="1"/>
        <rFont val="Calibri"/>
        <family val="2"/>
      </rPr>
      <t>Transformation Implementation services - Doppel Skanner</t>
    </r>
    <r>
      <rPr>
        <sz val="9"/>
        <color theme="1"/>
        <rFont val="Calibri"/>
        <family val="2"/>
      </rPr>
      <t xml:space="preserve">
It is a upgraded version which includes dashboarding, workflow and database functionalities to identify duplicate data. The offering is targeted at flushing out potential duplicate invoices/payments, which is then investigated/audited to weed out overpayments. As there is an increase in functionalities on the existing version it is considered as enhancement of the tool and accounted accordingly.</t>
    </r>
  </si>
  <si>
    <t xml:space="preserve">(i) Revenue from one time Transformation Implementation of tools services should be recognized over the term of the contract.	</t>
  </si>
  <si>
    <t>(ii) Transformation cost includes implementation cost of the tools .  The costs if does not fall under other guidances such as PPE/ Intangibles will be assessed for cost to fulfill. Here, the implemenation of tools costs are assessed as cost to fulfill and are hence deferred and amortised over balance initial contract term [after go-live date] and one expected renewal.</t>
  </si>
  <si>
    <t>Transformation recurring charges</t>
  </si>
  <si>
    <t>Recurring charges related to Transformation includes AP TRAC R3 + Supplier Portal, Zoho Desk and Zoho Analytics and Doppel Skanner and RPA. Kofax recurring charges are only for 6 months.</t>
  </si>
  <si>
    <t>Conclusion:</t>
  </si>
  <si>
    <t>Transformation recurring charges includes Support charges and Licenses which will be recognised as revenue over the period on monthly basis over the service term of Support / licenses i.e. when such services are provided to the Customer. Since Kofax charges are only for 6 months it should be recognised over the period on monhtly basis over 6 months.</t>
  </si>
  <si>
    <t>One time Technology charges</t>
  </si>
  <si>
    <t xml:space="preserve">One-time IT services are in the nature of capital expenditure reimbursement such as hardware elements, monitors, laptops, desktops etc. </t>
  </si>
  <si>
    <t xml:space="preserve">(i) Revenue should be recognized over the term of the contract.	</t>
  </si>
  <si>
    <t>(ii) Technology cost includes Desktops, Laptops, Headsets, Monitor 20", Keyboard and Mouse. Cost will be recognized over the life of the asset e.g. PPE as it falls under the guidance of this accounting standard.</t>
  </si>
  <si>
    <t>Annual recurring charges</t>
  </si>
  <si>
    <t xml:space="preserve">These are the IT costs (such as Internet Bandwidth connectivity/ O365 licenses) charges for the system setup. Technology recurring costs to be charged on actuals.									</t>
  </si>
  <si>
    <t xml:space="preserve">Revenue from recurring technology charges would be recognized on monthly basis over the contract period. 									</t>
  </si>
  <si>
    <t xml:space="preserve"> Service charges (FTE based) - General requirement for PTP, OTC, CAPEX &amp; RTR  - General Accounting, Revenue Integration, Accounts Payable, Accounts Receivable,Inquires &amp; Disputes (A/P and A/R) and CAPP invoice processing</t>
  </si>
  <si>
    <t>Revenue from the above services would be recognized over the period of time on the monthly basis based based on number of  billable FTEs  x  rate per FTE per month.</t>
  </si>
  <si>
    <r>
      <rPr>
        <b/>
        <sz val="9"/>
        <color theme="1"/>
        <rFont val="Calibri"/>
        <family val="2"/>
      </rPr>
      <t>Economic Change Adjustment - COLA</t>
    </r>
    <r>
      <rPr>
        <sz val="9"/>
        <color theme="1"/>
        <rFont val="Calibri"/>
        <family val="2"/>
      </rPr>
      <t>: For each ECA Element, the Economic Change Adjustment shall be calculated by multiplying the ECA Percentage (using the applicable country Inflation Percentage for such ECA Element).
The increase in rates from each anniversary will be recovered for increase in cost of resources on account of inflation only.</t>
    </r>
  </si>
  <si>
    <t>Usually, COLA adjustment / price adjustments are applicable from first annivarsary of the contract / subsequent years of the contract period. The increase in rate is usually on account of increase in resource cost. Revenue is recognized on the monthly basis on basis of monthly number of billable FTE’s x Rate including COLA from the year it is applicable. Once the CPI is effective, the company would take the practical expedient of ‘as-invoiced’ to recognize the revenue relating to the price changes. The TRG guidance for ‘as-invoiced’ is given as below:
The TRG agreed the following additional requirements for the as-invoiced practical expedient to apply when the price per unit changes during the contract:
— the reasons for the change in the price per unit have to be substantive – e.g. for a valid business reason, such as declining costs or changes in the relevant price index; and
— the amount of the change also has to approximate the change in value to the customer. The SEC observer at the TRG meeting stated that this conclusion has to be supported – e.g. by the change in a forward pricing curve in the case of electricity, a change in the Consumer Price Index or a change in labor data that is relevant to the entity’s costs of providing the goods or services. [TRG 07-15.40]</t>
  </si>
  <si>
    <r>
      <rPr>
        <b/>
        <sz val="9"/>
        <color theme="1"/>
        <rFont val="Calibri"/>
        <family val="2"/>
      </rPr>
      <t>Overtime</t>
    </r>
    <r>
      <rPr>
        <sz val="9"/>
        <color theme="1"/>
        <rFont val="Calibri"/>
        <family val="2"/>
      </rPr>
      <t>: 1.3 times of the applicable Annual FTE Rate, pro-rated for actual number of hours worked as overtime.</t>
    </r>
  </si>
  <si>
    <r>
      <rPr>
        <b/>
        <i/>
        <u/>
        <sz val="9"/>
        <color theme="4" tint="-0.249977111117893"/>
        <rFont val="Calibri"/>
        <family val="2"/>
      </rPr>
      <t>Note:-</t>
    </r>
    <r>
      <rPr>
        <i/>
        <u/>
        <sz val="9"/>
        <color theme="4" tint="-0.249977111117893"/>
        <rFont val="Calibri"/>
        <family val="2"/>
      </rPr>
      <t xml:space="preserve"> </t>
    </r>
    <r>
      <rPr>
        <i/>
        <sz val="9"/>
        <color theme="4" tint="-0.249977111117893"/>
        <rFont val="Calibri"/>
        <family val="2"/>
      </rPr>
      <t>The Base Charges are subject to conversion to transaction based pricing (a“Base Charges Conversion Event”). The Customer can choose to make this change , anytime beginning after Fiscal Month twenty-four (24) following the transition of the Services to Supplier.</t>
    </r>
  </si>
  <si>
    <t xml:space="preserve">ARC/RRC </t>
  </si>
  <si>
    <t>ARC/RRC will be triggered when the no.of FTEs used by XYZ to perform the services varies by more than 10% of the then current aggregate no of chargeable FTEs for that month which will determine what changes should be made to the no of chargeable FTEs. The parties will determine whether there should be or should not be any changes in the no of chargeable FTEs after determining some factors as stated in clause 2.9 (b) of the contract.</t>
  </si>
  <si>
    <t>The ARC and RRC would be applicable once the parties decides on the no of chargeable FTEs i.e. the increased FTEs and decreased FTEs respectively. The ARC and RRC FTEs would be charged at the same rate as baseline FTEs in the month in which the determination is made i.e. prospectively.</t>
  </si>
  <si>
    <t>Repricing event</t>
  </si>
  <si>
    <t>Repricing event is triggered when the chargeable no of FTEs vary/ expected to vary from resource baseline volume by 20% or more for 3 consecutive months. XYZ's actual increase / decrease of resources will be adjusted equitably in the no of chargeable FTEs.</t>
  </si>
  <si>
    <t xml:space="preserve">In the event of any repricing agreed between the parties, revenue will be recognised as per revised no of billable FTEs hours * rate per FTEs production hours. </t>
  </si>
  <si>
    <t>Account Management Charges</t>
  </si>
  <si>
    <t xml:space="preserve">Account Management charges relates to BAU phase for senior operations roles and shall be recognized on monthly basis as per charges given in the contract.
</t>
  </si>
  <si>
    <t>New Projects</t>
  </si>
  <si>
    <t>Client will provide projects which will be done by XYZ. A separate rate card is proposed in the contract. Supplier shall provide the framework for Projects within three (3) months from the Commencement Date that will be mutually agreed to by the Parties.</t>
  </si>
  <si>
    <t>Whenever new project is agreed please contact USGAAP team for further guidance on accounting.</t>
  </si>
  <si>
    <t>Gain Share</t>
  </si>
  <si>
    <t xml:space="preserve">Gain share is an amount that XYZ is entitled to for doing any process improvements for customer over and above what is committed. Gain share should be estimated and recognised when negotiations / discussions with customer are at an advanced staged. </t>
  </si>
  <si>
    <t>Gain Share is in the nature of efficiency gains which are being passed on to client over the period of the contract. Gain share [XYZ share] will be accounted as  revenue. The gain share revenues would be estimated using an appropriate method i.e. most likely method and should be accrued on a monthly basis after applying the contrainst to it if any.</t>
  </si>
  <si>
    <t>In the given case, efficiency gains will be shared in the ratio of 50:50 after reimbursing the party/ies any cost incurred by it or any investments made by it for the benefits to be achieved.</t>
  </si>
  <si>
    <t>Service Level Credit  / Penalty</t>
  </si>
  <si>
    <t>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t>
  </si>
  <si>
    <t>Service credits is applicable only for 6 key metrics identified in the contrac. The measurement period for Key metrics for Year 1 is 9 months and from subsequent years it is 12 months.If specifict key metrics is not met for 3 month during the measurement period.
In this case service levels for key metrics are measured on yearly basis. Since the measurement period is more than a month, estimation of service level credits is done using expected value method. The expected service credits will be accounted as reduction to revenue on monthly basis in case of service level defaults.</t>
  </si>
  <si>
    <t>Penalty is applicable only for specific LOBs where SLA is missed and not on overall revenue.Penalty on specific LOBs SLA  will be recorded as reduction to revenue on monthly basis based on service level default. Since the measurement period is monthly and quarterly for some SLA's, estimation of service credits at the inception can be foregone  for monthly SLA's as the estimated amount per month and actuals will almost be the same and for quaterly measurement period it should be estimated using expected value method after applying the constraints to the amount,if any.</t>
  </si>
  <si>
    <t>CRT team should ensure that the monthly calculation which may take few days should not significantly vary from the service credit provided at the month end.</t>
  </si>
  <si>
    <t>Clawback of SLA [Earnback]</t>
  </si>
  <si>
    <t>As mentioned in the SOW, XYZ shall have the opportunity to earn back Service Level Credits</t>
  </si>
  <si>
    <t>Earnback is a variable consideration under ASC 606 which needs to be estimated over the period using the Most likely method, the amount is included in the transaction price after considering any constraint to the amount, if any.</t>
  </si>
  <si>
    <t>Earn-back should be estimated using most likely method as there would be only two possible  outcomes i.e. whether we service levels will be met or not met.  Earnback should be accounted as revenue.
However, In the absence of specified conditions and measurement parameters for earnback in the contract, we have currently defined only the accounting aspects.</t>
  </si>
  <si>
    <t>Pass Through Cost</t>
  </si>
  <si>
    <t xml:space="preserve">The out of pocket costs (e.g. travel) and the reimbursements therefore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
</t>
  </si>
  <si>
    <t>In the given case, Pass through cost is incurred for General Accounting, Revenue Integration, Accounts Payable, Accounts Receivable,Inquires &amp; Disputes (A/P and A/R) and CAPP invoice processing services and Doppel Skanner Tool.</t>
  </si>
  <si>
    <t xml:space="preserve">Pass through charges would be recognized as revenue as and when they are incurred. </t>
  </si>
  <si>
    <t xml:space="preserve">The termination fee would be recognized as revenue only when there are no further obligations on XYZ part with reference to provisioning of the services. Termination penalty will be recorded as revenue when the amount is received from customer.
</t>
  </si>
  <si>
    <t>ABC North Companies may, by giving at least 120 calendar days notice to the Supplier, terminate this Agreement or a Statement of Work in whole or in part for convenience, effective on the date specified in the notice. The customer will pay termination fees (wind down cost) as stated in the contract to XYZ. Since the termination fees and notice period of 120 days period is substantial in nature, this will discourage customer from termination and hence, we have considered 60 months as the term of the contract.</t>
  </si>
  <si>
    <t>Step1 :</t>
  </si>
  <si>
    <t>Final Conclusion</t>
  </si>
  <si>
    <t>Step 2 :</t>
  </si>
  <si>
    <t>Step 3 :</t>
  </si>
  <si>
    <t>Step 4 :</t>
  </si>
  <si>
    <t>Step 5 :</t>
  </si>
  <si>
    <t>Task Name</t>
  </si>
  <si>
    <t>Assigned to</t>
  </si>
  <si>
    <t>Assigned to -2</t>
  </si>
  <si>
    <t>Assigned to -3</t>
  </si>
  <si>
    <t>Assigned to -4</t>
  </si>
  <si>
    <t>Start Date</t>
  </si>
  <si>
    <t>End Date</t>
  </si>
  <si>
    <t>Status</t>
  </si>
  <si>
    <t>Completion%</t>
  </si>
  <si>
    <t>Task Status</t>
  </si>
  <si>
    <t>Task 1</t>
  </si>
  <si>
    <t>EMP-7</t>
  </si>
  <si>
    <t>Completed</t>
  </si>
  <si>
    <t>Task 2</t>
  </si>
  <si>
    <t>Task 3</t>
  </si>
  <si>
    <t>EMP-20</t>
  </si>
  <si>
    <t>Task 4</t>
  </si>
  <si>
    <t>EMP-19</t>
  </si>
  <si>
    <t>In Progress</t>
  </si>
  <si>
    <t>Task 5</t>
  </si>
  <si>
    <t>Task 6</t>
  </si>
  <si>
    <t>EMP-9</t>
  </si>
  <si>
    <t>Task 7</t>
  </si>
  <si>
    <t>EMP-3</t>
  </si>
  <si>
    <t>Task 8</t>
  </si>
  <si>
    <t>EMP-2</t>
  </si>
  <si>
    <t>Task 9</t>
  </si>
  <si>
    <t>EMP-10</t>
  </si>
  <si>
    <t>Task 10</t>
  </si>
  <si>
    <t>EMP-13</t>
  </si>
  <si>
    <t>Task 11</t>
  </si>
  <si>
    <t>Task 12</t>
  </si>
  <si>
    <t>EMP-1</t>
  </si>
  <si>
    <t>Task 13</t>
  </si>
  <si>
    <t>EMP-15</t>
  </si>
  <si>
    <t>Task 14</t>
  </si>
  <si>
    <t>Task 15</t>
  </si>
  <si>
    <t>EMP-17</t>
  </si>
  <si>
    <t>Task 16</t>
  </si>
  <si>
    <t>EMP-6</t>
  </si>
  <si>
    <t>Task 17</t>
  </si>
  <si>
    <t>Task 18</t>
  </si>
  <si>
    <t>EMP-18</t>
  </si>
  <si>
    <t>Task 19</t>
  </si>
  <si>
    <t>Task 20</t>
  </si>
  <si>
    <t>Task 21</t>
  </si>
  <si>
    <t>Task 22</t>
  </si>
  <si>
    <t>EMP-11</t>
  </si>
  <si>
    <t>Pending</t>
  </si>
  <si>
    <t>Task 23</t>
  </si>
  <si>
    <t>EMP-14</t>
  </si>
  <si>
    <t>Task 24</t>
  </si>
  <si>
    <t>EMP-8</t>
  </si>
  <si>
    <t>Task 25</t>
  </si>
  <si>
    <t>EMP-12</t>
  </si>
  <si>
    <t>Task 26</t>
  </si>
  <si>
    <t>Task 27</t>
  </si>
  <si>
    <t>EMP-4</t>
  </si>
  <si>
    <t>Task 28</t>
  </si>
  <si>
    <t>Task 29</t>
  </si>
  <si>
    <t>EMP-16</t>
  </si>
  <si>
    <t>Task 30</t>
  </si>
  <si>
    <t>Task 31</t>
  </si>
  <si>
    <t>Task 32</t>
  </si>
  <si>
    <t>Task 33</t>
  </si>
  <si>
    <t>Task 34</t>
  </si>
  <si>
    <t>Task 35</t>
  </si>
  <si>
    <t>EMP-5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</si>
  <si>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</si>
  <si>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</si>
  <si>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</si>
  <si>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</si>
  <si>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</si>
  <si>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</si>
  <si>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</si>
  <si>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</si>
  <si>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</si>
  <si>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</si>
  <si>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</si>
  <si>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</si>
  <si>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</si>
  <si>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</si>
  <si>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</si>
  <si>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</si>
  <si>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</si>
  <si>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</si>
  <si>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</si>
  <si>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</si>
  <si>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</si>
  <si>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</si>
  <si>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</si>
  <si>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</si>
  <si>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</si>
  <si>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</si>
  <si>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</si>
  <si>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</si>
  <si>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</si>
  <si>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</si>
  <si>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</si>
  <si>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</si>
  <si>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</si>
  <si>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</si>
  <si>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</si>
  <si>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</si>
  <si>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</si>
  <si>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Day</t>
  </si>
  <si>
    <t>Holiday</t>
  </si>
  <si>
    <t>Date</t>
  </si>
  <si>
    <t>Resource</t>
  </si>
  <si>
    <t>Sun</t>
  </si>
  <si>
    <t>Y</t>
  </si>
  <si>
    <t>Diwali</t>
  </si>
  <si>
    <t>Mon</t>
  </si>
  <si>
    <t>N</t>
  </si>
  <si>
    <t>Christmas</t>
  </si>
  <si>
    <t>Tue</t>
  </si>
  <si>
    <t>Wed</t>
  </si>
  <si>
    <t>Thu</t>
  </si>
  <si>
    <t>Fri</t>
  </si>
  <si>
    <t>Sat</t>
  </si>
  <si>
    <t>Time Line Chart</t>
  </si>
  <si>
    <t>Risk and issue</t>
  </si>
  <si>
    <t>Task</t>
  </si>
  <si>
    <t>Total</t>
  </si>
  <si>
    <t>High</t>
  </si>
  <si>
    <t>Medium</t>
  </si>
  <si>
    <t>Low</t>
  </si>
  <si>
    <t>Project Status</t>
  </si>
  <si>
    <t>Task not started even after plan start date</t>
  </si>
  <si>
    <t>In Progress even after end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</si>
</sst>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42"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sz val="9"/>
      <color theme="1"/>
      <name val="Calibri"/>
      <family val="2"/>
      <scheme val="minor"/>
    </font>
    <font>
      <b/>
      <sz val="9"/>
      <color theme="1"/>
      <name val="Calibri"/>
      <family val="2"/>
    </font>
    <font>
      <sz val="9"/>
      <color theme="1"/>
      <name val="Calibri"/>
      <family val="2"/>
    </font>
    <font>
      <b/>
      <sz val="9"/>
      <color theme="1"/>
      <name val="Calibri"/>
      <family val="2"/>
      <scheme val="minor"/>
    </font>
    <font>
      <sz val="9"/>
      <color theme="5" tint="-0.249977111117893"/>
      <name val="Calibri"/>
      <family val="2"/>
    </font>
    <font>
      <u/>
      <sz val="9"/>
      <color theme="1"/>
      <name val="Calibri"/>
      <family val="2"/>
    </font>
    <font>
      <sz val="9"/>
      <name val="Calibri"/>
      <family val="2"/>
    </font>
    <font>
      <i/>
      <sz val="9"/>
      <color theme="4" tint="-0.249977111117893"/>
      <name val="Calibri"/>
      <family val="2"/>
    </font>
    <font>
      <b/>
      <i/>
      <u/>
      <sz val="9"/>
      <color theme="4" tint="-0.249977111117893"/>
      <name val="Calibri"/>
      <family val="2"/>
    </font>
    <font>
      <i/>
      <u/>
      <sz val="9"/>
      <color theme="4" tint="-0.249977111117893"/>
      <name val="Calibri"/>
      <family val="2"/>
    </font>
    <font>
      <sz val="9"/>
      <color rgb="FF000000"/>
      <name val="Calibri"/>
      <family val="2"/>
    </font>
  </fonts>
  <fills count="11">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
      <patternFill patternType="solid">
        <fgColor theme="6" tint="0.39997558519241921"/>
        <bgColor indexed="64"/>
      </patternFill>
    </fill>
  </fills>
  <borders count="62">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right/>
      <top/>
      <bottom style="medium">
        <color rgb="FFFF9933"/>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s>
  <cellStyleXfs count="2">
    <xf numFmtId="0" fontId="0" fillId="0" borderId="0"/>
    <xf numFmtId="0" fontId="30" fillId="0" borderId="0" applyNumberFormat="0" applyFill="0" applyBorder="0" applyAlignment="0" applyProtection="0"/>
  </cellStyleXfs>
  <cellXfs count="355">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0" fontId="16" fillId="6" borderId="0" xfId="0" applyFont="1" applyFill="1" applyAlignment="1" applyProtection="1">
      <alignment wrapText="1"/>
      <protection locked="0"/>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3" xfId="0" applyFont="1" applyFill="1" applyBorder="1" applyAlignment="1" applyProtection="1">
      <alignment vertical="center"/>
      <protection locked="0"/>
    </xf>
    <xf numFmtId="0" fontId="3" fillId="0" borderId="53"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4" xfId="0" applyFill="1" applyBorder="1" applyAlignment="1" applyProtection="1">
      <alignment vertical="center"/>
      <protection locked="0"/>
    </xf>
    <xf numFmtId="0" fontId="3" fillId="5" borderId="54"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3" xfId="0" applyFont="1" applyBorder="1" applyAlignment="1" applyProtection="1">
      <alignment horizontal="left" vertical="top" wrapText="1"/>
      <protection locked="0"/>
    </xf>
    <xf numFmtId="0" fontId="10" fillId="0" borderId="53"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2"/>
      <protection locked="0"/>
    </xf>
    <xf numFmtId="0" fontId="4" fillId="6" borderId="52" xfId="0" quotePrefix="1" applyFont="1" applyFill="1" applyBorder="1" applyAlignment="1" applyProtection="1">
      <alignment horizontal="justify" vertical="center"/>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25" fillId="6" borderId="5"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3" xfId="0" applyFont="1" applyFill="1" applyBorder="1" applyAlignment="1" applyProtection="1">
      <alignment horizontal="left" vertical="center"/>
      <protection locked="0"/>
    </xf>
    <xf numFmtId="166" fontId="6" fillId="6" borderId="6" xfId="0"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60" xfId="0" applyFont="1" applyBorder="1" applyAlignment="1" applyProtection="1">
      <alignmen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164" fontId="0" fillId="6" borderId="0" xfId="0" applyNumberFormat="1" applyFill="1" applyAlignment="1" applyProtection="1">
      <alignment horizontal="left" vertical="top"/>
      <protection locked="0"/>
    </xf>
    <xf numFmtId="164" fontId="8" fillId="6" borderId="0" xfId="0" applyNumberFormat="1" applyFont="1" applyFill="1" applyAlignment="1" applyProtection="1">
      <alignment horizontal="left" vertical="top"/>
      <protection locked="0"/>
    </xf>
    <xf numFmtId="0" fontId="5" fillId="0" borderId="5" xfId="0" applyFont="1" applyBorder="1" applyAlignment="1">
      <alignment horizontal="left" vertical="top" wrapText="1"/>
    </xf>
    <xf numFmtId="0" fontId="4" fillId="0" borderId="19" xfId="0" applyFont="1" applyBorder="1" applyAlignment="1">
      <alignment horizontal="left" vertical="top" wrapText="1"/>
    </xf>
    <xf numFmtId="0" fontId="0" fillId="0" borderId="0" xfId="0" applyAlignment="1">
      <alignment horizontal="left" vertical="top"/>
    </xf>
    <xf numFmtId="0" fontId="5" fillId="0" borderId="51" xfId="0" applyFont="1" applyBorder="1" applyAlignment="1">
      <alignment horizontal="left" vertical="top" wrapText="1"/>
    </xf>
    <xf numFmtId="166" fontId="6" fillId="6" borderId="4" xfId="0" quotePrefix="1"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vertical="top" wrapText="1"/>
      <protection locked="0"/>
    </xf>
    <xf numFmtId="0" fontId="31" fillId="6" borderId="0" xfId="0" applyFont="1" applyFill="1" applyAlignment="1" applyProtection="1">
      <alignment vertical="top"/>
      <protection locked="0"/>
    </xf>
    <xf numFmtId="0" fontId="31" fillId="6" borderId="0" xfId="0" applyFont="1" applyFill="1" applyAlignment="1" applyProtection="1">
      <alignment wrapText="1"/>
      <protection locked="0"/>
    </xf>
    <xf numFmtId="0" fontId="31" fillId="0" borderId="0" xfId="0" applyFont="1" applyAlignment="1" applyProtection="1">
      <alignment wrapText="1"/>
      <protection locked="0"/>
    </xf>
    <xf numFmtId="0" fontId="32" fillId="0" borderId="0" xfId="0" applyFont="1" applyAlignment="1">
      <alignment horizontal="left" vertical="top" wrapText="1"/>
    </xf>
    <xf numFmtId="0" fontId="33" fillId="0" borderId="0" xfId="0" applyFont="1" applyAlignment="1">
      <alignment horizontal="left" vertical="top" wrapText="1"/>
    </xf>
    <xf numFmtId="0" fontId="34" fillId="0" borderId="0" xfId="0" applyFont="1" applyAlignment="1" applyProtection="1">
      <alignment wrapText="1"/>
      <protection locked="0"/>
    </xf>
    <xf numFmtId="0" fontId="31" fillId="0" borderId="0" xfId="0" applyFont="1" applyAlignment="1" applyProtection="1">
      <alignment vertical="top" wrapText="1"/>
      <protection locked="0"/>
    </xf>
    <xf numFmtId="0" fontId="31" fillId="0" borderId="0" xfId="0" applyFont="1" applyAlignment="1" applyProtection="1">
      <alignment horizontal="left" vertical="top" wrapText="1"/>
      <protection locked="0"/>
    </xf>
    <xf numFmtId="0" fontId="35" fillId="0" borderId="0" xfId="0" applyFont="1" applyAlignment="1">
      <alignment horizontal="left" vertical="top" wrapText="1"/>
    </xf>
    <xf numFmtId="0" fontId="41" fillId="0" borderId="53" xfId="0" applyFont="1" applyBorder="1" applyAlignment="1" applyProtection="1">
      <alignment horizontal="left" vertical="top" wrapText="1"/>
      <protection locked="0"/>
    </xf>
    <xf numFmtId="0" fontId="28" fillId="0" borderId="0" xfId="0" applyFont="1" applyAlignment="1">
      <alignment vertical="center"/>
    </xf>
    <xf numFmtId="0" fontId="3" fillId="5" borderId="55" xfId="0" applyFont="1" applyFill="1" applyBorder="1" applyAlignment="1" applyProtection="1">
      <alignment horizontal="left" vertical="center" wrapText="1"/>
      <protection locked="0"/>
    </xf>
    <xf numFmtId="0" fontId="3" fillId="5" borderId="56"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center" vertical="center"/>
      <protection locked="0"/>
    </xf>
    <xf numFmtId="0" fontId="3" fillId="5" borderId="56" xfId="0" applyFont="1" applyFill="1" applyBorder="1" applyAlignment="1" applyProtection="1">
      <alignment horizontal="center" vertical="center"/>
      <protection locked="0"/>
    </xf>
    <xf numFmtId="0" fontId="5" fillId="6" borderId="0" xfId="0" quotePrefix="1" applyFont="1" applyFill="1" applyAlignment="1" applyProtection="1">
      <alignment horizontal="left" vertical="center"/>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9" xfId="0" applyFont="1" applyFill="1" applyBorder="1" applyAlignment="1" applyProtection="1">
      <alignment horizontal="left" vertical="center" wrapText="1"/>
      <protection locked="0"/>
    </xf>
    <xf numFmtId="0" fontId="6" fillId="6" borderId="5" xfId="0" applyFont="1" applyFill="1" applyBorder="1" applyAlignment="1" applyProtection="1">
      <alignment horizontal="left" vertical="center"/>
      <protection locked="0"/>
    </xf>
    <xf numFmtId="0" fontId="6" fillId="6" borderId="9" xfId="0" applyFont="1" applyFill="1" applyBorder="1" applyAlignment="1" applyProtection="1">
      <alignment horizontal="left" vertical="center"/>
      <protection locked="0"/>
    </xf>
    <xf numFmtId="0" fontId="6" fillId="6" borderId="14" xfId="0" applyFont="1" applyFill="1" applyBorder="1" applyAlignment="1" applyProtection="1">
      <alignment horizontal="left" vertical="center"/>
      <protection locked="0"/>
    </xf>
    <xf numFmtId="0" fontId="6" fillId="6" borderId="15" xfId="0" applyFont="1" applyFill="1" applyBorder="1" applyAlignment="1" applyProtection="1">
      <alignment horizontal="left" vertical="center"/>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left" vertical="center" wrapText="1"/>
    </xf>
    <xf numFmtId="0" fontId="11" fillId="6" borderId="0" xfId="0" applyFont="1" applyFill="1"/>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0" fillId="0" borderId="9" xfId="0" applyFont="1" applyBorder="1" applyAlignment="1" applyProtection="1">
      <alignment vertical="center" wrapText="1"/>
      <protection locked="0"/>
    </xf>
    <xf numFmtId="0" fontId="10" fillId="0" borderId="16"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14" fillId="7" borderId="9" xfId="0" applyFont="1" applyFill="1" applyBorder="1" applyAlignment="1" applyProtection="1">
      <alignment horizontal="left" vertical="center"/>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8" xfId="0" applyFont="1" applyFill="1" applyBorder="1" applyAlignment="1">
      <alignment horizontal="left" vertical="center"/>
    </xf>
    <xf numFmtId="0" fontId="14" fillId="7" borderId="54" xfId="0" applyFont="1" applyFill="1" applyBorder="1" applyAlignment="1">
      <alignment horizontal="left" vertical="center"/>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0" fillId="0" borderId="26" xfId="0" applyFont="1" applyBorder="1" applyAlignment="1" applyProtection="1">
      <alignment horizontal="left" vertical="top" wrapText="1"/>
      <protection locked="0"/>
    </xf>
    <xf numFmtId="0" fontId="10" fillId="0" borderId="27" xfId="0" applyFont="1" applyBorder="1" applyAlignment="1" applyProtection="1">
      <alignment horizontal="left" vertical="top" wrapText="1"/>
      <protection locked="0"/>
    </xf>
    <xf numFmtId="0" fontId="10" fillId="0" borderId="28" xfId="0" applyFont="1" applyBorder="1" applyAlignment="1" applyProtection="1">
      <alignment horizontal="left" vertical="top" wrapText="1"/>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top" wrapText="1"/>
    </xf>
    <xf numFmtId="0" fontId="4" fillId="0" borderId="50" xfId="0" applyFont="1" applyBorder="1" applyAlignment="1">
      <alignment horizontal="left" vertical="top"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4" fillId="0" borderId="59" xfId="0" applyFont="1" applyBorder="1" applyAlignment="1" applyProtection="1">
      <alignment horizontal="left" vertical="center" wrapText="1"/>
      <protection locked="0"/>
    </xf>
    <xf numFmtId="0" fontId="4" fillId="0" borderId="60" xfId="0" applyFont="1" applyBorder="1" applyAlignment="1" applyProtection="1">
      <alignment horizontal="left"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10" fillId="0" borderId="59" xfId="0" applyFont="1" applyBorder="1" applyAlignment="1" applyProtection="1">
      <alignment horizontal="left" vertical="center" wrapText="1"/>
      <protection locked="0"/>
    </xf>
    <xf numFmtId="0" fontId="10" fillId="0" borderId="60" xfId="0" applyFont="1" applyBorder="1" applyAlignment="1" applyProtection="1">
      <alignment horizontal="left" vertical="center"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10" xfId="0" applyFont="1" applyBorder="1" applyAlignment="1">
      <alignment horizontal="justify" vertical="center" wrapText="1"/>
    </xf>
    <xf numFmtId="0" fontId="10" fillId="0" borderId="61" xfId="0" applyFont="1" applyBorder="1" applyAlignment="1" applyProtection="1">
      <alignment horizontal="left" vertical="center" wrapText="1"/>
      <protection locked="0"/>
    </xf>
    <xf numFmtId="0" fontId="33" fillId="0" borderId="0" xfId="0" applyFont="1" applyAlignment="1">
      <alignment horizontal="left" vertical="top"/>
    </xf>
    <xf numFmtId="0" fontId="33" fillId="0" borderId="0" xfId="0" applyFont="1" applyAlignment="1">
      <alignment horizontal="left" vertical="top" wrapText="1"/>
    </xf>
    <xf numFmtId="0" fontId="12" fillId="10" borderId="0" xfId="0" applyFont="1" applyFill="1" applyAlignment="1" applyProtection="1">
      <alignment horizontal="left" vertical="top" wrapText="1"/>
      <protection locked="0"/>
    </xf>
    <xf numFmtId="0" fontId="32" fillId="0" borderId="0" xfId="0" applyFont="1" applyAlignment="1">
      <alignment horizontal="left" vertical="top" wrapText="1"/>
    </xf>
    <xf numFmtId="0" fontId="38" fillId="0" borderId="0" xfId="0" applyFont="1" applyAlignment="1">
      <alignment horizontal="left" vertical="top" wrapText="1"/>
    </xf>
    <xf numFmtId="0" fontId="35" fillId="0" borderId="0" xfId="0" applyFont="1" applyAlignment="1">
      <alignment horizontal="left" vertical="top" wrapText="1"/>
    </xf>
    <xf numFmtId="0" fontId="37" fillId="0" borderId="0" xfId="0" applyFont="1" applyAlignment="1">
      <alignment horizontal="left" vertical="top" wrapText="1"/>
    </xf>
    <xf numFmtId="0" fontId="31" fillId="0" borderId="0" xfId="0" applyFont="1" applyAlignment="1" applyProtection="1">
      <alignment horizontal="left" vertical="top" wrapText="1"/>
      <protection locked="0"/>
    </xf>
    <xf numFmtId="0" fontId="34" fillId="0" borderId="0" xfId="0" applyFont="1" applyAlignment="1" applyProtection="1">
      <alignment horizontal="left" wrapText="1"/>
      <protection locked="0"/>
    </xf>
    <xf numFmtId="0" fontId="34" fillId="6" borderId="0" xfId="0" applyFont="1" applyFill="1" applyAlignment="1" applyProtection="1">
      <alignment horizontal="left"/>
      <protection locked="0"/>
    </xf>
    <xf numFmtId="0" fontId="31" fillId="6" borderId="0" xfId="0" applyFont="1" applyFill="1" applyAlignment="1" applyProtection="1">
      <alignment horizontal="left" vertical="top" wrapText="1"/>
      <protection locked="0"/>
    </xf>
    <xf numFmtId="0" fontId="31" fillId="6" borderId="0" xfId="0" applyFont="1" applyFill="1" applyAlignment="1" applyProtection="1">
      <alignment horizontal="left" vertical="top"/>
      <protection locked="0"/>
    </xf>
    <xf numFmtId="0" fontId="32" fillId="0" borderId="0" xfId="0" applyFont="1" applyAlignment="1">
      <alignment horizontal="left" vertical="center" wrapText="1"/>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18">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9933"/>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10</xdr:row>
      <xdr:rowOff>209550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3803" cy="2273300"/>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67</xdr:row>
      <xdr:rowOff>0</xdr:rowOff>
    </xdr:from>
    <xdr:to>
      <xdr:col>4</xdr:col>
      <xdr:colOff>1730375</xdr:colOff>
      <xdr:row>70</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3</xdr:col>
      <xdr:colOff>247650</xdr:colOff>
      <xdr:row>5</xdr:row>
      <xdr:rowOff>47625</xdr:rowOff>
    </xdr:from>
    <xdr:to>
      <xdr:col>4</xdr:col>
      <xdr:colOff>1276350</xdr:colOff>
      <xdr:row>5</xdr:row>
      <xdr:rowOff>209550</xdr:rowOff>
    </xdr:to>
    <xdr:sp macro="" textlink="">
      <xdr:nvSpPr>
        <xdr:cNvPr id="4" name="Rectangle 3">
          <a:extLst>
            <a:ext uri="{FF2B5EF4-FFF2-40B4-BE49-F238E27FC236}">
              <a16:creationId xmlns:a16="http://schemas.microsoft.com/office/drawing/2014/main" id="{63C4E118-44CC-BF4B-94E3-F02E673A4911}"/>
            </a:ext>
            <a:ext uri="{147F2762-F138-4A5C-976F-8EAC2B608ADB}">
              <a16:predDERef xmlns:a16="http://schemas.microsoft.com/office/drawing/2014/main" pred="{CE37C5D2-E50C-424B-996C-8E459067DC1F}"/>
            </a:ext>
          </a:extLst>
        </xdr:cNvPr>
        <xdr:cNvSpPr/>
      </xdr:nvSpPr>
      <xdr:spPr>
        <a:xfrm>
          <a:off x="4714875" y="704850"/>
          <a:ext cx="3552825" cy="161925"/>
        </a:xfrm>
        <a:prstGeom prst="rect">
          <a:avLst/>
        </a:prstGeom>
        <a:solidFill>
          <a:schemeClr val="tx1"/>
        </a:solidFill>
        <a:ln>
          <a:solidFill>
            <a:schemeClr val="tx1">
              <a:lumMod val="85000"/>
              <a:lumOff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3</xdr:col>
      <xdr:colOff>304800</xdr:colOff>
      <xdr:row>6</xdr:row>
      <xdr:rowOff>38100</xdr:rowOff>
    </xdr:from>
    <xdr:to>
      <xdr:col>4</xdr:col>
      <xdr:colOff>123825</xdr:colOff>
      <xdr:row>6</xdr:row>
      <xdr:rowOff>219075</xdr:rowOff>
    </xdr:to>
    <xdr:sp macro="" textlink="">
      <xdr:nvSpPr>
        <xdr:cNvPr id="6" name="Rectangle 5">
          <a:extLst>
            <a:ext uri="{FF2B5EF4-FFF2-40B4-BE49-F238E27FC236}">
              <a16:creationId xmlns:a16="http://schemas.microsoft.com/office/drawing/2014/main" id="{F0171033-4A29-BC2B-DA16-090802222531}"/>
            </a:ext>
            <a:ext uri="{147F2762-F138-4A5C-976F-8EAC2B608ADB}">
              <a16:predDERef xmlns:a16="http://schemas.microsoft.com/office/drawing/2014/main" pred="{63C4E118-44CC-BF4B-94E3-F02E673A4911}"/>
            </a:ext>
          </a:extLst>
        </xdr:cNvPr>
        <xdr:cNvSpPr/>
      </xdr:nvSpPr>
      <xdr:spPr>
        <a:xfrm>
          <a:off x="4772025" y="1076325"/>
          <a:ext cx="2343150" cy="180975"/>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20</xdr:row>
      <xdr:rowOff>286871</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21</xdr:row>
      <xdr:rowOff>203199</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05380" cy="5541681"/>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11730" cy="5541681"/>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17</xdr:row>
      <xdr:rowOff>413870</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898893" cy="5469066"/>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46</xdr:row>
      <xdr:rowOff>81643</xdr:rowOff>
    </xdr:from>
    <xdr:to>
      <xdr:col>7</xdr:col>
      <xdr:colOff>562429</xdr:colOff>
      <xdr:row>49</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9</xdr:row>
      <xdr:rowOff>1352549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persons/person.xml><?xml version="1.0" encoding="utf-8"?>
<personList xmlns="http://schemas.microsoft.com/office/spreadsheetml/2018/threadedcomments" xmlns:x="http://schemas.openxmlformats.org/spreadsheetml/2006/main">
  <person displayName="Mahesh Pawar" id="{09F2006B-478C-41DB-98C5-48E1B8DF80C9}" userId="S::u346269@wns.com::0daef035-34e9-4adf-9c25-4c855582546b"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2" dT="2024-05-03T08:19:08.67" personId="{09F2006B-478C-41DB-98C5-48E1B8DF80C9}" id="{8B4D15D8-17F7-4F67-98A7-25D2F1916111}">
    <text>Please copy paste the below row while inserting the new row</text>
  </threadedComment>
</ThreadedComment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I13" sqref="I13"/>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0</v>
      </c>
      <c r="C1" s="12"/>
      <c r="D1" s="12" t="s">
        <v>1</v>
      </c>
      <c r="F1" s="12" t="s">
        <v>2</v>
      </c>
      <c r="H1" t="s">
        <v>3</v>
      </c>
      <c r="J1" s="12" t="s">
        <v>4</v>
      </c>
      <c r="K1" s="78" t="s">
        <v>5</v>
      </c>
      <c r="L1" s="77"/>
    </row>
    <row r="2" spans="1:12" x14ac:dyDescent="0.35">
      <c r="A2" t="s">
        <v>6</v>
      </c>
      <c r="B2" t="s">
        <v>7</v>
      </c>
      <c r="D2" t="s">
        <v>8</v>
      </c>
      <c r="F2" t="s">
        <v>9</v>
      </c>
      <c r="H2" t="s">
        <v>10</v>
      </c>
      <c r="J2" t="s">
        <v>11</v>
      </c>
      <c r="K2" s="154" t="s">
        <v>12</v>
      </c>
      <c r="L2" s="154"/>
    </row>
    <row r="3" spans="1:12" x14ac:dyDescent="0.35">
      <c r="A3" t="s">
        <v>13</v>
      </c>
      <c r="B3" t="s">
        <v>14</v>
      </c>
      <c r="D3" t="s">
        <v>15</v>
      </c>
      <c r="F3" t="s">
        <v>16</v>
      </c>
      <c r="H3" t="s">
        <v>17</v>
      </c>
      <c r="J3" t="s">
        <v>18</v>
      </c>
      <c r="K3" s="76" t="s">
        <v>19</v>
      </c>
      <c r="L3" s="77"/>
    </row>
    <row r="4" spans="1:12" x14ac:dyDescent="0.35">
      <c r="A4" t="s">
        <v>20</v>
      </c>
      <c r="B4" t="s">
        <v>21</v>
      </c>
      <c r="F4" t="s">
        <v>21</v>
      </c>
      <c r="J4" t="s">
        <v>22</v>
      </c>
      <c r="K4" s="76" t="s">
        <v>23</v>
      </c>
      <c r="L4" s="77"/>
    </row>
    <row r="5" spans="1:12" x14ac:dyDescent="0.35">
      <c r="K5" t="s">
        <v>24</v>
      </c>
    </row>
  </sheetData>
  <mergeCells count="1">
    <mergeCell ref="K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E12" sqref="E12"/>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2</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45" t="s">
        <v>25</v>
      </c>
      <c r="E10" s="46"/>
      <c r="F10" s="46" t="s">
        <v>26</v>
      </c>
      <c r="G10" s="13"/>
      <c r="H10" s="13"/>
      <c r="I10" s="13"/>
      <c r="J10" s="13"/>
      <c r="K10" s="13"/>
      <c r="L10" s="13"/>
      <c r="M10" s="13"/>
      <c r="N10" s="13"/>
      <c r="O10" s="13"/>
      <c r="P10" s="13"/>
      <c r="Q10" s="13"/>
      <c r="R10" s="13"/>
    </row>
    <row r="11" spans="3:18" ht="27" customHeight="1" x14ac:dyDescent="0.35">
      <c r="C11" s="13"/>
      <c r="D11" s="45" t="s">
        <v>27</v>
      </c>
      <c r="E11" s="90">
        <v>45559</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55" t="s">
        <v>28</v>
      </c>
      <c r="E13" s="92" t="s">
        <v>29</v>
      </c>
      <c r="F13" s="13"/>
      <c r="G13" s="13"/>
      <c r="H13" s="13"/>
      <c r="I13" s="13"/>
      <c r="J13" s="13"/>
      <c r="K13" s="13"/>
      <c r="L13" s="13"/>
      <c r="M13" s="13"/>
      <c r="N13" s="13"/>
      <c r="O13" s="13"/>
      <c r="P13" s="13"/>
      <c r="Q13" s="13"/>
    </row>
    <row r="14" spans="3:18" ht="20.149999999999999" customHeight="1" x14ac:dyDescent="0.35">
      <c r="C14" s="13"/>
      <c r="D14" s="156"/>
      <c r="E14" s="91"/>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55" t="s">
        <v>30</v>
      </c>
      <c r="E17" s="157"/>
      <c r="F17" s="13"/>
      <c r="G17" s="13"/>
      <c r="H17" s="13"/>
      <c r="I17" s="13"/>
      <c r="J17" s="13"/>
      <c r="K17" s="13"/>
      <c r="L17" s="13"/>
      <c r="M17" s="13"/>
      <c r="N17" s="13"/>
      <c r="O17" s="13"/>
      <c r="P17" s="13"/>
      <c r="Q17" s="13"/>
    </row>
    <row r="18" spans="1:18" ht="13.75" customHeight="1" x14ac:dyDescent="0.35">
      <c r="C18" s="13"/>
      <c r="D18" s="156"/>
      <c r="E18" s="158"/>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17" priority="5">
      <formula>$P$7&lt;=1</formula>
    </cfRule>
    <cfRule type="expression" dxfId="16" priority="6">
      <formula>$P$7&gt;1</formula>
    </cfRule>
  </conditionalFormatting>
  <conditionalFormatting sqref="E17:E18">
    <cfRule type="expression" dxfId="15" priority="1">
      <formula>$P$1&lt;=1</formula>
    </cfRule>
    <cfRule type="expression" dxfId="14"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5"/>
  <sheetViews>
    <sheetView topLeftCell="A67" workbookViewId="0">
      <selection activeCell="E25" sqref="C25:E25"/>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30" customHeight="1" thickBot="1" x14ac:dyDescent="0.4">
      <c r="C6" s="72" t="s">
        <v>31</v>
      </c>
      <c r="D6" s="165"/>
      <c r="E6" s="166"/>
      <c r="F6" s="17"/>
    </row>
    <row r="7" spans="3:6" ht="20.149999999999999" customHeight="1" thickBot="1" x14ac:dyDescent="0.4">
      <c r="C7" s="73" t="s">
        <v>32</v>
      </c>
      <c r="D7" s="167"/>
      <c r="E7" s="166"/>
      <c r="F7" s="17"/>
    </row>
    <row r="8" spans="3:6" ht="20.149999999999999" customHeight="1" thickBot="1" x14ac:dyDescent="0.4">
      <c r="C8" s="73" t="s">
        <v>33</v>
      </c>
      <c r="D8" s="167" t="s">
        <v>34</v>
      </c>
      <c r="E8" s="166"/>
      <c r="F8" s="17"/>
    </row>
    <row r="9" spans="3:6" ht="20.149999999999999" customHeight="1" thickBot="1" x14ac:dyDescent="0.4">
      <c r="C9" s="73" t="s">
        <v>35</v>
      </c>
      <c r="D9" s="167" t="s">
        <v>36</v>
      </c>
      <c r="E9" s="166"/>
    </row>
    <row r="10" spans="3:6" ht="20.149999999999999" customHeight="1" thickBot="1" x14ac:dyDescent="0.4">
      <c r="C10" s="73" t="s">
        <v>37</v>
      </c>
      <c r="D10" s="167" t="s">
        <v>20</v>
      </c>
      <c r="E10" s="166"/>
    </row>
    <row r="11" spans="3:6" ht="20.149999999999999" customHeight="1" thickBot="1" x14ac:dyDescent="0.4">
      <c r="C11" s="73" t="s">
        <v>38</v>
      </c>
      <c r="D11" s="167" t="s">
        <v>39</v>
      </c>
      <c r="E11" s="166"/>
    </row>
    <row r="12" spans="3:6" ht="20.149999999999999" customHeight="1" thickBot="1" x14ac:dyDescent="0.4">
      <c r="C12" s="73" t="s">
        <v>40</v>
      </c>
      <c r="D12" s="167" t="s">
        <v>41</v>
      </c>
      <c r="E12" s="166"/>
    </row>
    <row r="13" spans="3:6" ht="20.149999999999999" customHeight="1" thickBot="1" x14ac:dyDescent="0.4">
      <c r="C13" s="73" t="s">
        <v>42</v>
      </c>
      <c r="D13" s="168" t="s">
        <v>43</v>
      </c>
      <c r="E13" s="166"/>
    </row>
    <row r="14" spans="3:6" ht="20.149999999999999" customHeight="1" thickBot="1" x14ac:dyDescent="0.4">
      <c r="C14" s="73" t="s">
        <v>44</v>
      </c>
      <c r="D14" s="124" t="s">
        <v>45</v>
      </c>
      <c r="E14" s="124" t="s">
        <v>46</v>
      </c>
    </row>
    <row r="15" spans="3:6" ht="20.149999999999999" customHeight="1" thickBot="1" x14ac:dyDescent="0.4">
      <c r="C15" s="73" t="s">
        <v>47</v>
      </c>
      <c r="D15" s="169" t="s">
        <v>48</v>
      </c>
      <c r="E15" s="166"/>
    </row>
    <row r="16" spans="3:6" ht="30" customHeight="1" thickBot="1" x14ac:dyDescent="0.4">
      <c r="C16" s="74" t="s">
        <v>49</v>
      </c>
      <c r="D16" s="167" t="s">
        <v>20</v>
      </c>
      <c r="E16" s="166"/>
    </row>
    <row r="17" spans="3:5" ht="20.149999999999999" customHeight="1" thickBot="1" x14ac:dyDescent="0.4">
      <c r="C17" s="73" t="s">
        <v>50</v>
      </c>
      <c r="D17" s="167" t="s">
        <v>51</v>
      </c>
      <c r="E17" s="166"/>
    </row>
    <row r="18" spans="3:5" ht="20.149999999999999" customHeight="1" thickBot="1" x14ac:dyDescent="0.4">
      <c r="C18" s="113"/>
      <c r="D18" s="114"/>
      <c r="E18" s="114"/>
    </row>
    <row r="19" spans="3:5" ht="20.149999999999999" customHeight="1" thickBot="1" x14ac:dyDescent="0.4">
      <c r="C19" s="57" t="s">
        <v>52</v>
      </c>
      <c r="D19" s="125" t="s">
        <v>13</v>
      </c>
      <c r="E19" s="114"/>
    </row>
    <row r="20" spans="3:5" ht="20.149999999999999" customHeight="1" thickBot="1" x14ac:dyDescent="0.4">
      <c r="C20" s="48" t="s">
        <v>53</v>
      </c>
      <c r="D20" s="126" t="s">
        <v>6</v>
      </c>
      <c r="E20" s="114"/>
    </row>
    <row r="21" spans="3:5" ht="20.149999999999999" customHeight="1" thickBot="1" x14ac:dyDescent="0.4">
      <c r="C21" s="82" t="s">
        <v>54</v>
      </c>
      <c r="D21" s="127" t="s">
        <v>6</v>
      </c>
      <c r="E21" s="114"/>
    </row>
    <row r="22" spans="3:5" ht="20.149999999999999" customHeight="1" thickBot="1" x14ac:dyDescent="0.4">
      <c r="C22" s="83" t="s">
        <v>55</v>
      </c>
      <c r="D22" s="128" t="s">
        <v>20</v>
      </c>
      <c r="E22" s="114"/>
    </row>
    <row r="23" spans="3:5" ht="13.75" customHeight="1" thickBot="1" x14ac:dyDescent="0.4"/>
    <row r="24" spans="3:5" ht="13.75" customHeight="1" thickBot="1" x14ac:dyDescent="0.4">
      <c r="C24" s="57" t="s">
        <v>56</v>
      </c>
      <c r="D24" s="56" t="s">
        <v>57</v>
      </c>
      <c r="E24" s="56" t="s">
        <v>58</v>
      </c>
    </row>
    <row r="25" spans="3:5" ht="13.75" customHeight="1" thickBot="1" x14ac:dyDescent="0.4">
      <c r="C25" s="48"/>
      <c r="D25" s="49"/>
      <c r="E25" s="49"/>
    </row>
    <row r="26" spans="3:5" ht="13.75" customHeight="1" thickBot="1" x14ac:dyDescent="0.4">
      <c r="C26" s="48" t="s">
        <v>59</v>
      </c>
      <c r="D26" s="49" t="s">
        <v>60</v>
      </c>
      <c r="E26" s="49" t="s">
        <v>61</v>
      </c>
    </row>
    <row r="27" spans="3:5" ht="13.75" customHeight="1" thickBot="1" x14ac:dyDescent="0.4">
      <c r="C27" s="142" t="s">
        <v>62</v>
      </c>
      <c r="D27" s="129" t="s">
        <v>62</v>
      </c>
      <c r="E27" s="129" t="s">
        <v>62</v>
      </c>
    </row>
    <row r="28" spans="3:5" ht="13.75" customHeight="1" x14ac:dyDescent="0.35"/>
    <row r="29" spans="3:5" ht="13.75" customHeight="1" thickBot="1" x14ac:dyDescent="0.4">
      <c r="C29" s="20" t="s">
        <v>63</v>
      </c>
    </row>
    <row r="30" spans="3:5" ht="13.75" customHeight="1" thickBot="1" x14ac:dyDescent="0.4">
      <c r="C30" s="160" t="s">
        <v>64</v>
      </c>
      <c r="D30" s="161"/>
      <c r="E30" s="162"/>
    </row>
    <row r="31" spans="3:5" ht="13.75" customHeight="1" thickBot="1" x14ac:dyDescent="0.4">
      <c r="C31" s="160" t="s">
        <v>65</v>
      </c>
      <c r="D31" s="161"/>
      <c r="E31" s="162"/>
    </row>
    <row r="32" spans="3:5" ht="13.75" customHeight="1" thickBot="1" x14ac:dyDescent="0.4">
      <c r="C32" s="160" t="s">
        <v>66</v>
      </c>
      <c r="D32" s="161"/>
      <c r="E32" s="162"/>
    </row>
    <row r="33" spans="3:5" ht="13.75" customHeight="1" thickBot="1" x14ac:dyDescent="0.4">
      <c r="C33" s="160" t="s">
        <v>67</v>
      </c>
      <c r="D33" s="161"/>
      <c r="E33" s="162"/>
    </row>
    <row r="34" spans="3:5" ht="13.75" customHeight="1" thickBot="1" x14ac:dyDescent="0.4">
      <c r="C34" s="160" t="s">
        <v>68</v>
      </c>
      <c r="D34" s="161"/>
      <c r="E34" s="162"/>
    </row>
    <row r="35" spans="3:5" ht="13.75" customHeight="1" thickBot="1" x14ac:dyDescent="0.4">
      <c r="C35" s="160" t="s">
        <v>69</v>
      </c>
      <c r="D35" s="161"/>
      <c r="E35" s="162"/>
    </row>
    <row r="36" spans="3:5" ht="13.75" customHeight="1" thickBot="1" x14ac:dyDescent="0.4">
      <c r="C36" s="160" t="s">
        <v>70</v>
      </c>
      <c r="D36" s="161"/>
      <c r="E36" s="162"/>
    </row>
    <row r="37" spans="3:5" ht="13.75" customHeight="1" thickBot="1" x14ac:dyDescent="0.4">
      <c r="C37" s="160"/>
      <c r="D37" s="161"/>
      <c r="E37" s="162"/>
    </row>
    <row r="38" spans="3:5" ht="13.75" customHeight="1" x14ac:dyDescent="0.35"/>
    <row r="39" spans="3:5" x14ac:dyDescent="0.35">
      <c r="C39" s="115" t="s">
        <v>71</v>
      </c>
    </row>
    <row r="40" spans="3:5" x14ac:dyDescent="0.35">
      <c r="C40" s="116"/>
    </row>
    <row r="41" spans="3:5" ht="15" thickBot="1" x14ac:dyDescent="0.4">
      <c r="C41" s="117" t="s">
        <v>72</v>
      </c>
      <c r="D41" s="118"/>
    </row>
    <row r="42" spans="3:5" x14ac:dyDescent="0.35">
      <c r="C42" s="119"/>
      <c r="D42" s="118"/>
    </row>
    <row r="43" spans="3:5" x14ac:dyDescent="0.35">
      <c r="C43" s="159" t="s">
        <v>73</v>
      </c>
      <c r="D43" s="159"/>
    </row>
    <row r="44" spans="3:5" x14ac:dyDescent="0.35">
      <c r="C44" s="119" t="s">
        <v>74</v>
      </c>
      <c r="D44" s="118"/>
    </row>
    <row r="45" spans="3:5" x14ac:dyDescent="0.35">
      <c r="C45" s="119" t="s">
        <v>75</v>
      </c>
      <c r="D45" s="118"/>
    </row>
    <row r="46" spans="3:5" x14ac:dyDescent="0.35">
      <c r="C46" s="119"/>
      <c r="D46" s="118"/>
    </row>
    <row r="47" spans="3:5" x14ac:dyDescent="0.35">
      <c r="C47" s="115" t="s">
        <v>73</v>
      </c>
      <c r="D47" s="118"/>
    </row>
    <row r="48" spans="3:5" x14ac:dyDescent="0.35">
      <c r="C48" s="115"/>
      <c r="D48" s="118"/>
    </row>
    <row r="49" spans="3:5" ht="14.5" customHeight="1" x14ac:dyDescent="0.35">
      <c r="C49" s="115" t="s">
        <v>76</v>
      </c>
    </row>
    <row r="50" spans="3:5" ht="32.5" customHeight="1" x14ac:dyDescent="0.35">
      <c r="C50" s="164" t="s">
        <v>77</v>
      </c>
      <c r="D50" s="164"/>
      <c r="E50" s="164"/>
    </row>
    <row r="52" spans="3:5" ht="14.5" customHeight="1" x14ac:dyDescent="0.35">
      <c r="C52" s="79" t="s">
        <v>78</v>
      </c>
    </row>
    <row r="54" spans="3:5" ht="143.5" customHeight="1" x14ac:dyDescent="0.35">
      <c r="C54" s="163" t="s">
        <v>79</v>
      </c>
      <c r="D54" s="163"/>
      <c r="E54" s="163"/>
    </row>
    <row r="55" spans="3:5" ht="14.5" customHeight="1" x14ac:dyDescent="0.35">
      <c r="C55" s="113" t="s">
        <v>80</v>
      </c>
    </row>
    <row r="57" spans="3:5" ht="33" customHeight="1" x14ac:dyDescent="0.35">
      <c r="C57" s="163" t="s">
        <v>81</v>
      </c>
      <c r="D57" s="163"/>
      <c r="E57" s="163"/>
    </row>
    <row r="58" spans="3:5" ht="14.5" customHeight="1" x14ac:dyDescent="0.35">
      <c r="C58" s="120"/>
    </row>
    <row r="59" spans="3:5" ht="33" customHeight="1" x14ac:dyDescent="0.35">
      <c r="C59" s="163" t="s">
        <v>82</v>
      </c>
      <c r="D59" s="163"/>
      <c r="E59" s="163"/>
    </row>
    <row r="60" spans="3:5" ht="14.5" customHeight="1" x14ac:dyDescent="0.35">
      <c r="C60" s="120"/>
    </row>
    <row r="61" spans="3:5" ht="33" customHeight="1" x14ac:dyDescent="0.35">
      <c r="C61" s="163" t="s">
        <v>83</v>
      </c>
      <c r="D61" s="163"/>
      <c r="E61" s="163"/>
    </row>
    <row r="62" spans="3:5" ht="14.5" customHeight="1" x14ac:dyDescent="0.35">
      <c r="C62" s="120"/>
    </row>
    <row r="63" spans="3:5" ht="33" customHeight="1" x14ac:dyDescent="0.35">
      <c r="C63" s="163" t="s">
        <v>84</v>
      </c>
      <c r="D63" s="163"/>
      <c r="E63" s="163"/>
    </row>
    <row r="64" spans="3:5" ht="14.5" customHeight="1" x14ac:dyDescent="0.35">
      <c r="C64" s="120"/>
    </row>
    <row r="65" spans="3:5" ht="66" customHeight="1" x14ac:dyDescent="0.35">
      <c r="C65" s="163" t="s">
        <v>85</v>
      </c>
      <c r="D65" s="163"/>
      <c r="E65" s="163"/>
    </row>
  </sheetData>
  <sheetProtection algorithmName="SHA-512" hashValue="64mlmH9H+gdc5OK2FTS34ruYjrNT2ahb78y1DvgG5gt9Yw1RH6oM3jTWySwsh2hxH9z7SLjSLvLK8J1aIevoxQ==" saltValue="Ck9tMemWn4X+5Bwvmu/Bvw==" spinCount="100000" sheet="1" objects="1" scenarios="1" selectLockedCells="1"/>
  <mergeCells count="27">
    <mergeCell ref="D16:E16"/>
    <mergeCell ref="D17:E17"/>
    <mergeCell ref="D11:E11"/>
    <mergeCell ref="D12:E12"/>
    <mergeCell ref="D13:E13"/>
    <mergeCell ref="D15:E15"/>
    <mergeCell ref="D6:E6"/>
    <mergeCell ref="D7:E7"/>
    <mergeCell ref="D8:E8"/>
    <mergeCell ref="D9:E9"/>
    <mergeCell ref="D10:E10"/>
    <mergeCell ref="C63:E63"/>
    <mergeCell ref="C65:E65"/>
    <mergeCell ref="C50:E50"/>
    <mergeCell ref="C54:E54"/>
    <mergeCell ref="C57:E57"/>
    <mergeCell ref="C59:E59"/>
    <mergeCell ref="C61:E61"/>
    <mergeCell ref="C43:D43"/>
    <mergeCell ref="C37:E37"/>
    <mergeCell ref="C30:E30"/>
    <mergeCell ref="C32:E32"/>
    <mergeCell ref="C36:E36"/>
    <mergeCell ref="C31:E31"/>
    <mergeCell ref="C33:E33"/>
    <mergeCell ref="C34:E34"/>
    <mergeCell ref="C35:E35"/>
  </mergeCells>
  <conditionalFormatting sqref="D19">
    <cfRule type="cellIs" dxfId="13" priority="2" operator="equal">
      <formula>$H$20</formula>
    </cfRule>
  </conditionalFormatting>
  <conditionalFormatting sqref="D19 D21:D22">
    <cfRule type="cellIs" dxfId="12"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20" zoomScale="85" zoomScaleNormal="85" workbookViewId="0">
      <selection activeCell="D76" sqref="D76"/>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91" t="s">
        <v>86</v>
      </c>
      <c r="D8" s="192"/>
      <c r="E8" s="192"/>
      <c r="F8" s="192"/>
    </row>
    <row r="9" spans="3:6" ht="15" customHeight="1" x14ac:dyDescent="0.35">
      <c r="C9" s="55"/>
      <c r="D9" s="55"/>
      <c r="E9" s="15"/>
      <c r="F9"/>
    </row>
    <row r="10" spans="3:6" ht="15" customHeight="1" x14ac:dyDescent="0.35">
      <c r="C10" s="58" t="s">
        <v>87</v>
      </c>
      <c r="D10" s="55"/>
      <c r="E10" s="55"/>
      <c r="F10" s="55"/>
    </row>
    <row r="11" spans="3:6" ht="15" customHeight="1" thickBot="1" x14ac:dyDescent="0.4">
      <c r="C11" s="55"/>
      <c r="D11" s="55"/>
      <c r="E11" s="55"/>
      <c r="F11" s="55"/>
    </row>
    <row r="12" spans="3:6" ht="15" customHeight="1" thickBot="1" x14ac:dyDescent="0.4">
      <c r="C12" s="59" t="s">
        <v>88</v>
      </c>
      <c r="D12" s="185" t="s">
        <v>89</v>
      </c>
      <c r="E12" s="186"/>
      <c r="F12" s="189"/>
    </row>
    <row r="13" spans="3:6" ht="15" customHeight="1" thickBot="1" x14ac:dyDescent="0.4">
      <c r="C13" s="60" t="s">
        <v>90</v>
      </c>
      <c r="D13" s="185" t="s">
        <v>91</v>
      </c>
      <c r="E13" s="186" t="s">
        <v>91</v>
      </c>
      <c r="F13" s="189" t="s">
        <v>91</v>
      </c>
    </row>
    <row r="14" spans="3:6" ht="15" customHeight="1" thickBot="1" x14ac:dyDescent="0.4">
      <c r="C14" s="60" t="s">
        <v>92</v>
      </c>
      <c r="D14" s="185" t="s">
        <v>93</v>
      </c>
      <c r="E14" s="186" t="s">
        <v>94</v>
      </c>
      <c r="F14" s="189" t="s">
        <v>94</v>
      </c>
    </row>
    <row r="15" spans="3:6" ht="15" customHeight="1" thickBot="1" x14ac:dyDescent="0.4">
      <c r="C15" s="60" t="s">
        <v>95</v>
      </c>
      <c r="D15" s="185" t="s">
        <v>96</v>
      </c>
      <c r="E15" s="186" t="s">
        <v>96</v>
      </c>
      <c r="F15" s="189" t="s">
        <v>96</v>
      </c>
    </row>
    <row r="16" spans="3:6" ht="15" customHeight="1" x14ac:dyDescent="0.35">
      <c r="C16" s="55"/>
      <c r="D16" s="55"/>
      <c r="E16" s="55"/>
      <c r="F16" s="55"/>
    </row>
    <row r="17" spans="3:19" ht="15" customHeight="1" x14ac:dyDescent="0.35">
      <c r="C17" s="61" t="s">
        <v>97</v>
      </c>
      <c r="D17" s="55"/>
      <c r="E17" s="55"/>
      <c r="F17" s="55"/>
    </row>
    <row r="18" spans="3:19" ht="15" customHeight="1" thickBot="1" x14ac:dyDescent="0.4">
      <c r="C18" s="55"/>
      <c r="D18" s="55"/>
      <c r="E18" s="55"/>
      <c r="F18" s="55"/>
    </row>
    <row r="19" spans="3:19" ht="15" customHeight="1" thickBot="1" x14ac:dyDescent="0.4">
      <c r="C19" s="187" t="s">
        <v>98</v>
      </c>
      <c r="D19" s="188"/>
      <c r="E19" s="62" t="s">
        <v>99</v>
      </c>
      <c r="F19" s="63" t="s">
        <v>100</v>
      </c>
      <c r="I19" s="18"/>
      <c r="J19" s="18"/>
      <c r="K19" s="18"/>
      <c r="L19" s="18"/>
      <c r="M19" s="18"/>
      <c r="N19" s="18"/>
      <c r="O19" s="18"/>
      <c r="P19" s="18"/>
      <c r="Q19" s="18"/>
      <c r="R19" s="18"/>
      <c r="S19" s="18"/>
    </row>
    <row r="20" spans="3:19" ht="30" customHeight="1" thickBot="1" x14ac:dyDescent="0.4">
      <c r="C20" s="185" t="s">
        <v>101</v>
      </c>
      <c r="D20" s="186"/>
      <c r="E20" s="106" t="s">
        <v>6</v>
      </c>
      <c r="F20" s="47" t="s">
        <v>102</v>
      </c>
    </row>
    <row r="21" spans="3:19" ht="27.65" customHeight="1" thickBot="1" x14ac:dyDescent="0.4">
      <c r="C21" s="185" t="s">
        <v>103</v>
      </c>
      <c r="D21" s="186"/>
      <c r="E21" s="106" t="s">
        <v>6</v>
      </c>
      <c r="F21" s="47" t="s">
        <v>104</v>
      </c>
    </row>
    <row r="22" spans="3:19" ht="29.15" customHeight="1" thickBot="1" x14ac:dyDescent="0.4">
      <c r="C22" s="185" t="s">
        <v>105</v>
      </c>
      <c r="D22" s="186"/>
      <c r="E22" s="106" t="s">
        <v>6</v>
      </c>
      <c r="F22" s="47" t="s">
        <v>106</v>
      </c>
    </row>
    <row r="23" spans="3:19" ht="33" customHeight="1" thickBot="1" x14ac:dyDescent="0.4">
      <c r="C23" s="185" t="s">
        <v>107</v>
      </c>
      <c r="D23" s="186"/>
      <c r="E23" s="106" t="s">
        <v>6</v>
      </c>
      <c r="F23" s="47" t="s">
        <v>108</v>
      </c>
    </row>
    <row r="24" spans="3:19" ht="121.5" customHeight="1" thickBot="1" x14ac:dyDescent="0.4">
      <c r="C24" s="185" t="s">
        <v>109</v>
      </c>
      <c r="D24" s="186"/>
      <c r="E24" s="106" t="s">
        <v>6</v>
      </c>
      <c r="F24" s="47" t="s">
        <v>110</v>
      </c>
    </row>
    <row r="25" spans="3:19" ht="15" customHeight="1" thickBot="1" x14ac:dyDescent="0.4">
      <c r="C25" s="55"/>
      <c r="D25" s="55"/>
      <c r="E25" s="55"/>
      <c r="F25" s="55"/>
    </row>
    <row r="26" spans="3:19" ht="45.65" customHeight="1" thickBot="1" x14ac:dyDescent="0.4">
      <c r="C26" s="63" t="s">
        <v>111</v>
      </c>
      <c r="D26" s="185" t="str">
        <f>IF(COUNTIF($E$20:$E$24,"")=5,"",IF(COUNTIF($E$20:$E$24,"Yes")=5,"Contract exists between the parties","Contract does not exists between the parties"))</f>
        <v>Contract exists between the parties</v>
      </c>
      <c r="E26" s="186"/>
      <c r="F26" s="189"/>
    </row>
    <row r="27" spans="3:19" x14ac:dyDescent="0.35">
      <c r="C27" s="55"/>
      <c r="D27" s="55"/>
      <c r="E27" s="55"/>
      <c r="F27" s="55"/>
    </row>
    <row r="28" spans="3:19" x14ac:dyDescent="0.35">
      <c r="C28" s="55"/>
      <c r="D28" s="55"/>
      <c r="E28" s="55"/>
      <c r="F28" s="55"/>
    </row>
    <row r="29" spans="3:19" x14ac:dyDescent="0.35">
      <c r="C29" s="64" t="s">
        <v>112</v>
      </c>
      <c r="D29" s="55"/>
      <c r="E29" s="55"/>
      <c r="F29" s="55"/>
    </row>
    <row r="30" spans="3:19" x14ac:dyDescent="0.35">
      <c r="C30" s="55"/>
      <c r="D30" s="55"/>
      <c r="E30" s="55"/>
      <c r="F30" s="55"/>
    </row>
    <row r="31" spans="3:19" x14ac:dyDescent="0.35">
      <c r="C31" s="65" t="s">
        <v>113</v>
      </c>
      <c r="D31" s="55"/>
      <c r="E31" s="55"/>
      <c r="F31" s="55"/>
    </row>
    <row r="32" spans="3:19" x14ac:dyDescent="0.35">
      <c r="C32" s="65" t="s">
        <v>114</v>
      </c>
      <c r="D32" s="55"/>
      <c r="E32" s="55"/>
      <c r="F32" s="55"/>
    </row>
    <row r="33" spans="3:6" x14ac:dyDescent="0.35">
      <c r="C33" s="65" t="s">
        <v>115</v>
      </c>
      <c r="D33" s="55"/>
      <c r="E33" s="55"/>
      <c r="F33" s="55"/>
    </row>
    <row r="34" spans="3:6" x14ac:dyDescent="0.35">
      <c r="C34" s="65" t="s">
        <v>116</v>
      </c>
      <c r="D34" s="55"/>
      <c r="E34" s="55"/>
      <c r="F34" s="55"/>
    </row>
    <row r="35" spans="3:6" x14ac:dyDescent="0.35">
      <c r="C35" s="55"/>
      <c r="D35" s="55"/>
      <c r="E35" s="55"/>
      <c r="F35" s="55"/>
    </row>
    <row r="36" spans="3:6" x14ac:dyDescent="0.35">
      <c r="C36" s="15" t="s">
        <v>117</v>
      </c>
      <c r="D36" s="55"/>
      <c r="E36" s="55"/>
      <c r="F36" s="55"/>
    </row>
    <row r="37" spans="3:6" ht="14.5" customHeight="1" x14ac:dyDescent="0.35">
      <c r="C37" s="65" t="s">
        <v>118</v>
      </c>
      <c r="D37" s="55"/>
      <c r="E37" s="55"/>
      <c r="F37" s="55"/>
    </row>
    <row r="38" spans="3:6" ht="14.5" customHeight="1" thickBot="1" x14ac:dyDescent="0.4">
      <c r="C38" s="55"/>
      <c r="D38" s="55"/>
      <c r="E38" s="55"/>
      <c r="F38" s="55"/>
    </row>
    <row r="39" spans="3:6" ht="31.5" customHeight="1" thickBot="1" x14ac:dyDescent="0.4">
      <c r="C39" s="176" t="s">
        <v>119</v>
      </c>
      <c r="D39" s="178"/>
      <c r="E39" s="177"/>
      <c r="F39" s="47" t="s">
        <v>13</v>
      </c>
    </row>
    <row r="40" spans="3:6" ht="14.5" customHeight="1" thickBot="1" x14ac:dyDescent="0.4">
      <c r="C40" s="55"/>
      <c r="D40" s="55"/>
      <c r="E40" s="55"/>
      <c r="F40" s="55"/>
    </row>
    <row r="41" spans="3:6" ht="14.5" customHeight="1" thickBot="1" x14ac:dyDescent="0.4">
      <c r="C41" s="179" t="s">
        <v>120</v>
      </c>
      <c r="D41" s="180"/>
      <c r="E41" s="180"/>
      <c r="F41" s="181"/>
    </row>
    <row r="42" spans="3:6" ht="14.5" customHeight="1" thickBot="1" x14ac:dyDescent="0.4">
      <c r="C42" s="55"/>
      <c r="D42" s="55"/>
      <c r="E42" s="55"/>
      <c r="F42" s="55"/>
    </row>
    <row r="43" spans="3:6" ht="25" customHeight="1" thickBot="1" x14ac:dyDescent="0.4">
      <c r="C43" s="176" t="s">
        <v>121</v>
      </c>
      <c r="D43" s="178"/>
      <c r="E43" s="177" t="s">
        <v>13</v>
      </c>
      <c r="F43" s="109" t="s">
        <v>20</v>
      </c>
    </row>
    <row r="44" spans="3:6" ht="25" customHeight="1" thickBot="1" x14ac:dyDescent="0.4">
      <c r="C44" s="176" t="s">
        <v>122</v>
      </c>
      <c r="D44" s="178"/>
      <c r="E44" s="177" t="s">
        <v>13</v>
      </c>
      <c r="F44" s="109" t="s">
        <v>20</v>
      </c>
    </row>
    <row r="45" spans="3:6" ht="25" customHeight="1" thickBot="1" x14ac:dyDescent="0.4">
      <c r="C45" s="176" t="s">
        <v>123</v>
      </c>
      <c r="D45" s="178"/>
      <c r="E45" s="177" t="s">
        <v>13</v>
      </c>
      <c r="F45" s="109" t="s">
        <v>20</v>
      </c>
    </row>
    <row r="46" spans="3:6" ht="14.5" customHeight="1" thickBot="1" x14ac:dyDescent="0.4">
      <c r="C46" s="55"/>
      <c r="D46" s="55"/>
      <c r="E46" s="55"/>
      <c r="F46" s="55"/>
    </row>
    <row r="47" spans="3:6" ht="14.5" customHeight="1" thickBot="1" x14ac:dyDescent="0.4">
      <c r="C47" s="179" t="s">
        <v>124</v>
      </c>
      <c r="D47" s="180"/>
      <c r="E47" s="180"/>
      <c r="F47" s="181"/>
    </row>
    <row r="48" spans="3:6" ht="14.5" customHeight="1" thickBot="1" x14ac:dyDescent="0.4">
      <c r="C48" s="66"/>
      <c r="D48" s="55"/>
      <c r="E48" s="55"/>
      <c r="F48" s="55"/>
    </row>
    <row r="49" spans="3:7" ht="14.5" customHeight="1" thickBot="1" x14ac:dyDescent="0.4">
      <c r="C49" s="179" t="s">
        <v>125</v>
      </c>
      <c r="D49" s="180"/>
      <c r="E49" s="180"/>
      <c r="F49" s="181"/>
    </row>
    <row r="50" spans="3:7" ht="72" customHeight="1" thickBot="1" x14ac:dyDescent="0.4">
      <c r="C50" s="182" t="s">
        <v>126</v>
      </c>
      <c r="D50" s="183"/>
      <c r="E50" s="183"/>
      <c r="F50" s="184"/>
    </row>
    <row r="51" spans="3:7" ht="20.5" customHeight="1" thickBot="1" x14ac:dyDescent="0.4">
      <c r="C51" s="179" t="s">
        <v>127</v>
      </c>
      <c r="D51" s="180"/>
      <c r="E51" s="180"/>
      <c r="F51" s="181"/>
    </row>
    <row r="52" spans="3:7" ht="65.150000000000006" customHeight="1" thickBot="1" x14ac:dyDescent="0.4">
      <c r="C52" s="182" t="s">
        <v>128</v>
      </c>
      <c r="D52" s="183"/>
      <c r="E52" s="183"/>
      <c r="F52" s="184"/>
    </row>
    <row r="53" spans="3:7" ht="34.5" customHeight="1" thickBot="1" x14ac:dyDescent="0.4">
      <c r="C53" s="190" t="s">
        <v>129</v>
      </c>
      <c r="D53" s="190"/>
      <c r="E53" s="190"/>
      <c r="F53" s="55"/>
    </row>
    <row r="54" spans="3:7" ht="28" customHeight="1" thickBot="1" x14ac:dyDescent="0.4">
      <c r="C54" s="176" t="s">
        <v>130</v>
      </c>
      <c r="D54" s="177"/>
      <c r="E54" s="47" t="s">
        <v>6</v>
      </c>
      <c r="F54" s="55"/>
    </row>
    <row r="55" spans="3:7" ht="13.5" hidden="1" customHeight="1" thickBot="1" x14ac:dyDescent="0.4">
      <c r="C55" s="170" t="s">
        <v>125</v>
      </c>
      <c r="D55" s="171"/>
      <c r="E55" s="172"/>
      <c r="F55" s="55"/>
    </row>
    <row r="56" spans="3:7" ht="54" hidden="1" customHeight="1" thickBot="1" x14ac:dyDescent="0.4">
      <c r="C56" s="173"/>
      <c r="D56" s="174"/>
      <c r="E56" s="175"/>
      <c r="F56" s="55"/>
    </row>
    <row r="57" spans="3:7" ht="20.149999999999999" customHeight="1" thickBot="1" x14ac:dyDescent="0.4">
      <c r="C57" s="55"/>
      <c r="D57" s="55"/>
      <c r="E57" s="55"/>
      <c r="F57" s="55"/>
    </row>
    <row r="58" spans="3:7" ht="20.149999999999999" customHeight="1" thickBot="1" x14ac:dyDescent="0.4">
      <c r="C58" s="176" t="s">
        <v>131</v>
      </c>
      <c r="D58" s="177"/>
      <c r="E58" s="47" t="s">
        <v>6</v>
      </c>
      <c r="F58" s="55"/>
    </row>
    <row r="59" spans="3:7" ht="20.149999999999999" customHeight="1" thickBot="1" x14ac:dyDescent="0.4">
      <c r="C59" s="55"/>
      <c r="D59" s="55"/>
      <c r="E59" s="55"/>
      <c r="F59" s="55"/>
    </row>
    <row r="60" spans="3:7" ht="20.149999999999999" hidden="1" customHeight="1" thickBot="1" x14ac:dyDescent="0.4">
      <c r="C60" s="55"/>
      <c r="D60" s="55"/>
      <c r="E60" s="55"/>
      <c r="F60" s="55"/>
    </row>
    <row r="61" spans="3:7" ht="20.149999999999999" customHeight="1" thickBot="1" x14ac:dyDescent="0.4">
      <c r="C61" s="176" t="s">
        <v>132</v>
      </c>
      <c r="D61" s="177"/>
      <c r="E61" s="47" t="s">
        <v>6</v>
      </c>
      <c r="F61" s="55"/>
    </row>
    <row r="62" spans="3:7" ht="20.149999999999999" hidden="1" customHeight="1" x14ac:dyDescent="0.35">
      <c r="C62" s="55"/>
      <c r="D62" s="55"/>
      <c r="E62" s="55"/>
      <c r="F62" s="55"/>
      <c r="G62" s="16" t="s">
        <v>6</v>
      </c>
    </row>
    <row r="63" spans="3:7" ht="20.149999999999999" hidden="1" customHeight="1" thickBot="1" x14ac:dyDescent="0.4">
      <c r="C63" s="55"/>
      <c r="D63" s="55"/>
      <c r="E63" s="55"/>
      <c r="F63" s="55"/>
    </row>
    <row r="64" spans="3:7" ht="20.149999999999999" hidden="1" customHeight="1" thickBot="1" x14ac:dyDescent="0.4">
      <c r="C64" s="176" t="s">
        <v>133</v>
      </c>
      <c r="D64" s="177"/>
      <c r="E64" s="47"/>
      <c r="F64" s="55"/>
    </row>
    <row r="65" spans="3:6" ht="20.149999999999999" hidden="1" customHeight="1" x14ac:dyDescent="0.35">
      <c r="C65" s="55"/>
      <c r="D65" s="55"/>
      <c r="E65" s="67"/>
      <c r="F65" s="55"/>
    </row>
    <row r="66" spans="3:6" ht="14.5" customHeight="1" x14ac:dyDescent="0.35">
      <c r="C66" s="55"/>
      <c r="D66" s="55"/>
      <c r="E66" s="55"/>
      <c r="F66" s="55"/>
    </row>
    <row r="67" spans="3:6" ht="14.5" customHeight="1" x14ac:dyDescent="0.35">
      <c r="C67" s="55"/>
      <c r="D67" s="55"/>
      <c r="E67" s="55"/>
      <c r="F67" s="55"/>
    </row>
    <row r="68" spans="3:6" ht="9.65" customHeight="1" thickBot="1" x14ac:dyDescent="0.4">
      <c r="C68" s="55"/>
      <c r="D68" s="55"/>
      <c r="E68" s="55"/>
      <c r="F68" s="55"/>
    </row>
    <row r="69" spans="3:6" ht="34" customHeight="1" thickBot="1" x14ac:dyDescent="0.4">
      <c r="C69" s="176" t="s">
        <v>134</v>
      </c>
      <c r="D69" s="177"/>
      <c r="E69" s="47" t="s">
        <v>6</v>
      </c>
      <c r="F69" s="55"/>
    </row>
    <row r="70" spans="3:6" ht="17.149999999999999" customHeight="1" thickBot="1" x14ac:dyDescent="0.4">
      <c r="C70" s="55"/>
      <c r="D70" s="55"/>
      <c r="E70" s="55"/>
      <c r="F70" s="55"/>
    </row>
    <row r="71" spans="3:6" ht="20.149999999999999" customHeight="1" thickBot="1" x14ac:dyDescent="0.4">
      <c r="C71" s="170" t="s">
        <v>125</v>
      </c>
      <c r="D71" s="171"/>
      <c r="E71" s="172"/>
      <c r="F71" s="55"/>
    </row>
    <row r="72" spans="3:6" ht="62.5" customHeight="1" thickBot="1" x14ac:dyDescent="0.4">
      <c r="C72" s="173" t="s">
        <v>135</v>
      </c>
      <c r="D72" s="174"/>
      <c r="E72" s="175"/>
      <c r="F72" s="55"/>
    </row>
    <row r="73" spans="3:6" ht="14.5" customHeight="1" thickBot="1" x14ac:dyDescent="0.4">
      <c r="C73" s="55"/>
      <c r="D73" s="55"/>
      <c r="E73" s="55"/>
      <c r="F73" s="55"/>
    </row>
    <row r="74" spans="3:6" ht="14.5" customHeight="1" thickBot="1" x14ac:dyDescent="0.4">
      <c r="C74" s="170" t="s">
        <v>136</v>
      </c>
      <c r="D74" s="171"/>
      <c r="E74" s="172"/>
      <c r="F74" s="55"/>
    </row>
    <row r="75" spans="3:6" ht="66.650000000000006" customHeight="1" thickBot="1" x14ac:dyDescent="0.4">
      <c r="C75" s="173" t="s">
        <v>137</v>
      </c>
      <c r="D75" s="174"/>
      <c r="E75" s="175"/>
      <c r="F75" s="55"/>
    </row>
  </sheetData>
  <sheetProtection algorithmName="SHA-512" hashValue="kRdv/uOLmlkNJVCb0D0kp9WzBgtq1aYXY0JpO6oAK/cjQvB+ATUrSAdJ5k6yhr70AYXJETxD8leWHC+5m8l6tg==" saltValue="sHrmxL1MheLj9Q+nHm0rSw==" spinCount="100000" sheet="1" objects="1" scenarios="1" selectLockedCells="1"/>
  <mergeCells count="34">
    <mergeCell ref="C8:F8"/>
    <mergeCell ref="D12:F12"/>
    <mergeCell ref="D13:F13"/>
    <mergeCell ref="D14:F14"/>
    <mergeCell ref="D15:F15"/>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56:E56"/>
    <mergeCell ref="C69:D69"/>
    <mergeCell ref="C71:E71"/>
    <mergeCell ref="C72:E72"/>
    <mergeCell ref="C45:E45"/>
    <mergeCell ref="C55:E55"/>
    <mergeCell ref="C51:F51"/>
    <mergeCell ref="C52:F52"/>
    <mergeCell ref="C74:E74"/>
    <mergeCell ref="C75:E75"/>
    <mergeCell ref="C58:D58"/>
    <mergeCell ref="C61:D61"/>
    <mergeCell ref="C64:D64"/>
  </mergeCells>
  <conditionalFormatting sqref="E20:F24 D26:F26 F39 F43:F45 C50:F50 C52:F52 E54 C75:E75">
    <cfRule type="cellIs" dxfId="11"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zoomScale="70" zoomScaleNormal="70" workbookViewId="0">
      <selection activeCell="J10" sqref="J10"/>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196" t="s">
        <v>138</v>
      </c>
      <c r="E7" s="197"/>
      <c r="F7" s="197"/>
      <c r="G7" s="197"/>
      <c r="H7" s="198"/>
    </row>
    <row r="8" spans="4:9" ht="25" customHeight="1" thickBot="1" x14ac:dyDescent="0.4">
      <c r="D8" s="173" t="s">
        <v>139</v>
      </c>
      <c r="E8" s="174"/>
      <c r="F8" s="174"/>
      <c r="G8" s="174"/>
      <c r="H8" s="175"/>
    </row>
    <row r="9" spans="4:9" ht="15" customHeight="1" x14ac:dyDescent="0.35"/>
    <row r="10" spans="4:9" ht="15" customHeight="1" x14ac:dyDescent="0.35">
      <c r="D10" s="20" t="s">
        <v>140</v>
      </c>
    </row>
    <row r="11" spans="4:9" ht="15" customHeight="1" x14ac:dyDescent="0.35">
      <c r="D11" s="16" t="s">
        <v>141</v>
      </c>
    </row>
    <row r="12" spans="4:9" ht="25" customHeight="1" thickBot="1" x14ac:dyDescent="0.4">
      <c r="D12" s="23" t="s">
        <v>142</v>
      </c>
      <c r="I12" s="99"/>
    </row>
    <row r="13" spans="4:9" ht="15" customHeight="1" thickBot="1" x14ac:dyDescent="0.4">
      <c r="D13" s="173" t="s">
        <v>143</v>
      </c>
      <c r="E13" s="174"/>
      <c r="F13" s="174"/>
      <c r="G13" s="174"/>
      <c r="H13" s="175"/>
    </row>
    <row r="14" spans="4:9" s="21" customFormat="1" ht="80.150000000000006" customHeight="1" thickBot="1" x14ac:dyDescent="0.4">
      <c r="D14" s="199" t="s">
        <v>144</v>
      </c>
      <c r="E14" s="200"/>
      <c r="F14" s="200"/>
      <c r="G14" s="200"/>
      <c r="H14" s="201"/>
    </row>
    <row r="15" spans="4:9" ht="15" customHeight="1" thickBot="1" x14ac:dyDescent="0.4"/>
    <row r="16" spans="4:9" ht="25" customHeight="1" thickBot="1" x14ac:dyDescent="0.4">
      <c r="D16" s="196" t="s">
        <v>145</v>
      </c>
      <c r="E16" s="197"/>
      <c r="F16" s="197"/>
      <c r="G16" s="197"/>
      <c r="H16" s="198"/>
    </row>
    <row r="17" spans="4:8" ht="25" customHeight="1" thickBot="1" x14ac:dyDescent="0.4">
      <c r="D17" s="173" t="s">
        <v>146</v>
      </c>
      <c r="E17" s="174"/>
      <c r="F17" s="174"/>
      <c r="G17" s="174"/>
      <c r="H17" s="175"/>
    </row>
    <row r="18" spans="4:8" ht="25" customHeight="1" thickBot="1" x14ac:dyDescent="0.4">
      <c r="D18" s="173" t="s">
        <v>147</v>
      </c>
      <c r="E18" s="174"/>
      <c r="F18" s="174"/>
      <c r="G18" s="174"/>
      <c r="H18" s="175"/>
    </row>
    <row r="19" spans="4:8" ht="25" customHeight="1" thickBot="1" x14ac:dyDescent="0.4">
      <c r="D19" s="173" t="s">
        <v>148</v>
      </c>
      <c r="E19" s="174"/>
      <c r="F19" s="174"/>
      <c r="G19" s="174"/>
      <c r="H19" s="175"/>
    </row>
    <row r="20" spans="4:8" ht="15" customHeight="1" x14ac:dyDescent="0.35"/>
    <row r="21" spans="4:8" ht="15" customHeight="1" thickBot="1" x14ac:dyDescent="0.4">
      <c r="D21" s="20" t="s">
        <v>149</v>
      </c>
    </row>
    <row r="22" spans="4:8" ht="22" customHeight="1" thickBot="1" x14ac:dyDescent="0.4">
      <c r="D22" s="68" t="s">
        <v>150</v>
      </c>
      <c r="E22" s="68" t="s">
        <v>143</v>
      </c>
      <c r="F22" s="68" t="s">
        <v>151</v>
      </c>
      <c r="G22" s="68" t="s">
        <v>152</v>
      </c>
      <c r="H22" s="68" t="s">
        <v>153</v>
      </c>
    </row>
    <row r="23" spans="4:8" ht="118.5" customHeight="1" thickBot="1" x14ac:dyDescent="0.4">
      <c r="D23" s="108" t="s">
        <v>154</v>
      </c>
      <c r="E23" s="47" t="s">
        <v>6</v>
      </c>
      <c r="F23" s="47" t="s">
        <v>6</v>
      </c>
      <c r="G23" s="109" t="str">
        <f t="shared" ref="G23:G26" si="0">IF(OR(E23="",F23=""),"",IF(AND(E23="Yes",F23="Yes"),"Yes",IF(AND(E23="No",F23="No"),"No","Error")))</f>
        <v>Yes</v>
      </c>
      <c r="H23" s="47" t="s">
        <v>18</v>
      </c>
    </row>
    <row r="24" spans="4:8" ht="96.65" customHeight="1" thickBot="1" x14ac:dyDescent="0.4">
      <c r="D24" s="108" t="s">
        <v>155</v>
      </c>
      <c r="E24" s="47" t="s">
        <v>13</v>
      </c>
      <c r="F24" s="47" t="s">
        <v>13</v>
      </c>
      <c r="G24" s="109" t="str">
        <f t="shared" si="0"/>
        <v>No</v>
      </c>
      <c r="H24" s="47" t="s">
        <v>156</v>
      </c>
    </row>
    <row r="25" spans="4:8" ht="92.15" customHeight="1" thickBot="1" x14ac:dyDescent="0.4">
      <c r="D25" s="108" t="s">
        <v>157</v>
      </c>
      <c r="E25" s="47" t="s">
        <v>13</v>
      </c>
      <c r="F25" s="47" t="s">
        <v>13</v>
      </c>
      <c r="G25" s="109" t="str">
        <f t="shared" si="0"/>
        <v>No</v>
      </c>
      <c r="H25" s="47" t="s">
        <v>156</v>
      </c>
    </row>
    <row r="26" spans="4:8" ht="87.65" customHeight="1" thickBot="1" x14ac:dyDescent="0.4">
      <c r="D26" s="108" t="s">
        <v>158</v>
      </c>
      <c r="E26" s="47" t="s">
        <v>13</v>
      </c>
      <c r="F26" s="47" t="s">
        <v>13</v>
      </c>
      <c r="G26" s="109" t="str">
        <f t="shared" si="0"/>
        <v>No</v>
      </c>
      <c r="H26" s="47" t="s">
        <v>156</v>
      </c>
    </row>
    <row r="27" spans="4:8" ht="15" thickBot="1" x14ac:dyDescent="0.4"/>
    <row r="28" spans="4:8" ht="15" thickBot="1" x14ac:dyDescent="0.4">
      <c r="D28" s="202" t="s">
        <v>125</v>
      </c>
      <c r="E28" s="203"/>
      <c r="F28" s="203"/>
      <c r="G28" s="203"/>
      <c r="H28" s="204"/>
    </row>
    <row r="29" spans="4:8" ht="84.65" customHeight="1" thickBot="1" x14ac:dyDescent="0.4">
      <c r="D29" s="193" t="s">
        <v>159</v>
      </c>
      <c r="E29" s="194"/>
      <c r="F29" s="194"/>
      <c r="G29" s="194"/>
      <c r="H29" s="195"/>
    </row>
    <row r="30" spans="4:8" x14ac:dyDescent="0.35"/>
    <row r="31" spans="4:8" x14ac:dyDescent="0.35"/>
    <row r="32" spans="4:8" x14ac:dyDescent="0.35"/>
  </sheetData>
  <sheetProtection algorithmName="SHA-512" hashValue="iEFNrU2yzSwDkSzpLMU1OWUda+VO6vG9JDf1YpYevxPNweumFWE+L81f1mMD2qjsvYVqgcoWKveLEkCPJSTKwA==" saltValue="gEq9Tsw3LgQIAjnlLNFAHg==" spinCount="100000" sheet="1" objects="1" scenarios="1" selectLockedCells="1"/>
  <mergeCells count="10">
    <mergeCell ref="D29:H29"/>
    <mergeCell ref="D16:H16"/>
    <mergeCell ref="D14:H14"/>
    <mergeCell ref="D13:H13"/>
    <mergeCell ref="D7:H7"/>
    <mergeCell ref="D8:H8"/>
    <mergeCell ref="D28:H28"/>
    <mergeCell ref="D17:H17"/>
    <mergeCell ref="D18:H18"/>
    <mergeCell ref="D19:H19"/>
  </mergeCells>
  <conditionalFormatting sqref="G23:G26">
    <cfRule type="containsText" dxfId="10" priority="2" operator="containsText" text="Error">
      <formula>NOT(ISERROR(SEARCH("Error",G23)))</formula>
    </cfRule>
  </conditionalFormatting>
  <conditionalFormatting sqref="D29:H29 D23:F26 H23:H26">
    <cfRule type="cellIs" dxfId="9"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topLeftCell="A53" zoomScale="85" zoomScaleNormal="85" workbookViewId="0">
      <selection activeCell="G43" sqref="G43"/>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196" t="s">
        <v>160</v>
      </c>
      <c r="E6" s="197"/>
      <c r="F6" s="198"/>
    </row>
    <row r="7" spans="3:6" ht="50.15" customHeight="1" thickBot="1" x14ac:dyDescent="0.4">
      <c r="D7" s="173" t="s">
        <v>161</v>
      </c>
      <c r="E7" s="174"/>
      <c r="F7" s="175"/>
    </row>
    <row r="8" spans="3:6" ht="50.15" customHeight="1" thickBot="1" x14ac:dyDescent="0.4">
      <c r="D8" s="173" t="s">
        <v>162</v>
      </c>
      <c r="E8" s="174"/>
      <c r="F8" s="175"/>
    </row>
    <row r="9" spans="3:6" ht="14.15" customHeight="1" thickBot="1" x14ac:dyDescent="0.4">
      <c r="D9" s="173" t="s">
        <v>163</v>
      </c>
      <c r="E9" s="174"/>
      <c r="F9" s="175"/>
    </row>
    <row r="10" spans="3:6" ht="25" customHeight="1" thickBot="1" x14ac:dyDescent="0.4">
      <c r="C10" s="214" t="s">
        <v>164</v>
      </c>
      <c r="D10" s="216" t="s">
        <v>165</v>
      </c>
      <c r="E10" s="217"/>
      <c r="F10" s="218"/>
    </row>
    <row r="11" spans="3:6" ht="25" customHeight="1" thickBot="1" x14ac:dyDescent="0.4">
      <c r="C11" s="215"/>
      <c r="D11" s="219" t="s">
        <v>166</v>
      </c>
      <c r="E11" s="183"/>
      <c r="F11" s="220"/>
    </row>
    <row r="12" spans="3:6" ht="25" customHeight="1" thickBot="1" x14ac:dyDescent="0.4">
      <c r="C12" s="214" t="s">
        <v>167</v>
      </c>
      <c r="D12" s="216" t="s">
        <v>168</v>
      </c>
      <c r="E12" s="217"/>
      <c r="F12" s="218"/>
    </row>
    <row r="13" spans="3:6" ht="25" customHeight="1" thickBot="1" x14ac:dyDescent="0.4">
      <c r="C13" s="215"/>
      <c r="D13" s="219" t="s">
        <v>169</v>
      </c>
      <c r="E13" s="183"/>
      <c r="F13" s="220"/>
    </row>
    <row r="14" spans="3:6" ht="25" customHeight="1" thickBot="1" x14ac:dyDescent="0.4">
      <c r="C14" s="214" t="s">
        <v>170</v>
      </c>
      <c r="D14" s="216" t="s">
        <v>171</v>
      </c>
      <c r="E14" s="217"/>
      <c r="F14" s="218"/>
    </row>
    <row r="15" spans="3:6" ht="25" customHeight="1" thickBot="1" x14ac:dyDescent="0.4">
      <c r="C15" s="215"/>
      <c r="D15" s="219" t="s">
        <v>172</v>
      </c>
      <c r="E15" s="183"/>
      <c r="F15" s="220"/>
    </row>
    <row r="16" spans="3:6" ht="25" customHeight="1" thickBot="1" x14ac:dyDescent="0.4">
      <c r="C16" s="214" t="s">
        <v>173</v>
      </c>
      <c r="D16" s="216" t="s">
        <v>174</v>
      </c>
      <c r="E16" s="217"/>
      <c r="F16" s="218"/>
    </row>
    <row r="17" spans="3:6" ht="25" customHeight="1" thickBot="1" x14ac:dyDescent="0.4">
      <c r="C17" s="215"/>
      <c r="D17" s="219" t="s">
        <v>175</v>
      </c>
      <c r="E17" s="183"/>
      <c r="F17" s="220"/>
    </row>
    <row r="18" spans="3:6" ht="15" thickBot="1" x14ac:dyDescent="0.4"/>
    <row r="19" spans="3:6" ht="19.5" customHeight="1" thickBot="1" x14ac:dyDescent="0.4">
      <c r="D19" s="211" t="s">
        <v>176</v>
      </c>
      <c r="E19" s="212"/>
      <c r="F19" s="213"/>
    </row>
    <row r="20" spans="3:6" ht="31.5" customHeight="1" thickBot="1" x14ac:dyDescent="0.4">
      <c r="D20" s="193" t="s">
        <v>177</v>
      </c>
      <c r="E20" s="195"/>
      <c r="F20" s="50" t="s">
        <v>6</v>
      </c>
    </row>
    <row r="21" spans="3:6" ht="35.5" customHeight="1" thickBot="1" x14ac:dyDescent="0.4">
      <c r="D21" s="173" t="s">
        <v>178</v>
      </c>
      <c r="E21" s="175"/>
      <c r="F21" s="50" t="s">
        <v>6</v>
      </c>
    </row>
    <row r="22" spans="3:6" ht="15" thickBot="1" x14ac:dyDescent="0.4"/>
    <row r="23" spans="3:6" ht="24" customHeight="1" thickBot="1" x14ac:dyDescent="0.4">
      <c r="D23" s="211" t="s">
        <v>179</v>
      </c>
      <c r="E23" s="212"/>
      <c r="F23" s="213"/>
    </row>
    <row r="24" spans="3:6" ht="25" customHeight="1" thickBot="1" x14ac:dyDescent="0.4">
      <c r="D24" s="106" t="s">
        <v>180</v>
      </c>
      <c r="E24" s="109" t="str">
        <f t="shared" ref="E24:E27" si="0">IF(D24&lt;&gt;"","Refer Para no from Contract clauses","")</f>
        <v>Refer Para no from Contract clauses</v>
      </c>
      <c r="F24" s="75" t="s">
        <v>181</v>
      </c>
    </row>
    <row r="25" spans="3:6" ht="25" customHeight="1" thickBot="1" x14ac:dyDescent="0.4">
      <c r="D25" s="106" t="s">
        <v>182</v>
      </c>
      <c r="E25" s="109" t="str">
        <f t="shared" si="0"/>
        <v>Refer Para no from Contract clauses</v>
      </c>
      <c r="F25" s="75" t="s">
        <v>183</v>
      </c>
    </row>
    <row r="26" spans="3:6" ht="25" customHeight="1" thickBot="1" x14ac:dyDescent="0.4">
      <c r="D26" s="106" t="s">
        <v>184</v>
      </c>
      <c r="E26" s="109" t="str">
        <f t="shared" si="0"/>
        <v>Refer Para no from Contract clauses</v>
      </c>
      <c r="F26" s="75" t="s">
        <v>185</v>
      </c>
    </row>
    <row r="27" spans="3:6" ht="25" customHeight="1" thickBot="1" x14ac:dyDescent="0.4">
      <c r="D27" s="106" t="s">
        <v>186</v>
      </c>
      <c r="E27" s="109" t="str">
        <f t="shared" si="0"/>
        <v>Refer Para no from Contract clauses</v>
      </c>
      <c r="F27" s="75" t="s">
        <v>187</v>
      </c>
    </row>
    <row r="28" spans="3:6" ht="25" customHeight="1" thickBot="1" x14ac:dyDescent="0.4">
      <c r="D28" s="106"/>
      <c r="E28" s="109" t="str">
        <f t="shared" ref="E28:E32" si="1">IF(D28&lt;&gt;"","Refer Para no from Contract clauses","")</f>
        <v/>
      </c>
      <c r="F28" s="75"/>
    </row>
    <row r="29" spans="3:6" ht="25" customHeight="1" thickBot="1" x14ac:dyDescent="0.4">
      <c r="D29" s="106"/>
      <c r="E29" s="109" t="str">
        <f t="shared" si="1"/>
        <v/>
      </c>
      <c r="F29" s="75"/>
    </row>
    <row r="30" spans="3:6" ht="25" customHeight="1" thickBot="1" x14ac:dyDescent="0.4">
      <c r="D30" s="106"/>
      <c r="E30" s="109" t="str">
        <f t="shared" si="1"/>
        <v/>
      </c>
      <c r="F30" s="75"/>
    </row>
    <row r="31" spans="3:6" ht="25" customHeight="1" thickBot="1" x14ac:dyDescent="0.4">
      <c r="D31" s="106"/>
      <c r="E31" s="109" t="str">
        <f t="shared" si="1"/>
        <v/>
      </c>
      <c r="F31" s="75"/>
    </row>
    <row r="32" spans="3:6" ht="25" customHeight="1" thickBot="1" x14ac:dyDescent="0.4">
      <c r="D32" s="106"/>
      <c r="E32" s="109" t="str">
        <f t="shared" si="1"/>
        <v/>
      </c>
      <c r="F32" s="75"/>
    </row>
    <row r="33" spans="4:6" ht="15" thickBot="1" x14ac:dyDescent="0.4"/>
    <row r="34" spans="4:6" ht="25" customHeight="1" thickBot="1" x14ac:dyDescent="0.4">
      <c r="D34" s="193" t="s">
        <v>188</v>
      </c>
      <c r="E34" s="195" t="s">
        <v>13</v>
      </c>
      <c r="F34" s="75" t="s">
        <v>6</v>
      </c>
    </row>
    <row r="35" spans="4:6" ht="25" customHeight="1" thickBot="1" x14ac:dyDescent="0.4">
      <c r="D35" s="193" t="s">
        <v>189</v>
      </c>
      <c r="E35" s="195" t="s">
        <v>13</v>
      </c>
      <c r="F35" s="75" t="s">
        <v>13</v>
      </c>
    </row>
    <row r="36" spans="4:6" ht="15" thickBot="1" x14ac:dyDescent="0.4"/>
    <row r="37" spans="4:6" ht="32.15" customHeight="1" thickBot="1" x14ac:dyDescent="0.4">
      <c r="D37" s="208" t="s">
        <v>190</v>
      </c>
      <c r="E37" s="209"/>
      <c r="F37" s="210"/>
    </row>
    <row r="38" spans="4:6" ht="83.5" customHeight="1" thickBot="1" x14ac:dyDescent="0.4">
      <c r="D38" s="205" t="s">
        <v>191</v>
      </c>
      <c r="E38" s="206"/>
      <c r="F38" s="207"/>
    </row>
    <row r="39" spans="4:6" ht="15" thickBot="1" x14ac:dyDescent="0.4">
      <c r="D39" s="51"/>
    </row>
    <row r="40" spans="4:6" ht="24" customHeight="1" thickBot="1" x14ac:dyDescent="0.4">
      <c r="D40" s="208" t="s">
        <v>192</v>
      </c>
      <c r="E40" s="209"/>
      <c r="F40" s="210"/>
    </row>
    <row r="41" spans="4:6" ht="22.5" customHeight="1" thickBot="1" x14ac:dyDescent="0.4">
      <c r="D41" s="52" t="s">
        <v>193</v>
      </c>
      <c r="E41" s="53" t="s">
        <v>194</v>
      </c>
      <c r="F41" s="54" t="s">
        <v>195</v>
      </c>
    </row>
    <row r="42" spans="4:6" ht="25" customHeight="1" thickBot="1" x14ac:dyDescent="0.4">
      <c r="D42" s="121" t="str">
        <f t="shared" ref="D42:D45" si="2">D24</f>
        <v>Service credits/ Penalty</v>
      </c>
      <c r="E42" s="47" t="s">
        <v>21</v>
      </c>
      <c r="F42" s="122" t="s">
        <v>196</v>
      </c>
    </row>
    <row r="43" spans="4:6" ht="25" customHeight="1" thickBot="1" x14ac:dyDescent="0.4">
      <c r="D43" s="121" t="str">
        <f t="shared" si="2"/>
        <v>Clawback [Earnback]</v>
      </c>
      <c r="E43" s="47" t="s">
        <v>21</v>
      </c>
      <c r="F43" s="122"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The Most-likely amount is an appropriate estimate of the amount of variable consideration as the contract has only two possible outcomes</v>
      </c>
    </row>
    <row r="44" spans="4:6" ht="25" customHeight="1" thickBot="1" x14ac:dyDescent="0.4">
      <c r="D44" s="121" t="str">
        <f t="shared" si="2"/>
        <v>Gainshare</v>
      </c>
      <c r="E44" s="47" t="s">
        <v>21</v>
      </c>
      <c r="F44" s="122" t="str">
        <f t="shared" si="3"/>
        <v>The Most-likely amount is an appropriate estimate of the amount of variable consideration as the contract has only two possible outcomes</v>
      </c>
    </row>
    <row r="45" spans="4:6" ht="24.65" customHeight="1" thickBot="1" x14ac:dyDescent="0.4">
      <c r="D45" s="121" t="str">
        <f t="shared" si="2"/>
        <v>Economic Change Adjustment - COLA</v>
      </c>
      <c r="E45" s="47" t="s">
        <v>21</v>
      </c>
      <c r="F45" s="122" t="str">
        <f t="shared" si="3"/>
        <v>The Most-likely amount is an appropriate estimate of the amount of variable consideration as the contract has only two possible outcomes</v>
      </c>
    </row>
    <row r="46" spans="4:6" ht="24.65" customHeight="1" thickBot="1" x14ac:dyDescent="0.4">
      <c r="D46" s="121">
        <f t="shared" ref="D46:D50" si="4">D28</f>
        <v>0</v>
      </c>
      <c r="E46" s="47"/>
      <c r="F46" s="122" t="str">
        <f t="shared" si="3"/>
        <v/>
      </c>
    </row>
    <row r="47" spans="4:6" ht="24.65" customHeight="1" thickBot="1" x14ac:dyDescent="0.4">
      <c r="D47" s="121">
        <f t="shared" si="4"/>
        <v>0</v>
      </c>
      <c r="E47" s="47"/>
      <c r="F47" s="122" t="str">
        <f t="shared" si="3"/>
        <v/>
      </c>
    </row>
    <row r="48" spans="4:6" ht="24.65" customHeight="1" thickBot="1" x14ac:dyDescent="0.4">
      <c r="D48" s="121">
        <f t="shared" si="4"/>
        <v>0</v>
      </c>
      <c r="E48" s="47"/>
      <c r="F48" s="122" t="str">
        <f t="shared" si="3"/>
        <v/>
      </c>
    </row>
    <row r="49" spans="4:6" ht="24.65" customHeight="1" thickBot="1" x14ac:dyDescent="0.4">
      <c r="D49" s="121">
        <f t="shared" si="4"/>
        <v>0</v>
      </c>
      <c r="E49" s="47"/>
      <c r="F49" s="122" t="str">
        <f t="shared" si="3"/>
        <v/>
      </c>
    </row>
    <row r="50" spans="4:6" ht="24.65" customHeight="1" thickBot="1" x14ac:dyDescent="0.4">
      <c r="D50" s="121">
        <f t="shared" si="4"/>
        <v>0</v>
      </c>
      <c r="E50" s="47"/>
      <c r="F50" s="122" t="str">
        <f t="shared" si="3"/>
        <v/>
      </c>
    </row>
    <row r="51" spans="4:6" ht="25" customHeight="1" thickBot="1" x14ac:dyDescent="0.4"/>
    <row r="52" spans="4:6" ht="25" customHeight="1" thickBot="1" x14ac:dyDescent="0.4">
      <c r="D52" s="208" t="s">
        <v>197</v>
      </c>
      <c r="E52" s="209"/>
      <c r="F52" s="210"/>
    </row>
    <row r="53" spans="4:6" ht="152.15" customHeight="1" thickBot="1" x14ac:dyDescent="0.4">
      <c r="D53" s="221" t="s">
        <v>198</v>
      </c>
      <c r="E53" s="222"/>
      <c r="F53" s="223"/>
    </row>
    <row r="54" spans="4:6" ht="14.5" customHeight="1" thickBot="1" x14ac:dyDescent="0.4">
      <c r="D54" s="211" t="s">
        <v>199</v>
      </c>
      <c r="E54" s="212"/>
      <c r="F54" s="213"/>
    </row>
    <row r="55" spans="4:6" ht="30" customHeight="1" thickBot="1" x14ac:dyDescent="0.4">
      <c r="D55" s="193" t="s">
        <v>200</v>
      </c>
      <c r="E55" s="195" t="s">
        <v>13</v>
      </c>
      <c r="F55" s="75" t="s">
        <v>13</v>
      </c>
    </row>
    <row r="56" spans="4:6" ht="30" customHeight="1" thickBot="1" x14ac:dyDescent="0.4">
      <c r="D56" s="193" t="s">
        <v>201</v>
      </c>
      <c r="E56" s="195" t="s">
        <v>202</v>
      </c>
      <c r="F56" s="75" t="s">
        <v>13</v>
      </c>
    </row>
    <row r="57" spans="4:6" ht="30" customHeight="1" thickBot="1" x14ac:dyDescent="0.4">
      <c r="D57" s="193" t="s">
        <v>203</v>
      </c>
      <c r="E57" s="195" t="s">
        <v>13</v>
      </c>
      <c r="F57" s="75" t="s">
        <v>13</v>
      </c>
    </row>
    <row r="58" spans="4:6" ht="30" customHeight="1" thickBot="1" x14ac:dyDescent="0.4">
      <c r="D58" s="193" t="s">
        <v>204</v>
      </c>
      <c r="E58" s="195" t="s">
        <v>202</v>
      </c>
      <c r="F58" s="75" t="s">
        <v>13</v>
      </c>
    </row>
    <row r="59" spans="4:6" ht="30" customHeight="1" thickBot="1" x14ac:dyDescent="0.4">
      <c r="D59" s="193" t="s">
        <v>205</v>
      </c>
      <c r="E59" s="195" t="s">
        <v>202</v>
      </c>
      <c r="F59" s="75" t="s">
        <v>13</v>
      </c>
    </row>
    <row r="60" spans="4:6" ht="14.5" customHeight="1" thickBot="1" x14ac:dyDescent="0.4"/>
    <row r="61" spans="4:6" ht="31" hidden="1" customHeight="1" thickBot="1" x14ac:dyDescent="0.4">
      <c r="D61" s="221" t="s">
        <v>206</v>
      </c>
      <c r="E61" s="222"/>
      <c r="F61" s="223"/>
    </row>
    <row r="62" spans="4:6" ht="68.150000000000006" hidden="1" customHeight="1" thickBot="1" x14ac:dyDescent="0.4">
      <c r="D62" s="239"/>
      <c r="E62" s="240"/>
      <c r="F62" s="241"/>
    </row>
    <row r="63" spans="4:6" ht="25" customHeight="1" thickBot="1" x14ac:dyDescent="0.4">
      <c r="D63" s="227" t="s">
        <v>207</v>
      </c>
      <c r="E63" s="228" t="s">
        <v>6</v>
      </c>
      <c r="F63" s="75" t="s">
        <v>6</v>
      </c>
    </row>
    <row r="64" spans="4:6" ht="15" customHeight="1" thickBot="1" x14ac:dyDescent="0.4">
      <c r="D64" s="79" t="s">
        <v>208</v>
      </c>
    </row>
    <row r="65" spans="4:6" ht="222" customHeight="1" thickBot="1" x14ac:dyDescent="0.4">
      <c r="D65" s="221" t="s">
        <v>209</v>
      </c>
      <c r="E65" s="222"/>
      <c r="F65" s="223"/>
    </row>
    <row r="66" spans="4:6" ht="15" customHeight="1" x14ac:dyDescent="0.35"/>
    <row r="67" spans="4:6" ht="14.5" customHeight="1" x14ac:dyDescent="0.35">
      <c r="D67" s="229" t="s">
        <v>210</v>
      </c>
      <c r="E67" s="229"/>
      <c r="F67" s="229"/>
    </row>
    <row r="68" spans="4:6" ht="14.5" customHeight="1" thickBot="1" x14ac:dyDescent="0.4"/>
    <row r="69" spans="4:6" ht="25" customHeight="1" thickBot="1" x14ac:dyDescent="0.4">
      <c r="D69" s="227" t="s">
        <v>211</v>
      </c>
      <c r="E69" s="228" t="s">
        <v>202</v>
      </c>
      <c r="F69" s="75" t="s">
        <v>13</v>
      </c>
    </row>
    <row r="71" spans="4:6" ht="14.5" hidden="1" customHeight="1" thickBot="1" x14ac:dyDescent="0.4">
      <c r="D71" s="224" t="s">
        <v>212</v>
      </c>
      <c r="E71" s="225"/>
      <c r="F71" s="226"/>
    </row>
    <row r="72" spans="4:6" ht="42.65" hidden="1" customHeight="1" thickBot="1" x14ac:dyDescent="0.4">
      <c r="D72" s="205"/>
      <c r="E72" s="206"/>
      <c r="F72" s="207"/>
    </row>
    <row r="73" spans="4:6" ht="14.5" hidden="1" customHeight="1" thickBot="1" x14ac:dyDescent="0.4"/>
    <row r="74" spans="4:6" ht="33.65" hidden="1" customHeight="1" thickBot="1" x14ac:dyDescent="0.4">
      <c r="D74" s="208" t="s">
        <v>213</v>
      </c>
      <c r="E74" s="209"/>
      <c r="F74" s="210"/>
    </row>
    <row r="75" spans="4:6" ht="38.5" hidden="1" customHeight="1" thickBot="1" x14ac:dyDescent="0.4">
      <c r="D75" s="205"/>
      <c r="E75" s="206"/>
      <c r="F75" s="207"/>
    </row>
    <row r="76" spans="4:6" ht="14.5" hidden="1" customHeight="1" thickBot="1" x14ac:dyDescent="0.4"/>
    <row r="77" spans="4:6" ht="33" hidden="1" customHeight="1" thickBot="1" x14ac:dyDescent="0.4">
      <c r="D77" s="208" t="s">
        <v>214</v>
      </c>
      <c r="E77" s="209"/>
      <c r="F77" s="210"/>
    </row>
    <row r="78" spans="4:6" ht="38.5" hidden="1" customHeight="1" thickBot="1" x14ac:dyDescent="0.4">
      <c r="D78" s="193" t="s">
        <v>215</v>
      </c>
      <c r="E78" s="195"/>
      <c r="F78" s="75"/>
    </row>
    <row r="79" spans="4:6" ht="14.5" hidden="1" customHeight="1" thickBot="1" x14ac:dyDescent="0.4"/>
    <row r="80" spans="4:6" ht="29.15" hidden="1" customHeight="1" thickBot="1" x14ac:dyDescent="0.4">
      <c r="D80" s="208" t="s">
        <v>214</v>
      </c>
      <c r="E80" s="209"/>
      <c r="F80" s="210"/>
    </row>
    <row r="81" spans="4:6" ht="30" hidden="1" customHeight="1" thickBot="1" x14ac:dyDescent="0.4">
      <c r="D81" s="205"/>
      <c r="E81" s="206"/>
      <c r="F81" s="207"/>
    </row>
    <row r="82" spans="4:6" ht="25" hidden="1" customHeight="1" x14ac:dyDescent="0.35"/>
    <row r="83" spans="4:6" ht="14.5" customHeight="1" thickBot="1" x14ac:dyDescent="0.4"/>
    <row r="84" spans="4:6" ht="14.5" customHeight="1" thickBot="1" x14ac:dyDescent="0.4">
      <c r="D84" s="224" t="s">
        <v>216</v>
      </c>
      <c r="E84" s="225"/>
      <c r="F84" s="226"/>
    </row>
    <row r="85" spans="4:6" ht="14.5" customHeight="1" thickBot="1" x14ac:dyDescent="0.4">
      <c r="D85" s="211" t="s">
        <v>217</v>
      </c>
      <c r="E85" s="212"/>
      <c r="F85" s="213"/>
    </row>
    <row r="86" spans="4:6" ht="40" customHeight="1" thickBot="1" x14ac:dyDescent="0.4">
      <c r="D86" s="205" t="s">
        <v>218</v>
      </c>
      <c r="E86" s="206"/>
      <c r="F86" s="207"/>
    </row>
    <row r="87" spans="4:6" ht="14.5" customHeight="1" thickBot="1" x14ac:dyDescent="0.4"/>
    <row r="88" spans="4:6" ht="32.5" customHeight="1" thickBot="1" x14ac:dyDescent="0.4">
      <c r="D88" s="227" t="s">
        <v>219</v>
      </c>
      <c r="E88" s="228" t="s">
        <v>13</v>
      </c>
      <c r="F88" s="75" t="s">
        <v>13</v>
      </c>
    </row>
    <row r="89" spans="4:6" ht="14.5" customHeight="1" thickBot="1" x14ac:dyDescent="0.4"/>
    <row r="90" spans="4:6" ht="14.5" hidden="1" customHeight="1" thickBot="1" x14ac:dyDescent="0.4">
      <c r="D90" s="233" t="s">
        <v>141</v>
      </c>
      <c r="E90" s="234"/>
      <c r="F90" s="235"/>
    </row>
    <row r="91" spans="4:6" ht="42" hidden="1" customHeight="1" thickBot="1" x14ac:dyDescent="0.4">
      <c r="D91" s="236" t="s">
        <v>220</v>
      </c>
      <c r="E91" s="237"/>
      <c r="F91" s="238"/>
    </row>
    <row r="92" spans="4:6" ht="15" hidden="1" customHeight="1" thickBot="1" x14ac:dyDescent="0.4">
      <c r="D92" s="230" t="s">
        <v>221</v>
      </c>
      <c r="E92" s="231"/>
      <c r="F92" s="232"/>
    </row>
    <row r="93" spans="4:6" ht="15" hidden="1" customHeight="1" thickBot="1" x14ac:dyDescent="0.4">
      <c r="D93" s="230"/>
      <c r="E93" s="231"/>
      <c r="F93" s="232"/>
    </row>
    <row r="94" spans="4:6" ht="15" hidden="1" customHeight="1" thickBot="1" x14ac:dyDescent="0.4">
      <c r="D94" s="230"/>
      <c r="E94" s="231"/>
      <c r="F94" s="232"/>
    </row>
    <row r="95" spans="4:6" ht="15" hidden="1" customHeight="1" thickBot="1" x14ac:dyDescent="0.4">
      <c r="D95" s="230"/>
      <c r="E95" s="231"/>
      <c r="F95" s="232"/>
    </row>
    <row r="96" spans="4:6" ht="14.5" hidden="1" customHeight="1" thickBot="1" x14ac:dyDescent="0.4"/>
    <row r="97" spans="4:6" ht="28.5" hidden="1" customHeight="1" thickBot="1" x14ac:dyDescent="0.4">
      <c r="D97" s="202" t="s">
        <v>222</v>
      </c>
      <c r="E97" s="204"/>
      <c r="F97" s="50" t="s">
        <v>13</v>
      </c>
    </row>
    <row r="98" spans="4:6" ht="14.5" hidden="1" customHeight="1" thickBot="1" x14ac:dyDescent="0.4"/>
    <row r="99" spans="4:6" ht="25" hidden="1" customHeight="1" thickBot="1" x14ac:dyDescent="0.4">
      <c r="D99" s="224" t="s">
        <v>223</v>
      </c>
      <c r="E99" s="225"/>
      <c r="F99" s="226"/>
    </row>
    <row r="100" spans="4:6" ht="25" hidden="1" customHeight="1" thickBot="1" x14ac:dyDescent="0.4">
      <c r="D100" s="202" t="s">
        <v>224</v>
      </c>
      <c r="E100" s="204" t="s">
        <v>20</v>
      </c>
      <c r="F100" s="50" t="s">
        <v>13</v>
      </c>
    </row>
    <row r="101" spans="4:6" ht="25" hidden="1" customHeight="1" thickBot="1" x14ac:dyDescent="0.4">
      <c r="D101" s="202" t="s">
        <v>225</v>
      </c>
      <c r="E101" s="204" t="s">
        <v>20</v>
      </c>
      <c r="F101" s="50"/>
    </row>
    <row r="102" spans="4:6" ht="14.5" hidden="1" customHeight="1" thickBot="1" x14ac:dyDescent="0.4"/>
    <row r="103" spans="4:6" ht="14.5" customHeight="1" thickBot="1" x14ac:dyDescent="0.4">
      <c r="D103" s="211" t="s">
        <v>226</v>
      </c>
      <c r="E103" s="212"/>
      <c r="F103" s="213"/>
    </row>
    <row r="104" spans="4:6" ht="65.5" customHeight="1" thickBot="1" x14ac:dyDescent="0.4">
      <c r="D104" s="205" t="s">
        <v>20</v>
      </c>
      <c r="E104" s="206"/>
      <c r="F104" s="207"/>
    </row>
    <row r="107" spans="4:6" ht="14.5" customHeight="1" thickBot="1" x14ac:dyDescent="0.4"/>
    <row r="108" spans="4:6" ht="14.5" customHeight="1" thickBot="1" x14ac:dyDescent="0.4">
      <c r="D108" s="211" t="s">
        <v>227</v>
      </c>
      <c r="E108" s="212"/>
      <c r="F108" s="213"/>
    </row>
    <row r="109" spans="4:6" ht="41.5" customHeight="1" thickBot="1" x14ac:dyDescent="0.4">
      <c r="D109" s="202" t="s">
        <v>228</v>
      </c>
      <c r="E109" s="204" t="s">
        <v>6</v>
      </c>
      <c r="F109" s="75" t="s">
        <v>6</v>
      </c>
    </row>
    <row r="110" spans="4:6" ht="14.5" customHeight="1" thickBot="1" x14ac:dyDescent="0.4"/>
    <row r="111" spans="4:6" ht="25" customHeight="1" thickBot="1" x14ac:dyDescent="0.4">
      <c r="D111" s="224" t="s">
        <v>229</v>
      </c>
      <c r="E111" s="225"/>
      <c r="F111" s="226"/>
    </row>
    <row r="112" spans="4:6" ht="25" customHeight="1" thickBot="1" x14ac:dyDescent="0.4">
      <c r="D112" s="173" t="s">
        <v>230</v>
      </c>
      <c r="E112" s="175" t="s">
        <v>13</v>
      </c>
      <c r="F112" s="75" t="s">
        <v>13</v>
      </c>
    </row>
    <row r="113" spans="4:6" ht="25" customHeight="1" thickBot="1" x14ac:dyDescent="0.4">
      <c r="D113" s="173" t="s">
        <v>231</v>
      </c>
      <c r="E113" s="175" t="s">
        <v>202</v>
      </c>
      <c r="F113" s="75" t="s">
        <v>13</v>
      </c>
    </row>
    <row r="114" spans="4:6" ht="25" customHeight="1" thickBot="1" x14ac:dyDescent="0.4">
      <c r="D114" s="173" t="s">
        <v>232</v>
      </c>
      <c r="E114" s="175" t="s">
        <v>233</v>
      </c>
      <c r="F114" s="75" t="s">
        <v>13</v>
      </c>
    </row>
    <row r="115" spans="4:6" ht="14.5" customHeight="1" thickBot="1" x14ac:dyDescent="0.4"/>
    <row r="116" spans="4:6" ht="14.5" customHeight="1" thickBot="1" x14ac:dyDescent="0.4">
      <c r="D116" s="211" t="s">
        <v>234</v>
      </c>
      <c r="E116" s="212"/>
      <c r="F116" s="213"/>
    </row>
    <row r="117" spans="4:6" ht="54.65" customHeight="1" thickBot="1" x14ac:dyDescent="0.4">
      <c r="D117" s="205" t="s">
        <v>235</v>
      </c>
      <c r="E117" s="206"/>
      <c r="F117" s="207"/>
    </row>
    <row r="118" spans="4:6" ht="14.5" customHeight="1" thickBot="1" x14ac:dyDescent="0.4"/>
    <row r="119" spans="4:6" ht="26.5" customHeight="1" thickBot="1" x14ac:dyDescent="0.4">
      <c r="D119" s="202" t="s">
        <v>236</v>
      </c>
      <c r="E119" s="204"/>
      <c r="F119" s="75" t="s">
        <v>13</v>
      </c>
    </row>
  </sheetData>
  <sheetProtection algorithmName="SHA-512" hashValue="U4gLlQxE+DupRr459sAgRdB3ftsJyMEYBFZXLv0cgdp1ZObCEd1qmtPuQTYPDlT0jXow9QF0HOB8MfrM/LM89A==" saltValue="GdymwuiYpbwLl0Yk10APEg==" spinCount="100000" sheet="1" objects="1" scenarios="1" selectLockedCells="1"/>
  <mergeCells count="72">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 ref="D104:F104"/>
    <mergeCell ref="D108:F108"/>
    <mergeCell ref="D71:F71"/>
    <mergeCell ref="D72:F72"/>
    <mergeCell ref="D74:F74"/>
    <mergeCell ref="D75:F75"/>
    <mergeCell ref="D77:F77"/>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55:E55"/>
    <mergeCell ref="D56:E56"/>
    <mergeCell ref="D57:E57"/>
    <mergeCell ref="D58:E58"/>
    <mergeCell ref="D59:E59"/>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C10:C11"/>
    <mergeCell ref="C12:C13"/>
    <mergeCell ref="C14:C15"/>
    <mergeCell ref="C16:C17"/>
    <mergeCell ref="D10:F10"/>
    <mergeCell ref="D11:F11"/>
    <mergeCell ref="D12:F12"/>
    <mergeCell ref="D38:F38"/>
    <mergeCell ref="D40:F40"/>
    <mergeCell ref="D23:F23"/>
    <mergeCell ref="D34:E34"/>
    <mergeCell ref="D35:E35"/>
  </mergeCells>
  <conditionalFormatting sqref="F20:F21 F34:F35 D38:F38 F55:F59 F63 D65:F65 F69 F88 D104:F104 F109 F112:F114 D117:F117 F119 D42:F50 D24:F32">
    <cfRule type="cellIs" dxfId="8"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Mapping!$A$2:$A$4</xm:f>
          </x14:formula1>
          <xm:sqref>F69 F97 F106 F78 F100:F101 F112:F114 F65 F63</xm:sqref>
        </x14:dataValidation>
        <x14:dataValidation type="list" allowBlank="1" showInputMessage="1" showErrorMessage="1" xr:uid="{00000000-0002-0000-0500-000002000000}">
          <x14:formula1>
            <xm:f>Mapping!$F$2:$F$3</xm:f>
          </x14:formula1>
          <xm:sqref>E51</xm:sqref>
        </x14:dataValidation>
        <x14:dataValidation type="list" allowBlank="1" showInputMessage="1" showErrorMessage="1" xr:uid="{5516D3AE-AEC2-4733-A920-9B03A0B1DEF9}">
          <x14:formula1>
            <xm:f>Mapping!$F$2:$F$4</xm:f>
          </x14:formula1>
          <xm:sqref>E42:E50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topLeftCell="A23" zoomScale="85" zoomScaleNormal="85" workbookViewId="0">
      <selection activeCell="D23" sqref="D23:F23"/>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45" t="s">
        <v>237</v>
      </c>
      <c r="E7" s="246"/>
      <c r="F7" s="247"/>
    </row>
    <row r="8" spans="4:6" ht="25" customHeight="1" thickBot="1" x14ac:dyDescent="0.4">
      <c r="D8" s="242" t="s">
        <v>238</v>
      </c>
      <c r="E8" s="243"/>
      <c r="F8" s="244"/>
    </row>
    <row r="9" spans="4:6" ht="25" customHeight="1" thickBot="1" x14ac:dyDescent="0.4">
      <c r="D9" s="205" t="s">
        <v>239</v>
      </c>
      <c r="E9" s="206"/>
      <c r="F9" s="207"/>
    </row>
    <row r="10" spans="4:6" x14ac:dyDescent="0.35">
      <c r="D10" s="19"/>
      <c r="E10" s="19"/>
      <c r="F10" s="19"/>
    </row>
    <row r="11" spans="4:6" x14ac:dyDescent="0.35">
      <c r="D11" s="19" t="s">
        <v>240</v>
      </c>
      <c r="E11" s="19"/>
      <c r="F11" s="19"/>
    </row>
    <row r="12" spans="4:6" ht="14.5" customHeight="1" x14ac:dyDescent="0.35">
      <c r="D12" s="19" t="s">
        <v>241</v>
      </c>
      <c r="E12" s="19"/>
      <c r="F12" s="19"/>
    </row>
    <row r="13" spans="4:6" ht="14.5" customHeight="1" thickBot="1" x14ac:dyDescent="0.4">
      <c r="D13" s="19" t="s">
        <v>242</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52" t="s">
        <v>237</v>
      </c>
      <c r="E20" s="19"/>
      <c r="F20" s="19"/>
    </row>
    <row r="21" spans="4:8" ht="20.149999999999999" customHeight="1" thickBot="1" x14ac:dyDescent="0.4">
      <c r="D21" s="253"/>
      <c r="E21" s="174">
        <f>IF('Step 2'!H23="","",IF('Step 2'!H23&lt;&gt;"",COUNTIF('Step 2'!$G$23:$G$26,"Yes"),1))</f>
        <v>1</v>
      </c>
      <c r="F21" s="175"/>
    </row>
    <row r="22" spans="4:8" ht="27.65" customHeight="1" thickBot="1" x14ac:dyDescent="0.4">
      <c r="D22" s="69" t="s">
        <v>243</v>
      </c>
      <c r="E22" s="250" t="s">
        <v>13</v>
      </c>
      <c r="F22" s="251"/>
    </row>
    <row r="23" spans="4:8" ht="57.65" customHeight="1" thickBot="1" x14ac:dyDescent="0.4">
      <c r="D23" s="205" t="s">
        <v>244</v>
      </c>
      <c r="E23" s="243"/>
      <c r="F23" s="244"/>
    </row>
    <row r="24" spans="4:8" ht="28.5" hidden="1" customHeight="1" x14ac:dyDescent="0.35">
      <c r="D24" s="70"/>
      <c r="E24" s="70"/>
      <c r="F24" s="70"/>
    </row>
    <row r="25" spans="4:8" ht="28.5" hidden="1" customHeight="1" thickBot="1" x14ac:dyDescent="0.4">
      <c r="D25" s="254" t="s">
        <v>245</v>
      </c>
      <c r="E25" s="255"/>
      <c r="F25" s="255"/>
      <c r="G25" s="255"/>
      <c r="H25" s="256"/>
    </row>
    <row r="26" spans="4:8" ht="28.5" hidden="1" customHeight="1" thickBot="1" x14ac:dyDescent="0.4">
      <c r="D26" s="71" t="s">
        <v>246</v>
      </c>
      <c r="E26" s="71" t="s">
        <v>247</v>
      </c>
      <c r="F26" s="71" t="s">
        <v>248</v>
      </c>
      <c r="G26" s="71" t="s">
        <v>249</v>
      </c>
      <c r="H26" s="71" t="s">
        <v>250</v>
      </c>
    </row>
    <row r="27" spans="4:8" ht="28.5" hidden="1" customHeight="1" thickBot="1" x14ac:dyDescent="0.4">
      <c r="D27" s="74" t="str">
        <f>IFERROR(IF('Step 2'!G23="Yes",'Step 2'!D23,""),"")</f>
        <v xml:space="preserve">General requirement for PTP, OTC, CAPEX &amp; RTR
- General Accounting
- Revenue Integration
- Accounts Payable
- Accounts Receivable
- Inquires &amp; Disputes (A/P and A/R)
- CAPP invoice processing
</v>
      </c>
      <c r="E27" s="110"/>
      <c r="F27" s="110"/>
      <c r="G27" s="110"/>
      <c r="H27" s="110"/>
    </row>
    <row r="28" spans="4:8" ht="28.5" hidden="1" customHeight="1" thickBot="1" x14ac:dyDescent="0.4">
      <c r="D28" s="74" t="str">
        <f>IFERROR(IF('Step 2'!G24="Yes",'Step 2'!D24,""),"")</f>
        <v/>
      </c>
      <c r="E28" s="110"/>
      <c r="F28" s="110"/>
      <c r="G28" s="110"/>
      <c r="H28" s="110"/>
    </row>
    <row r="29" spans="4:8" ht="28.5" hidden="1" customHeight="1" thickBot="1" x14ac:dyDescent="0.4">
      <c r="D29" s="74" t="str">
        <f>IFERROR(IF('Step 2'!G25="Yes",'Step 2'!D25,""),"")</f>
        <v/>
      </c>
      <c r="E29" s="110"/>
      <c r="F29" s="110"/>
      <c r="G29" s="110"/>
      <c r="H29" s="110"/>
    </row>
    <row r="30" spans="4:8" ht="28.5" customHeight="1" x14ac:dyDescent="0.35">
      <c r="D30" s="70"/>
      <c r="E30" s="70"/>
      <c r="F30" s="70"/>
    </row>
    <row r="31" spans="4:8" ht="28.5" hidden="1" customHeight="1" x14ac:dyDescent="0.35">
      <c r="D31" s="70"/>
      <c r="E31" s="70"/>
      <c r="F31" s="70"/>
    </row>
    <row r="32" spans="4:8" ht="28.5" hidden="1" customHeight="1" x14ac:dyDescent="0.35">
      <c r="D32" s="70"/>
      <c r="E32" s="70"/>
      <c r="F32" s="70"/>
    </row>
    <row r="33" spans="4:6" ht="28.5" hidden="1" customHeight="1" x14ac:dyDescent="0.35">
      <c r="D33" s="70"/>
      <c r="E33" s="70"/>
      <c r="F33" s="70"/>
    </row>
    <row r="34" spans="4:6" ht="28.5" hidden="1" customHeight="1" x14ac:dyDescent="0.35">
      <c r="D34" s="70"/>
      <c r="E34" s="70"/>
      <c r="F34" s="70"/>
    </row>
    <row r="35" spans="4:6" ht="13.75" customHeight="1" x14ac:dyDescent="0.35">
      <c r="D35" s="19"/>
      <c r="E35" s="70"/>
      <c r="F35" s="70"/>
    </row>
    <row r="36" spans="4:6" ht="13.75" customHeight="1" thickBot="1" x14ac:dyDescent="0.4">
      <c r="E36" s="19"/>
      <c r="F36" s="19"/>
    </row>
    <row r="37" spans="4:6" ht="13.75" customHeight="1" thickBot="1" x14ac:dyDescent="0.4">
      <c r="D37" s="245" t="s">
        <v>251</v>
      </c>
      <c r="E37" s="246"/>
      <c r="F37" s="247"/>
    </row>
    <row r="38" spans="4:6" ht="36" customHeight="1" thickBot="1" x14ac:dyDescent="0.4">
      <c r="D38" s="71" t="s">
        <v>252</v>
      </c>
      <c r="E38" s="248" t="s">
        <v>13</v>
      </c>
      <c r="F38" s="249"/>
    </row>
    <row r="39" spans="4:6" ht="48" customHeight="1" thickBot="1" x14ac:dyDescent="0.4">
      <c r="D39" s="242" t="s">
        <v>253</v>
      </c>
      <c r="E39" s="243"/>
      <c r="F39" s="244"/>
    </row>
    <row r="40" spans="4:6" ht="13.75" customHeight="1" x14ac:dyDescent="0.35"/>
    <row r="41" spans="4:6" x14ac:dyDescent="0.35"/>
    <row r="42" spans="4:6" x14ac:dyDescent="0.35"/>
    <row r="43" spans="4:6" x14ac:dyDescent="0.35"/>
    <row r="44" spans="4:6" x14ac:dyDescent="0.35"/>
  </sheetData>
  <sheetProtection algorithmName="SHA-512" hashValue="B1iOJcU+OFo33cwkYJ+W4GJivU8d4TrUGeZjdcqF+mIKt5nyifIz8hhp+CoJVBJfg4VO+9P/J1blM1+uhp1J8g==" saltValue="88vMmS3o3Samc0oRfjfFtQ==" spinCount="100000" sheet="1" objects="1" scenarios="1"/>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7"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Mapping!$K$2:$K$5</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topLeftCell="A37" zoomScale="85" zoomScaleNormal="85" workbookViewId="0">
      <selection activeCell="D34" sqref="D34"/>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65" t="s">
        <v>254</v>
      </c>
      <c r="E7" s="266"/>
      <c r="F7" s="266"/>
      <c r="G7" s="266"/>
      <c r="H7" s="267"/>
    </row>
    <row r="8" spans="4:8" ht="39" customHeight="1" thickBot="1" x14ac:dyDescent="0.4">
      <c r="D8" s="262" t="s">
        <v>255</v>
      </c>
      <c r="E8" s="263"/>
      <c r="F8" s="263"/>
      <c r="G8" s="263"/>
      <c r="H8" s="264"/>
    </row>
    <row r="9" spans="4:8" ht="15" thickBot="1" x14ac:dyDescent="0.4">
      <c r="D9" s="265" t="s">
        <v>256</v>
      </c>
      <c r="E9" s="266"/>
      <c r="F9" s="266"/>
      <c r="G9" s="266"/>
      <c r="H9" s="267"/>
    </row>
    <row r="10" spans="4:8" ht="33.65" customHeight="1" thickBot="1" x14ac:dyDescent="0.4">
      <c r="D10" s="265" t="s">
        <v>257</v>
      </c>
      <c r="E10" s="266"/>
      <c r="F10" s="266"/>
      <c r="G10" s="266"/>
      <c r="H10" s="267"/>
    </row>
    <row r="11" spans="4:8" ht="30" customHeight="1" thickBot="1" x14ac:dyDescent="0.4">
      <c r="D11" s="40" t="s">
        <v>258</v>
      </c>
      <c r="E11" s="262" t="s">
        <v>259</v>
      </c>
      <c r="F11" s="263"/>
      <c r="G11" s="263"/>
      <c r="H11" s="264"/>
    </row>
    <row r="12" spans="4:8" ht="30" customHeight="1" thickBot="1" x14ac:dyDescent="0.4">
      <c r="D12" s="40" t="s">
        <v>260</v>
      </c>
      <c r="E12" s="260" t="s">
        <v>261</v>
      </c>
      <c r="F12" s="260"/>
      <c r="G12" s="260"/>
      <c r="H12" s="261"/>
    </row>
    <row r="13" spans="4:8" ht="30" customHeight="1" thickBot="1" x14ac:dyDescent="0.4">
      <c r="D13" s="40" t="s">
        <v>262</v>
      </c>
      <c r="E13" s="263" t="s">
        <v>263</v>
      </c>
      <c r="F13" s="263"/>
      <c r="G13" s="263"/>
      <c r="H13" s="264"/>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38" t="s">
        <v>264</v>
      </c>
      <c r="E16" s="40" t="s">
        <v>143</v>
      </c>
      <c r="F16" s="40" t="s">
        <v>151</v>
      </c>
      <c r="G16" s="40" t="s">
        <v>265</v>
      </c>
      <c r="H16" s="40" t="s">
        <v>153</v>
      </c>
    </row>
    <row r="17" spans="4:9" ht="100.5" customHeight="1" thickBot="1" x14ac:dyDescent="0.4">
      <c r="D17" s="143" t="s">
        <v>154</v>
      </c>
      <c r="E17" s="39" t="s">
        <v>6</v>
      </c>
      <c r="F17" s="39" t="s">
        <v>20</v>
      </c>
      <c r="G17" s="39" t="s">
        <v>20</v>
      </c>
      <c r="H17" s="123"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39"/>
      <c r="E18" s="39"/>
      <c r="F18" s="39"/>
      <c r="G18" s="39"/>
      <c r="H18" s="123" t="str">
        <f t="shared" ref="H18:H20" si="0">IF(COUNTA(E18:G18)&gt;=3,IF(OR(E18="Yes",F18="Yes",G18="Yes")=TRUE,"Performance obligation is satisfied over time",IF(COUNTA(E18:G18)=0,"","Performance obligation is satisfied at a point in time.")),"")</f>
        <v/>
      </c>
    </row>
    <row r="19" spans="4:9" ht="50.15" customHeight="1" thickBot="1" x14ac:dyDescent="0.4">
      <c r="D19" s="39"/>
      <c r="F19" s="39"/>
      <c r="G19" s="39"/>
      <c r="H19" s="123" t="str">
        <f t="shared" si="0"/>
        <v/>
      </c>
    </row>
    <row r="20" spans="4:9" ht="50.15" customHeight="1" thickBot="1" x14ac:dyDescent="0.4">
      <c r="D20" s="39"/>
      <c r="E20" s="39"/>
      <c r="F20" s="39"/>
      <c r="G20" s="39"/>
      <c r="H20" s="123" t="str">
        <f t="shared" si="0"/>
        <v/>
      </c>
    </row>
    <row r="21" spans="4:9" ht="20.149999999999999" customHeight="1" thickBot="1" x14ac:dyDescent="0.4">
      <c r="D21" s="27"/>
      <c r="E21" s="25"/>
      <c r="F21" s="25"/>
      <c r="G21" s="25"/>
      <c r="H21" s="26"/>
    </row>
    <row r="22" spans="4:9" ht="33.65" customHeight="1" thickBot="1" x14ac:dyDescent="0.4">
      <c r="D22" s="268" t="s">
        <v>266</v>
      </c>
      <c r="E22" s="269"/>
      <c r="F22" s="269"/>
      <c r="G22" s="269"/>
      <c r="H22" s="270"/>
      <c r="I22" s="94" t="str">
        <f>IF(COUNTIF($E$17:$G$20,"Yes")&gt;0,"Yes","")</f>
        <v>Yes</v>
      </c>
    </row>
    <row r="23" spans="4:9" ht="20.149999999999999" customHeight="1" thickBot="1" x14ac:dyDescent="0.4"/>
    <row r="24" spans="4:9" ht="37" customHeight="1" thickBot="1" x14ac:dyDescent="0.4">
      <c r="D24" s="268" t="s">
        <v>267</v>
      </c>
      <c r="E24" s="269"/>
      <c r="F24" s="269"/>
      <c r="G24" s="269"/>
      <c r="H24" s="270"/>
      <c r="I24" s="94" t="s">
        <v>20</v>
      </c>
    </row>
    <row r="25" spans="4:9" ht="20.149999999999999" customHeight="1" thickBot="1" x14ac:dyDescent="0.4">
      <c r="D25" s="19"/>
      <c r="E25" s="19"/>
      <c r="F25" s="19"/>
      <c r="G25" s="19"/>
      <c r="H25" s="19"/>
    </row>
    <row r="26" spans="4:9" ht="25" customHeight="1" thickBot="1" x14ac:dyDescent="0.4">
      <c r="D26" s="265" t="s">
        <v>268</v>
      </c>
      <c r="E26" s="266"/>
      <c r="F26" s="266"/>
      <c r="G26" s="266"/>
      <c r="H26" s="267"/>
    </row>
    <row r="27" spans="4:9" ht="25" customHeight="1" thickBot="1" x14ac:dyDescent="0.4">
      <c r="D27" s="265" t="s">
        <v>269</v>
      </c>
      <c r="E27" s="266"/>
      <c r="F27" s="266"/>
      <c r="G27" s="266"/>
      <c r="H27" s="267"/>
    </row>
    <row r="28" spans="4:9" ht="25" customHeight="1" thickBot="1" x14ac:dyDescent="0.4">
      <c r="D28" s="257" t="s">
        <v>270</v>
      </c>
      <c r="E28" s="258"/>
      <c r="F28" s="258"/>
      <c r="G28" s="258"/>
      <c r="H28" s="259"/>
    </row>
    <row r="29" spans="4:9" ht="30" customHeight="1" thickBot="1" x14ac:dyDescent="0.4">
      <c r="D29" s="40" t="s">
        <v>271</v>
      </c>
      <c r="E29" s="260" t="s">
        <v>272</v>
      </c>
      <c r="F29" s="260"/>
      <c r="G29" s="260"/>
      <c r="H29" s="261"/>
    </row>
    <row r="30" spans="4:9" ht="30" customHeight="1" thickBot="1" x14ac:dyDescent="0.4">
      <c r="D30" s="40" t="s">
        <v>273</v>
      </c>
      <c r="E30" s="262" t="s">
        <v>274</v>
      </c>
      <c r="F30" s="263"/>
      <c r="G30" s="263"/>
      <c r="H30" s="264"/>
    </row>
    <row r="31" spans="4:9" x14ac:dyDescent="0.35">
      <c r="D31" s="19"/>
      <c r="E31" s="19"/>
      <c r="F31" s="19"/>
      <c r="G31" s="19"/>
      <c r="H31" s="19"/>
    </row>
    <row r="32" spans="4:9" ht="15" thickBot="1" x14ac:dyDescent="0.4">
      <c r="D32" s="19"/>
      <c r="E32" s="19"/>
      <c r="F32" s="19"/>
      <c r="G32" s="19"/>
      <c r="H32" s="19"/>
    </row>
    <row r="33" spans="4:8" ht="15" thickBot="1" x14ac:dyDescent="0.4">
      <c r="D33" s="40" t="s">
        <v>275</v>
      </c>
      <c r="E33" s="40" t="s">
        <v>276</v>
      </c>
      <c r="F33" s="274" t="s">
        <v>98</v>
      </c>
      <c r="G33" s="275"/>
      <c r="H33" s="276"/>
    </row>
    <row r="34" spans="4:8" s="93" customFormat="1" ht="122.5" customHeight="1" thickBot="1" x14ac:dyDescent="0.4">
      <c r="D34" s="130" t="s">
        <v>154</v>
      </c>
      <c r="E34" s="131" t="s">
        <v>21</v>
      </c>
      <c r="F34" s="271" t="s">
        <v>277</v>
      </c>
      <c r="G34" s="272"/>
      <c r="H34" s="273"/>
    </row>
    <row r="35" spans="4:8" ht="50.15" customHeight="1" thickBot="1" x14ac:dyDescent="0.4">
      <c r="D35" s="130"/>
      <c r="E35" s="130"/>
      <c r="F35" s="262"/>
      <c r="G35" s="263"/>
      <c r="H35" s="264"/>
    </row>
    <row r="36" spans="4:8" ht="50.15" customHeight="1" thickBot="1" x14ac:dyDescent="0.4">
      <c r="D36" s="130"/>
      <c r="E36" s="130"/>
      <c r="F36" s="262"/>
      <c r="G36" s="263"/>
      <c r="H36" s="264"/>
    </row>
    <row r="37" spans="4:8" ht="50.15" customHeight="1" thickBot="1" x14ac:dyDescent="0.4">
      <c r="D37" s="130"/>
      <c r="E37" s="130"/>
      <c r="F37" s="262"/>
      <c r="G37" s="263"/>
      <c r="H37" s="264"/>
    </row>
    <row r="38" spans="4:8" ht="50.15" customHeight="1" thickBot="1" x14ac:dyDescent="0.4">
      <c r="D38" s="130"/>
      <c r="E38" s="130"/>
      <c r="F38" s="262"/>
      <c r="G38" s="263"/>
      <c r="H38" s="264"/>
    </row>
    <row r="39" spans="4:8" ht="13.5" customHeight="1" x14ac:dyDescent="0.35">
      <c r="D39" s="24"/>
      <c r="E39" s="24"/>
      <c r="F39" s="24"/>
      <c r="G39" s="19"/>
      <c r="H39" s="19"/>
    </row>
    <row r="40" spans="4:8" ht="15" thickBot="1" x14ac:dyDescent="0.4">
      <c r="D40" s="22"/>
      <c r="E40" s="41"/>
      <c r="F40" s="19"/>
      <c r="G40" s="19"/>
      <c r="H40" s="19"/>
    </row>
    <row r="41" spans="4:8" ht="20.5" customHeight="1" thickBot="1" x14ac:dyDescent="0.4">
      <c r="D41" s="257" t="s">
        <v>278</v>
      </c>
      <c r="E41" s="258"/>
      <c r="F41" s="258"/>
      <c r="G41" s="258"/>
      <c r="H41" s="259"/>
    </row>
    <row r="42" spans="4:8" ht="60.65" customHeight="1" thickBot="1" x14ac:dyDescent="0.4">
      <c r="D42" s="271" t="s">
        <v>279</v>
      </c>
      <c r="E42" s="272"/>
      <c r="F42" s="272"/>
      <c r="G42" s="272"/>
      <c r="H42" s="273"/>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algorithmName="SHA-512" hashValue="XsOd2D8xCPNQVmI4duG/uQ4lg51LvuYSASjmIBgdIA8N9pIkD+wo57NQFRIf13J0yGwC8l5BrqB134Am8cfVWw==" saltValue="NPY3HsHuZvIHsyG1eesdBQ==" spinCount="100000" sheet="1" objects="1" scenarios="1" selectLockedCells="1"/>
  <mergeCells count="22">
    <mergeCell ref="F38:H38"/>
    <mergeCell ref="D41:H41"/>
    <mergeCell ref="D42:H42"/>
    <mergeCell ref="F34:H34"/>
    <mergeCell ref="F33:H33"/>
    <mergeCell ref="F35:H35"/>
    <mergeCell ref="F36:H36"/>
    <mergeCell ref="F37:H37"/>
    <mergeCell ref="D7:H7"/>
    <mergeCell ref="D8:H8"/>
    <mergeCell ref="D9:H9"/>
    <mergeCell ref="D10:H10"/>
    <mergeCell ref="E11:H11"/>
    <mergeCell ref="D28:H28"/>
    <mergeCell ref="E29:H29"/>
    <mergeCell ref="E30:H30"/>
    <mergeCell ref="E12:H12"/>
    <mergeCell ref="E13:H13"/>
    <mergeCell ref="D26:H26"/>
    <mergeCell ref="D27:H27"/>
    <mergeCell ref="D22:H22"/>
    <mergeCell ref="D24:H24"/>
  </mergeCells>
  <conditionalFormatting sqref="D17:H20 I22 I24 D34:H38">
    <cfRule type="cellIs" dxfId="6"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Mapping!$B$2:$B$4</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zoomScale="101" zoomScaleNormal="85" workbookViewId="0">
      <selection activeCell="D8" sqref="D8:F8"/>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79" t="s">
        <v>280</v>
      </c>
      <c r="E8" s="280"/>
      <c r="F8" s="281"/>
    </row>
    <row r="9" spans="4:6" hidden="1" x14ac:dyDescent="0.35">
      <c r="D9" s="100"/>
      <c r="E9" s="42"/>
      <c r="F9" s="42"/>
    </row>
    <row r="10" spans="4:6" hidden="1" x14ac:dyDescent="0.35">
      <c r="D10" s="101"/>
      <c r="E10" s="42"/>
      <c r="F10" s="42"/>
    </row>
    <row r="11" spans="4:6" ht="57" hidden="1" customHeight="1" thickBot="1" x14ac:dyDescent="0.4">
      <c r="D11" s="173"/>
      <c r="E11" s="174"/>
      <c r="F11" s="111"/>
    </row>
    <row r="12" spans="4:6" ht="15" hidden="1" thickBot="1" x14ac:dyDescent="0.4">
      <c r="D12" s="34"/>
      <c r="E12" s="42"/>
      <c r="F12" s="42"/>
    </row>
    <row r="13" spans="4:6" ht="20.25" hidden="1" customHeight="1" thickBot="1" x14ac:dyDescent="0.4">
      <c r="D13" s="236"/>
      <c r="E13" s="237"/>
      <c r="F13" s="238"/>
    </row>
    <row r="14" spans="4:6" ht="60" hidden="1" customHeight="1" thickBot="1" x14ac:dyDescent="0.4">
      <c r="D14" s="182"/>
      <c r="E14" s="183"/>
      <c r="F14" s="184"/>
    </row>
    <row r="15" spans="4:6" ht="13.75" hidden="1" customHeight="1" thickBot="1" x14ac:dyDescent="0.4">
      <c r="D15" s="34"/>
      <c r="E15" s="42"/>
      <c r="F15" s="42"/>
    </row>
    <row r="16" spans="4:6" ht="39" hidden="1" customHeight="1" thickBot="1" x14ac:dyDescent="0.4">
      <c r="D16" s="277"/>
      <c r="E16" s="278"/>
      <c r="F16" s="112"/>
    </row>
    <row r="17" spans="4:6" ht="13.75" hidden="1" customHeight="1" thickBot="1" x14ac:dyDescent="0.4">
      <c r="D17" s="236"/>
      <c r="E17" s="237"/>
      <c r="F17" s="238"/>
    </row>
    <row r="18" spans="4:6" ht="61" hidden="1" customHeight="1" thickBot="1" x14ac:dyDescent="0.4">
      <c r="D18" s="282"/>
      <c r="E18" s="283"/>
      <c r="F18" s="284"/>
    </row>
    <row r="19" spans="4:6" ht="13.75" hidden="1" customHeight="1" x14ac:dyDescent="0.35">
      <c r="D19" s="100"/>
      <c r="E19" s="42"/>
      <c r="F19" s="42"/>
    </row>
    <row r="20" spans="4:6" ht="13.75" customHeight="1" x14ac:dyDescent="0.35">
      <c r="D20" s="101" t="s">
        <v>281</v>
      </c>
      <c r="E20" s="42"/>
      <c r="F20" s="42"/>
    </row>
    <row r="21" spans="4:6" ht="13.75" customHeight="1" thickBot="1" x14ac:dyDescent="0.4">
      <c r="D21" s="101"/>
      <c r="E21" s="42"/>
      <c r="F21" s="42"/>
    </row>
    <row r="22" spans="4:6" ht="45.65" customHeight="1" thickBot="1" x14ac:dyDescent="0.4">
      <c r="D22" s="236" t="s">
        <v>282</v>
      </c>
      <c r="E22" s="237" t="s">
        <v>6</v>
      </c>
      <c r="F22" s="111" t="s">
        <v>6</v>
      </c>
    </row>
    <row r="23" spans="4:6" ht="13.75" customHeight="1" thickBot="1" x14ac:dyDescent="0.4">
      <c r="D23" s="34"/>
      <c r="E23" s="42"/>
      <c r="F23" s="42"/>
    </row>
    <row r="24" spans="4:6" ht="47.5" customHeight="1" thickBot="1" x14ac:dyDescent="0.4">
      <c r="D24" s="236" t="s">
        <v>283</v>
      </c>
      <c r="E24" s="237"/>
      <c r="F24" s="238"/>
    </row>
    <row r="25" spans="4:6" ht="13.75" customHeight="1" thickBot="1" x14ac:dyDescent="0.4">
      <c r="D25" s="288" t="s">
        <v>284</v>
      </c>
      <c r="E25" s="289"/>
      <c r="F25" s="290"/>
    </row>
    <row r="26" spans="4:6" ht="15" thickBot="1" x14ac:dyDescent="0.4">
      <c r="D26" s="34"/>
      <c r="E26" s="42"/>
      <c r="F26" s="42"/>
    </row>
    <row r="27" spans="4:6" ht="45" customHeight="1" thickBot="1" x14ac:dyDescent="0.4">
      <c r="D27" s="35" t="s">
        <v>285</v>
      </c>
      <c r="E27" s="50" t="s">
        <v>286</v>
      </c>
      <c r="F27" s="75" t="s">
        <v>6</v>
      </c>
    </row>
    <row r="28" spans="4:6" ht="45" customHeight="1" thickBot="1" x14ac:dyDescent="0.4">
      <c r="D28" s="36" t="s">
        <v>287</v>
      </c>
      <c r="E28" s="37" t="s">
        <v>288</v>
      </c>
      <c r="F28" s="75" t="s">
        <v>6</v>
      </c>
    </row>
    <row r="29" spans="4:6" ht="45" customHeight="1" thickBot="1" x14ac:dyDescent="0.4">
      <c r="D29" s="36" t="s">
        <v>289</v>
      </c>
      <c r="E29" s="37" t="s">
        <v>290</v>
      </c>
      <c r="F29" s="75" t="s">
        <v>6</v>
      </c>
    </row>
    <row r="30" spans="4:6" ht="15" thickBot="1" x14ac:dyDescent="0.4">
      <c r="D30" s="34"/>
      <c r="E30" s="42"/>
      <c r="F30" s="42"/>
    </row>
    <row r="31" spans="4:6" ht="15" thickBot="1" x14ac:dyDescent="0.4">
      <c r="D31" s="236" t="s">
        <v>125</v>
      </c>
      <c r="E31" s="237"/>
      <c r="F31" s="238"/>
    </row>
    <row r="32" spans="4:6" ht="104.15" customHeight="1" thickBot="1" x14ac:dyDescent="0.4">
      <c r="D32" s="291" t="s">
        <v>291</v>
      </c>
      <c r="E32" s="292"/>
      <c r="F32" s="293"/>
    </row>
    <row r="33" spans="4:6" ht="15" thickBot="1" x14ac:dyDescent="0.4">
      <c r="D33" s="34"/>
      <c r="E33" s="42"/>
      <c r="F33" s="42"/>
    </row>
    <row r="34" spans="4:6" ht="25" customHeight="1" thickBot="1" x14ac:dyDescent="0.4">
      <c r="D34" s="236" t="s">
        <v>292</v>
      </c>
      <c r="E34" s="237"/>
      <c r="F34" s="238"/>
    </row>
    <row r="35" spans="4:6" ht="57" customHeight="1" thickBot="1" x14ac:dyDescent="0.4">
      <c r="D35" s="285" t="s">
        <v>293</v>
      </c>
      <c r="E35" s="286"/>
      <c r="F35" s="287"/>
    </row>
    <row r="36" spans="4:6" ht="15" thickBot="1" x14ac:dyDescent="0.4">
      <c r="D36" s="102"/>
      <c r="E36" s="42"/>
      <c r="F36" s="42"/>
    </row>
    <row r="37" spans="4:6" ht="30" customHeight="1" thickBot="1" x14ac:dyDescent="0.4">
      <c r="D37" s="294" t="s">
        <v>294</v>
      </c>
      <c r="E37" s="295"/>
      <c r="F37" s="296"/>
    </row>
    <row r="38" spans="4:6" ht="30" customHeight="1" thickBot="1" x14ac:dyDescent="0.4">
      <c r="D38" s="100"/>
      <c r="E38" s="42"/>
      <c r="F38" s="42"/>
    </row>
    <row r="39" spans="4:6" ht="44.15" customHeight="1" thickBot="1" x14ac:dyDescent="0.4">
      <c r="D39" s="297" t="s">
        <v>295</v>
      </c>
      <c r="E39" s="298"/>
      <c r="F39" s="107" t="s">
        <v>6</v>
      </c>
    </row>
    <row r="40" spans="4:6" ht="25" customHeight="1" thickBot="1" x14ac:dyDescent="0.4">
      <c r="D40" s="182" t="s">
        <v>296</v>
      </c>
      <c r="E40" s="183"/>
      <c r="F40" s="184"/>
    </row>
    <row r="41" spans="4:6" ht="48.65" customHeight="1" thickBot="1" x14ac:dyDescent="0.4">
      <c r="D41" s="182" t="s">
        <v>297</v>
      </c>
      <c r="E41" s="183"/>
      <c r="F41" s="184"/>
    </row>
    <row r="42" spans="4:6" ht="26.15" customHeight="1" x14ac:dyDescent="0.35">
      <c r="D42" s="104"/>
      <c r="E42" s="104"/>
      <c r="F42" s="104"/>
    </row>
    <row r="43" spans="4:6" ht="14.5" customHeight="1" thickBot="1" x14ac:dyDescent="0.4">
      <c r="D43" s="34"/>
      <c r="E43" s="42"/>
      <c r="F43" s="42"/>
    </row>
    <row r="44" spans="4:6" ht="14.5" customHeight="1" thickBot="1" x14ac:dyDescent="0.4">
      <c r="D44" s="277" t="s">
        <v>298</v>
      </c>
      <c r="E44" s="278"/>
      <c r="F44" s="103" t="s">
        <v>13</v>
      </c>
    </row>
    <row r="45" spans="4:6" ht="33.65" customHeight="1" thickBot="1" x14ac:dyDescent="0.4">
      <c r="D45" s="182" t="s">
        <v>299</v>
      </c>
      <c r="E45" s="183"/>
      <c r="F45" s="184"/>
    </row>
    <row r="46" spans="4:6" ht="26.15" customHeight="1" thickBot="1" x14ac:dyDescent="0.4">
      <c r="D46" s="182" t="s">
        <v>20</v>
      </c>
      <c r="E46" s="183"/>
      <c r="F46" s="184"/>
    </row>
    <row r="47" spans="4:6" ht="26.15" customHeight="1" thickBot="1" x14ac:dyDescent="0.4">
      <c r="D47" s="19"/>
      <c r="E47" s="19"/>
      <c r="F47" s="19"/>
    </row>
    <row r="48" spans="4:6" ht="14.5" customHeight="1" thickBot="1" x14ac:dyDescent="0.4">
      <c r="D48" s="236" t="s">
        <v>300</v>
      </c>
      <c r="E48" s="238" t="s">
        <v>6</v>
      </c>
      <c r="F48" s="105" t="s">
        <v>6</v>
      </c>
    </row>
    <row r="49" spans="4:6" ht="14.5" customHeight="1" thickBot="1" x14ac:dyDescent="0.4">
      <c r="D49" s="34"/>
      <c r="E49" s="42"/>
      <c r="F49" s="42"/>
    </row>
    <row r="50" spans="4:6" ht="14.5" customHeight="1" thickBot="1" x14ac:dyDescent="0.4">
      <c r="D50" s="236" t="s">
        <v>125</v>
      </c>
      <c r="E50" s="237"/>
      <c r="F50" s="238"/>
    </row>
    <row r="51" spans="4:6" ht="69.650000000000006" customHeight="1" thickBot="1" x14ac:dyDescent="0.4">
      <c r="D51" s="285" t="s">
        <v>301</v>
      </c>
      <c r="E51" s="286"/>
      <c r="F51" s="287"/>
    </row>
  </sheetData>
  <sheetProtection algorithmName="SHA-512" hashValue="VdM0MWhExbVXVN8H219pIOox+b05G2oLg61WNNFsQF7DeZ8SQ+kFtUQKM5JNFs7Eambo6kRRLaZFNRvFjZfdUw==" saltValue="W1UfA0bvY+5qu5v1a4DeAA==" spinCount="100000" sheet="1" objects="1" scenarios="1"/>
  <mergeCells count="24">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 ref="D41:F41"/>
    <mergeCell ref="D44:E44"/>
    <mergeCell ref="D45:F45"/>
    <mergeCell ref="D8:F8"/>
    <mergeCell ref="D14:F14"/>
    <mergeCell ref="D16:E16"/>
    <mergeCell ref="D17:F17"/>
    <mergeCell ref="D18:F18"/>
  </mergeCells>
  <conditionalFormatting sqref="F11 D14:F14 F16 D18:F18 F22 F27:F29 D32:F32 D35:F35 F39 D41:F41 F44 D46:F46 F48 D51:F51">
    <cfRule type="cellIs" dxfId="5"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46"/>
  <sheetViews>
    <sheetView topLeftCell="A33" zoomScale="70" zoomScaleNormal="70" workbookViewId="0">
      <selection activeCell="F39" sqref="F39:F40"/>
    </sheetView>
  </sheetViews>
  <sheetFormatPr defaultColWidth="9.1796875" defaultRowHeight="14.5" customHeight="1" x14ac:dyDescent="0.35"/>
  <cols>
    <col min="1" max="3" width="9.1796875" style="16" customWidth="1"/>
    <col min="4" max="4" width="22.81640625" style="16" customWidth="1"/>
    <col min="5" max="5" width="71.7265625" style="93"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36"/>
      <c r="F5" s="17"/>
    </row>
    <row r="6" spans="4:8" ht="15" thickBot="1" x14ac:dyDescent="0.4">
      <c r="D6" s="311" t="s">
        <v>302</v>
      </c>
      <c r="E6" s="312"/>
      <c r="F6" s="312"/>
      <c r="G6" s="312"/>
      <c r="H6" s="313"/>
    </row>
    <row r="7" spans="4:8" x14ac:dyDescent="0.35">
      <c r="D7" s="19"/>
      <c r="E7" s="137"/>
      <c r="F7" s="17"/>
    </row>
    <row r="8" spans="4:8" x14ac:dyDescent="0.35">
      <c r="D8" s="17"/>
    </row>
    <row r="9" spans="4:8" ht="15" thickBot="1" x14ac:dyDescent="0.4"/>
    <row r="10" spans="4:8" ht="15" thickBot="1" x14ac:dyDescent="0.4">
      <c r="D10" s="30" t="s">
        <v>303</v>
      </c>
      <c r="E10" s="138" t="s">
        <v>98</v>
      </c>
      <c r="F10" s="31" t="s">
        <v>304</v>
      </c>
      <c r="G10" s="324" t="s">
        <v>305</v>
      </c>
      <c r="H10" s="325"/>
    </row>
    <row r="11" spans="4:8" ht="47.15" customHeight="1" x14ac:dyDescent="0.35">
      <c r="D11" s="330" t="s">
        <v>306</v>
      </c>
      <c r="E11" s="134" t="s">
        <v>307</v>
      </c>
      <c r="F11" s="332" t="s">
        <v>6</v>
      </c>
      <c r="G11" s="320" t="s">
        <v>308</v>
      </c>
      <c r="H11" s="321"/>
    </row>
    <row r="12" spans="4:8" ht="25" customHeight="1" thickBot="1" x14ac:dyDescent="0.4">
      <c r="D12" s="331"/>
      <c r="E12" s="135" t="s">
        <v>309</v>
      </c>
      <c r="F12" s="333"/>
      <c r="G12" s="322"/>
      <c r="H12" s="323"/>
    </row>
    <row r="13" spans="4:8" ht="45.65" customHeight="1" x14ac:dyDescent="0.35">
      <c r="D13" s="336" t="s">
        <v>310</v>
      </c>
      <c r="E13" s="134" t="s">
        <v>311</v>
      </c>
      <c r="F13" s="332" t="s">
        <v>6</v>
      </c>
      <c r="G13" s="320" t="s">
        <v>312</v>
      </c>
      <c r="H13" s="321"/>
    </row>
    <row r="14" spans="4:8" ht="25" customHeight="1" thickBot="1" x14ac:dyDescent="0.4">
      <c r="D14" s="337"/>
      <c r="E14" s="135" t="s">
        <v>313</v>
      </c>
      <c r="F14" s="333"/>
      <c r="G14" s="322"/>
      <c r="H14" s="323"/>
    </row>
    <row r="15" spans="4:8" ht="45" customHeight="1" x14ac:dyDescent="0.35">
      <c r="D15" s="336" t="s">
        <v>310</v>
      </c>
      <c r="E15" s="134" t="s">
        <v>314</v>
      </c>
      <c r="F15" s="332" t="s">
        <v>20</v>
      </c>
      <c r="G15" s="320" t="s">
        <v>315</v>
      </c>
      <c r="H15" s="321"/>
    </row>
    <row r="16" spans="4:8" ht="53.5" customHeight="1" x14ac:dyDescent="0.35">
      <c r="D16" s="338"/>
      <c r="E16" s="134" t="s">
        <v>316</v>
      </c>
      <c r="F16" s="339"/>
      <c r="G16" s="326"/>
      <c r="H16" s="327"/>
    </row>
    <row r="17" spans="4:8" ht="25" customHeight="1" thickBot="1" x14ac:dyDescent="0.4">
      <c r="D17" s="337"/>
      <c r="E17" s="135" t="s">
        <v>317</v>
      </c>
      <c r="F17" s="333"/>
      <c r="G17" s="322"/>
      <c r="H17" s="323"/>
    </row>
    <row r="18" spans="4:8" ht="46.5" customHeight="1" thickBot="1" x14ac:dyDescent="0.4">
      <c r="D18" s="97" t="s">
        <v>310</v>
      </c>
      <c r="E18" s="134" t="s">
        <v>318</v>
      </c>
      <c r="F18" s="132" t="s">
        <v>6</v>
      </c>
      <c r="G18" s="334" t="s">
        <v>319</v>
      </c>
      <c r="H18" s="335"/>
    </row>
    <row r="19" spans="4:8" ht="47.15" customHeight="1" thickBot="1" x14ac:dyDescent="0.4">
      <c r="D19" s="43"/>
      <c r="E19" s="139" t="s">
        <v>320</v>
      </c>
      <c r="F19" s="133"/>
      <c r="G19" s="334" t="s">
        <v>321</v>
      </c>
      <c r="H19" s="335"/>
    </row>
    <row r="20" spans="4:8" ht="13.75" customHeight="1" x14ac:dyDescent="0.35"/>
    <row r="21" spans="4:8" ht="13.75" customHeight="1" x14ac:dyDescent="0.35"/>
    <row r="22" spans="4:8" ht="13.75" customHeight="1" thickBot="1" x14ac:dyDescent="0.4">
      <c r="D22" s="15" t="s">
        <v>322</v>
      </c>
      <c r="E22" s="140"/>
      <c r="F22"/>
      <c r="G22"/>
    </row>
    <row r="23" spans="4:8" ht="13.75" customHeight="1" thickBot="1" x14ac:dyDescent="0.4">
      <c r="D23" s="30" t="s">
        <v>303</v>
      </c>
      <c r="E23" s="138" t="s">
        <v>98</v>
      </c>
      <c r="F23" s="44" t="s">
        <v>304</v>
      </c>
      <c r="G23" s="314" t="s">
        <v>305</v>
      </c>
      <c r="H23" s="315"/>
    </row>
    <row r="24" spans="4:8" ht="41.5" customHeight="1" thickBot="1" x14ac:dyDescent="0.4">
      <c r="D24" s="60" t="s">
        <v>323</v>
      </c>
      <c r="E24" s="135" t="s">
        <v>324</v>
      </c>
      <c r="F24" s="132" t="s">
        <v>13</v>
      </c>
      <c r="G24" s="334" t="s">
        <v>325</v>
      </c>
      <c r="H24" s="335"/>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326</v>
      </c>
      <c r="E33" s="140"/>
      <c r="F33"/>
      <c r="G33"/>
    </row>
    <row r="34" spans="4:8" ht="27.65" customHeight="1" thickBot="1" x14ac:dyDescent="0.4">
      <c r="D34" s="30" t="s">
        <v>303</v>
      </c>
      <c r="E34" s="138" t="s">
        <v>98</v>
      </c>
      <c r="F34" s="44" t="s">
        <v>304</v>
      </c>
      <c r="G34" s="314" t="s">
        <v>305</v>
      </c>
      <c r="H34" s="315"/>
    </row>
    <row r="35" spans="4:8" ht="49.5" customHeight="1" x14ac:dyDescent="0.35">
      <c r="D35" s="32" t="s">
        <v>327</v>
      </c>
      <c r="E35" s="134" t="s">
        <v>328</v>
      </c>
      <c r="F35" s="328" t="s">
        <v>6</v>
      </c>
      <c r="G35" s="316" t="s">
        <v>329</v>
      </c>
      <c r="H35" s="317"/>
    </row>
    <row r="36" spans="4:8" ht="14.5" customHeight="1" thickBot="1" x14ac:dyDescent="0.4">
      <c r="D36" s="33"/>
      <c r="E36" s="135" t="s">
        <v>330</v>
      </c>
      <c r="F36" s="329"/>
      <c r="G36" s="318"/>
      <c r="H36" s="319"/>
    </row>
    <row r="37" spans="4:8" ht="47.5" customHeight="1" x14ac:dyDescent="0.35">
      <c r="D37" s="32" t="s">
        <v>331</v>
      </c>
      <c r="E37" s="134" t="s">
        <v>332</v>
      </c>
      <c r="F37" s="328" t="s">
        <v>6</v>
      </c>
      <c r="G37" s="316" t="s">
        <v>333</v>
      </c>
      <c r="H37" s="317"/>
    </row>
    <row r="38" spans="4:8" ht="25" customHeight="1" thickBot="1" x14ac:dyDescent="0.4">
      <c r="D38" s="33"/>
      <c r="E38" s="135" t="s">
        <v>334</v>
      </c>
      <c r="F38" s="329"/>
      <c r="G38" s="318"/>
      <c r="H38" s="319"/>
    </row>
    <row r="39" spans="4:8" ht="40" customHeight="1" x14ac:dyDescent="0.35">
      <c r="D39" s="32" t="s">
        <v>335</v>
      </c>
      <c r="E39" s="134" t="s">
        <v>336</v>
      </c>
      <c r="F39" s="328" t="s">
        <v>13</v>
      </c>
      <c r="G39" s="316" t="s">
        <v>325</v>
      </c>
      <c r="H39" s="317"/>
    </row>
    <row r="40" spans="4:8" ht="57" customHeight="1" thickBot="1" x14ac:dyDescent="0.4">
      <c r="D40" s="33"/>
      <c r="E40" s="135" t="s">
        <v>337</v>
      </c>
      <c r="F40" s="329"/>
      <c r="G40" s="318"/>
      <c r="H40" s="319"/>
    </row>
    <row r="41" spans="4:8" ht="25" customHeight="1" x14ac:dyDescent="0.35"/>
    <row r="42" spans="4:8" ht="25" hidden="1" customHeight="1" thickBot="1" x14ac:dyDescent="0.4">
      <c r="D42" s="15" t="s">
        <v>338</v>
      </c>
      <c r="E42" s="140"/>
      <c r="F42"/>
      <c r="G42"/>
    </row>
    <row r="43" spans="4:8" ht="25" hidden="1" customHeight="1" thickBot="1" x14ac:dyDescent="0.4">
      <c r="D43" s="80" t="s">
        <v>303</v>
      </c>
      <c r="E43" s="141" t="s">
        <v>98</v>
      </c>
      <c r="F43" s="81" t="s">
        <v>339</v>
      </c>
      <c r="G43" s="299" t="s">
        <v>305</v>
      </c>
      <c r="H43" s="300"/>
    </row>
    <row r="44" spans="4:8" ht="35.15" hidden="1" customHeight="1" x14ac:dyDescent="0.35">
      <c r="D44" s="301"/>
      <c r="E44" s="303" t="s">
        <v>328</v>
      </c>
      <c r="F44" s="301"/>
      <c r="G44" s="305"/>
      <c r="H44" s="306"/>
    </row>
    <row r="45" spans="4:8" ht="14.5" hidden="1" customHeight="1" thickBot="1" x14ac:dyDescent="0.4">
      <c r="D45" s="302"/>
      <c r="E45" s="304"/>
      <c r="F45" s="302"/>
      <c r="G45" s="307"/>
      <c r="H45" s="308"/>
    </row>
    <row r="46" spans="4:8" ht="20.149999999999999" hidden="1" customHeight="1" thickBot="1" x14ac:dyDescent="0.4">
      <c r="D46" s="28" t="s">
        <v>340</v>
      </c>
      <c r="E46" s="135" t="s">
        <v>341</v>
      </c>
      <c r="F46" s="29"/>
      <c r="G46" s="309"/>
      <c r="H46" s="310"/>
    </row>
  </sheetData>
  <sheetProtection algorithmName="SHA-512" hashValue="pk3bE4How8EHgXDHiXLy2tNB3ITEmwHVzFVj2wkRcEiuDXtVdhZ1ACtUB0EKbnw/JwM7HdrqmEd3+jp/4lGlbw==" saltValue="6vwjvN30HDYfrcsq2PP5BA==" spinCount="100000" sheet="1" objects="1" scenarios="1"/>
  <mergeCells count="28">
    <mergeCell ref="G19:H19"/>
    <mergeCell ref="F35:F36"/>
    <mergeCell ref="F37:F38"/>
    <mergeCell ref="D13:D14"/>
    <mergeCell ref="F13:F14"/>
    <mergeCell ref="D15:D17"/>
    <mergeCell ref="F15:F17"/>
    <mergeCell ref="G46:H46"/>
    <mergeCell ref="D6:H6"/>
    <mergeCell ref="G34:H34"/>
    <mergeCell ref="G35:H36"/>
    <mergeCell ref="G37:H38"/>
    <mergeCell ref="G39:H40"/>
    <mergeCell ref="G11:H12"/>
    <mergeCell ref="G13:H14"/>
    <mergeCell ref="G10:H10"/>
    <mergeCell ref="G15:H17"/>
    <mergeCell ref="F39:F40"/>
    <mergeCell ref="D11:D12"/>
    <mergeCell ref="F11:F12"/>
    <mergeCell ref="G24:H24"/>
    <mergeCell ref="G23:H23"/>
    <mergeCell ref="G18:H18"/>
    <mergeCell ref="G43:H43"/>
    <mergeCell ref="F44:F45"/>
    <mergeCell ref="E44:E45"/>
    <mergeCell ref="D44:D45"/>
    <mergeCell ref="G44:H45"/>
  </mergeCells>
  <conditionalFormatting sqref="F24:H24 F11:H11 F35:H35 G36:H40 F15:H15 G12:H14 G16:H19 F13 F37 F39 F46:H46">
    <cfRule type="cellIs" dxfId="4" priority="2" operator="equal">
      <formula>$C$4</formula>
    </cfRule>
  </conditionalFormatting>
  <conditionalFormatting sqref="F18">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 F24 F35:F40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O92"/>
  <sheetViews>
    <sheetView showGridLines="0" tabSelected="1" workbookViewId="0">
      <selection activeCell="B7" sqref="B7:M7"/>
    </sheetView>
  </sheetViews>
  <sheetFormatPr defaultColWidth="9.1796875" defaultRowHeight="14.5" customHeight="1" x14ac:dyDescent="0.35"/>
  <cols>
    <col min="1"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1:15" x14ac:dyDescent="0.35"/>
    <row r="2" spans="1:15" ht="10" customHeight="1" x14ac:dyDescent="0.35"/>
    <row r="3" spans="1:15" ht="5.5" customHeight="1" x14ac:dyDescent="0.35"/>
    <row r="4" spans="1:15" ht="7.5" customHeight="1" x14ac:dyDescent="0.35"/>
    <row r="5" spans="1:15" x14ac:dyDescent="0.35">
      <c r="A5" s="144"/>
      <c r="B5" s="342" t="s">
        <v>342</v>
      </c>
      <c r="C5" s="342"/>
      <c r="D5" s="342"/>
      <c r="E5" s="145"/>
      <c r="F5" s="145"/>
      <c r="G5" s="145"/>
      <c r="H5" s="145"/>
      <c r="I5" s="145"/>
      <c r="J5" s="145"/>
      <c r="K5" s="145"/>
      <c r="L5" s="145"/>
      <c r="M5" s="145"/>
      <c r="N5" s="145"/>
      <c r="O5" s="145"/>
    </row>
    <row r="6" spans="1:15" x14ac:dyDescent="0.35">
      <c r="A6" s="144"/>
      <c r="B6" s="148"/>
      <c r="C6" s="148"/>
      <c r="D6" s="148"/>
      <c r="E6" s="148"/>
      <c r="F6" s="148"/>
      <c r="G6" s="148"/>
      <c r="H6" s="148"/>
      <c r="I6" s="148"/>
      <c r="J6" s="148"/>
      <c r="K6" s="148"/>
      <c r="L6" s="148"/>
      <c r="M6" s="148"/>
      <c r="N6" s="146"/>
      <c r="O6" s="146"/>
    </row>
    <row r="7" spans="1:15" x14ac:dyDescent="0.35">
      <c r="A7" s="144">
        <v>1</v>
      </c>
      <c r="B7" s="343" t="s">
        <v>343</v>
      </c>
      <c r="C7" s="343"/>
      <c r="D7" s="343"/>
      <c r="E7" s="343"/>
      <c r="F7" s="343"/>
      <c r="G7" s="343"/>
      <c r="H7" s="343"/>
      <c r="I7" s="343"/>
      <c r="J7" s="343"/>
      <c r="K7" s="343"/>
      <c r="L7" s="343"/>
      <c r="M7" s="343"/>
      <c r="N7" s="343"/>
      <c r="O7" s="343"/>
    </row>
    <row r="8" spans="1:15" x14ac:dyDescent="0.35">
      <c r="A8" s="144"/>
      <c r="B8" s="147"/>
      <c r="C8" s="147"/>
      <c r="D8" s="147"/>
      <c r="E8" s="147"/>
      <c r="F8" s="147"/>
      <c r="G8" s="147"/>
      <c r="H8" s="147"/>
      <c r="I8" s="147"/>
      <c r="J8" s="147"/>
      <c r="K8" s="147"/>
      <c r="L8" s="147"/>
      <c r="M8" s="147"/>
      <c r="N8" s="147"/>
      <c r="O8" s="147"/>
    </row>
    <row r="9" spans="1:15" ht="89.5" customHeight="1" x14ac:dyDescent="0.35">
      <c r="A9" s="144"/>
      <c r="B9" s="341" t="s">
        <v>344</v>
      </c>
      <c r="C9" s="341"/>
      <c r="D9" s="341"/>
      <c r="E9" s="341"/>
      <c r="F9" s="341"/>
      <c r="G9" s="341"/>
      <c r="H9" s="341"/>
      <c r="I9" s="341"/>
      <c r="J9" s="341"/>
      <c r="K9" s="341"/>
      <c r="L9" s="341"/>
      <c r="M9" s="341"/>
      <c r="N9" s="147"/>
      <c r="O9" s="147"/>
    </row>
    <row r="10" spans="1:15" ht="43.5" customHeight="1" x14ac:dyDescent="0.35">
      <c r="A10" s="144"/>
      <c r="B10" s="341" t="s">
        <v>345</v>
      </c>
      <c r="C10" s="341"/>
      <c r="D10" s="341"/>
      <c r="E10" s="341"/>
      <c r="F10" s="341"/>
      <c r="G10" s="341"/>
      <c r="H10" s="341"/>
      <c r="I10" s="341"/>
      <c r="J10" s="341"/>
      <c r="K10" s="341"/>
      <c r="L10" s="341"/>
      <c r="M10" s="341"/>
      <c r="N10" s="147"/>
      <c r="O10" s="147"/>
    </row>
    <row r="11" spans="1:15" ht="48" customHeight="1" x14ac:dyDescent="0.35">
      <c r="A11" s="144"/>
      <c r="B11" s="341" t="s">
        <v>346</v>
      </c>
      <c r="C11" s="341"/>
      <c r="D11" s="341"/>
      <c r="E11" s="341"/>
      <c r="F11" s="341"/>
      <c r="G11" s="341"/>
      <c r="H11" s="341"/>
      <c r="I11" s="341"/>
      <c r="J11" s="341"/>
      <c r="K11" s="341"/>
      <c r="L11" s="341"/>
      <c r="M11" s="341"/>
      <c r="N11" s="147"/>
      <c r="O11" s="147"/>
    </row>
    <row r="12" spans="1:15" ht="49.5" customHeight="1" x14ac:dyDescent="0.35">
      <c r="A12" s="144"/>
      <c r="B12" s="341" t="s">
        <v>347</v>
      </c>
      <c r="C12" s="341"/>
      <c r="D12" s="341"/>
      <c r="E12" s="341"/>
      <c r="F12" s="341"/>
      <c r="G12" s="341"/>
      <c r="H12" s="341"/>
      <c r="I12" s="341"/>
      <c r="J12" s="341"/>
      <c r="K12" s="341"/>
      <c r="L12" s="341"/>
      <c r="M12" s="341"/>
      <c r="N12" s="147"/>
      <c r="O12" s="147"/>
    </row>
    <row r="13" spans="1:15" x14ac:dyDescent="0.35">
      <c r="A13" s="144"/>
      <c r="B13" s="148"/>
      <c r="C13" s="148"/>
      <c r="D13" s="148"/>
      <c r="E13" s="148"/>
      <c r="F13" s="148"/>
      <c r="G13" s="148"/>
      <c r="H13" s="148"/>
      <c r="I13" s="148"/>
      <c r="J13" s="148"/>
      <c r="K13" s="148"/>
      <c r="L13" s="148"/>
      <c r="M13" s="148"/>
      <c r="N13" s="147"/>
      <c r="O13" s="147"/>
    </row>
    <row r="14" spans="1:15" x14ac:dyDescent="0.35">
      <c r="A14" s="144"/>
      <c r="B14" s="343" t="s">
        <v>125</v>
      </c>
      <c r="C14" s="343"/>
      <c r="D14" s="343"/>
      <c r="E14" s="343"/>
      <c r="F14" s="343"/>
      <c r="G14" s="343"/>
      <c r="H14" s="343"/>
      <c r="I14" s="343"/>
      <c r="J14" s="343"/>
      <c r="K14" s="343"/>
      <c r="L14" s="343"/>
      <c r="M14" s="343"/>
      <c r="N14" s="147"/>
      <c r="O14" s="147"/>
    </row>
    <row r="15" spans="1:15" x14ac:dyDescent="0.35">
      <c r="A15" s="144"/>
      <c r="B15" s="341" t="s">
        <v>348</v>
      </c>
      <c r="C15" s="341"/>
      <c r="D15" s="341"/>
      <c r="E15" s="341"/>
      <c r="F15" s="341"/>
      <c r="G15" s="341"/>
      <c r="H15" s="341"/>
      <c r="I15" s="341"/>
      <c r="J15" s="341"/>
      <c r="K15" s="341"/>
      <c r="L15" s="341"/>
      <c r="M15" s="341"/>
      <c r="N15" s="147"/>
      <c r="O15" s="147"/>
    </row>
    <row r="16" spans="1:15" ht="40" customHeight="1" x14ac:dyDescent="0.35">
      <c r="A16" s="144"/>
      <c r="B16" s="341" t="s">
        <v>349</v>
      </c>
      <c r="C16" s="341"/>
      <c r="D16" s="341"/>
      <c r="E16" s="341"/>
      <c r="F16" s="341"/>
      <c r="G16" s="341"/>
      <c r="H16" s="341"/>
      <c r="I16" s="341"/>
      <c r="J16" s="341"/>
      <c r="K16" s="341"/>
      <c r="L16" s="341"/>
      <c r="M16" s="341"/>
      <c r="N16" s="147"/>
      <c r="O16" s="147"/>
    </row>
    <row r="17" spans="1:15" x14ac:dyDescent="0.35">
      <c r="A17" s="144"/>
      <c r="B17" s="6"/>
      <c r="C17" s="6"/>
      <c r="D17" s="6"/>
      <c r="E17" s="6"/>
      <c r="F17" s="6"/>
      <c r="G17" s="6"/>
      <c r="H17" s="6"/>
      <c r="I17" s="6"/>
      <c r="J17" s="6"/>
      <c r="K17" s="6"/>
      <c r="L17" s="6"/>
      <c r="M17" s="6"/>
      <c r="N17" s="147"/>
      <c r="O17" s="147"/>
    </row>
    <row r="18" spans="1:15" ht="13.75" customHeight="1" x14ac:dyDescent="0.35">
      <c r="A18" s="144">
        <v>2</v>
      </c>
      <c r="B18" s="343" t="s">
        <v>350</v>
      </c>
      <c r="C18" s="343"/>
      <c r="D18" s="343"/>
      <c r="E18" s="343"/>
      <c r="F18" s="343"/>
      <c r="G18" s="343"/>
      <c r="H18" s="343"/>
      <c r="I18" s="343"/>
      <c r="J18" s="343"/>
      <c r="K18" s="343"/>
      <c r="L18" s="343"/>
      <c r="M18" s="343"/>
      <c r="N18" s="147"/>
      <c r="O18" s="147"/>
    </row>
    <row r="19" spans="1:15" ht="35.5" customHeight="1" x14ac:dyDescent="0.35">
      <c r="A19" s="144"/>
      <c r="B19" s="341" t="s">
        <v>351</v>
      </c>
      <c r="C19" s="341"/>
      <c r="D19" s="341"/>
      <c r="E19" s="341"/>
      <c r="F19" s="341"/>
      <c r="G19" s="341"/>
      <c r="H19" s="341"/>
      <c r="I19" s="341"/>
      <c r="J19" s="341"/>
      <c r="K19" s="341"/>
      <c r="L19" s="341"/>
      <c r="M19" s="341"/>
      <c r="N19" s="147"/>
      <c r="O19" s="147"/>
    </row>
    <row r="20" spans="1:15" ht="13.75" customHeight="1" x14ac:dyDescent="0.35">
      <c r="A20" s="144"/>
      <c r="B20" s="147" t="s">
        <v>352</v>
      </c>
      <c r="C20" s="147"/>
      <c r="D20" s="147"/>
      <c r="E20" s="147"/>
      <c r="F20" s="147"/>
      <c r="G20" s="147"/>
      <c r="H20" s="147"/>
      <c r="I20" s="147"/>
      <c r="J20" s="147"/>
      <c r="K20" s="147"/>
      <c r="L20" s="147"/>
      <c r="M20" s="147"/>
      <c r="N20" s="147"/>
      <c r="O20" s="147"/>
    </row>
    <row r="21" spans="1:15" ht="37.5" customHeight="1" x14ac:dyDescent="0.35">
      <c r="A21" s="144"/>
      <c r="B21" s="341" t="s">
        <v>353</v>
      </c>
      <c r="C21" s="341"/>
      <c r="D21" s="341"/>
      <c r="E21" s="341"/>
      <c r="F21" s="341"/>
      <c r="G21" s="341"/>
      <c r="H21" s="341"/>
      <c r="I21" s="341"/>
      <c r="J21" s="341"/>
      <c r="K21" s="341"/>
      <c r="L21" s="341"/>
      <c r="M21" s="341"/>
      <c r="N21" s="147"/>
      <c r="O21" s="147"/>
    </row>
    <row r="22" spans="1:15" ht="13.75" customHeight="1" x14ac:dyDescent="0.35">
      <c r="A22" s="144"/>
      <c r="B22" s="148"/>
      <c r="C22" s="148"/>
      <c r="D22" s="148"/>
      <c r="E22" s="148"/>
      <c r="F22" s="148"/>
      <c r="G22" s="148"/>
      <c r="H22" s="148"/>
      <c r="I22" s="148"/>
      <c r="J22" s="148"/>
      <c r="K22" s="148"/>
      <c r="L22" s="148"/>
      <c r="M22" s="148"/>
      <c r="N22" s="147"/>
      <c r="O22" s="147"/>
    </row>
    <row r="23" spans="1:15" ht="13.75" customHeight="1" x14ac:dyDescent="0.35">
      <c r="A23" s="144">
        <v>3</v>
      </c>
      <c r="B23" s="343" t="s">
        <v>354</v>
      </c>
      <c r="C23" s="343"/>
      <c r="D23" s="343"/>
      <c r="E23" s="343"/>
      <c r="F23" s="343"/>
      <c r="G23" s="343"/>
      <c r="H23" s="343"/>
      <c r="I23" s="343"/>
      <c r="J23" s="343"/>
      <c r="K23" s="343"/>
      <c r="L23" s="343"/>
      <c r="M23" s="343"/>
      <c r="N23" s="147"/>
      <c r="O23" s="147"/>
    </row>
    <row r="24" spans="1:15" ht="13.75" customHeight="1" x14ac:dyDescent="0.35">
      <c r="A24" s="144"/>
      <c r="B24" s="341" t="s">
        <v>355</v>
      </c>
      <c r="C24" s="341"/>
      <c r="D24" s="341"/>
      <c r="E24" s="341"/>
      <c r="F24" s="341"/>
      <c r="G24" s="341"/>
      <c r="H24" s="341"/>
      <c r="I24" s="341"/>
      <c r="J24" s="341"/>
      <c r="K24" s="341"/>
      <c r="L24" s="341"/>
      <c r="M24" s="341"/>
      <c r="N24" s="147"/>
      <c r="O24" s="147"/>
    </row>
    <row r="25" spans="1:15" ht="13.75" customHeight="1" x14ac:dyDescent="0.35">
      <c r="A25" s="144"/>
      <c r="B25" s="343" t="s">
        <v>125</v>
      </c>
      <c r="C25" s="343"/>
      <c r="D25" s="343"/>
      <c r="E25" s="343"/>
      <c r="F25" s="343"/>
      <c r="G25" s="343"/>
      <c r="H25" s="343"/>
      <c r="I25" s="343"/>
      <c r="J25" s="343"/>
      <c r="K25" s="343"/>
      <c r="L25" s="343"/>
      <c r="M25" s="343"/>
      <c r="N25" s="147"/>
      <c r="O25" s="147"/>
    </row>
    <row r="26" spans="1:15" ht="13.75" customHeight="1" x14ac:dyDescent="0.35">
      <c r="A26" s="144"/>
      <c r="B26" s="341" t="s">
        <v>356</v>
      </c>
      <c r="C26" s="341"/>
      <c r="D26" s="341"/>
      <c r="E26" s="341"/>
      <c r="F26" s="341"/>
      <c r="G26" s="341"/>
      <c r="H26" s="341"/>
      <c r="I26" s="341"/>
      <c r="J26" s="341"/>
      <c r="K26" s="341"/>
      <c r="L26" s="341"/>
      <c r="M26" s="341"/>
      <c r="N26" s="147"/>
      <c r="O26" s="147"/>
    </row>
    <row r="27" spans="1:15" ht="34.5" customHeight="1" x14ac:dyDescent="0.35">
      <c r="A27" s="144"/>
      <c r="B27" s="341" t="s">
        <v>357</v>
      </c>
      <c r="C27" s="341"/>
      <c r="D27" s="341"/>
      <c r="E27" s="341"/>
      <c r="F27" s="341"/>
      <c r="G27" s="341"/>
      <c r="H27" s="341"/>
      <c r="I27" s="341"/>
      <c r="J27" s="341"/>
      <c r="K27" s="341"/>
      <c r="L27" s="341"/>
      <c r="M27" s="341"/>
      <c r="N27" s="147"/>
      <c r="O27" s="147"/>
    </row>
    <row r="28" spans="1:15" ht="13.75" customHeight="1" x14ac:dyDescent="0.35">
      <c r="A28" s="144"/>
      <c r="B28" s="148"/>
      <c r="C28" s="148"/>
      <c r="D28" s="148"/>
      <c r="E28" s="148"/>
      <c r="F28" s="148"/>
      <c r="G28" s="148"/>
      <c r="H28" s="148"/>
      <c r="I28" s="148"/>
      <c r="J28" s="148"/>
      <c r="K28" s="148"/>
      <c r="L28" s="148"/>
      <c r="M28" s="148"/>
      <c r="N28" s="147"/>
      <c r="O28" s="147"/>
    </row>
    <row r="29" spans="1:15" ht="13.75" customHeight="1" x14ac:dyDescent="0.35">
      <c r="A29" s="144">
        <v>4</v>
      </c>
      <c r="B29" s="343" t="s">
        <v>358</v>
      </c>
      <c r="C29" s="343"/>
      <c r="D29" s="343"/>
      <c r="E29" s="343"/>
      <c r="F29" s="343"/>
      <c r="G29" s="343"/>
      <c r="H29" s="343"/>
      <c r="I29" s="343"/>
      <c r="J29" s="343"/>
      <c r="K29" s="343"/>
      <c r="L29" s="343"/>
      <c r="M29" s="343"/>
      <c r="N29" s="147"/>
      <c r="O29" s="147"/>
    </row>
    <row r="30" spans="1:15" ht="13.75" customHeight="1" x14ac:dyDescent="0.35">
      <c r="A30" s="144"/>
      <c r="B30" s="341" t="s">
        <v>359</v>
      </c>
      <c r="C30" s="341"/>
      <c r="D30" s="341"/>
      <c r="E30" s="341"/>
      <c r="F30" s="341"/>
      <c r="G30" s="341"/>
      <c r="H30" s="341"/>
      <c r="I30" s="341"/>
      <c r="J30" s="341"/>
      <c r="K30" s="341"/>
      <c r="L30" s="341"/>
      <c r="M30" s="341"/>
      <c r="N30" s="147"/>
      <c r="O30" s="147"/>
    </row>
    <row r="31" spans="1:15" ht="13.75" customHeight="1" x14ac:dyDescent="0.35">
      <c r="A31" s="144"/>
      <c r="B31" s="343" t="s">
        <v>352</v>
      </c>
      <c r="C31" s="343"/>
      <c r="D31" s="343"/>
      <c r="E31" s="343"/>
      <c r="F31" s="343"/>
      <c r="G31" s="343"/>
      <c r="H31" s="343"/>
      <c r="I31" s="343"/>
      <c r="J31" s="343"/>
      <c r="K31" s="343"/>
      <c r="L31" s="343"/>
      <c r="M31" s="343"/>
      <c r="N31" s="147"/>
      <c r="O31" s="147"/>
    </row>
    <row r="32" spans="1:15" ht="13.75" customHeight="1" x14ac:dyDescent="0.35">
      <c r="A32" s="144"/>
      <c r="B32" s="341" t="s">
        <v>360</v>
      </c>
      <c r="C32" s="341"/>
      <c r="D32" s="341"/>
      <c r="E32" s="341"/>
      <c r="F32" s="341"/>
      <c r="G32" s="341"/>
      <c r="H32" s="341"/>
      <c r="I32" s="341"/>
      <c r="J32" s="341"/>
      <c r="K32" s="341"/>
      <c r="L32" s="341"/>
      <c r="M32" s="341"/>
      <c r="N32" s="147"/>
      <c r="O32" s="147"/>
    </row>
    <row r="33" spans="1:15" ht="13.75" customHeight="1" x14ac:dyDescent="0.35">
      <c r="A33" s="144"/>
      <c r="B33" s="148"/>
      <c r="C33" s="148"/>
      <c r="D33" s="148"/>
      <c r="E33" s="148"/>
      <c r="F33" s="148"/>
      <c r="G33" s="148"/>
      <c r="H33" s="148"/>
      <c r="I33" s="148"/>
      <c r="J33" s="148"/>
      <c r="K33" s="148"/>
      <c r="L33" s="148"/>
      <c r="M33" s="148"/>
      <c r="N33" s="147"/>
      <c r="O33" s="147"/>
    </row>
    <row r="34" spans="1:15" ht="13.75" customHeight="1" x14ac:dyDescent="0.35">
      <c r="A34" s="144">
        <v>5</v>
      </c>
      <c r="B34" s="343" t="s">
        <v>361</v>
      </c>
      <c r="C34" s="343"/>
      <c r="D34" s="343"/>
      <c r="E34" s="343"/>
      <c r="F34" s="343"/>
      <c r="G34" s="343"/>
      <c r="H34" s="343"/>
      <c r="I34" s="343"/>
      <c r="J34" s="343"/>
      <c r="K34" s="343"/>
      <c r="L34" s="343"/>
      <c r="M34" s="343"/>
      <c r="N34" s="147"/>
      <c r="O34" s="147"/>
    </row>
    <row r="35" spans="1:15" ht="28.5" customHeight="1" x14ac:dyDescent="0.35">
      <c r="A35" s="144"/>
      <c r="B35" s="341" t="s">
        <v>362</v>
      </c>
      <c r="C35" s="341"/>
      <c r="D35" s="341"/>
      <c r="E35" s="341"/>
      <c r="F35" s="341"/>
      <c r="G35" s="341"/>
      <c r="H35" s="341"/>
      <c r="I35" s="341"/>
      <c r="J35" s="341"/>
      <c r="K35" s="341"/>
      <c r="L35" s="341"/>
      <c r="M35" s="341"/>
      <c r="N35" s="147"/>
      <c r="O35" s="147"/>
    </row>
    <row r="36" spans="1:15" ht="43" customHeight="1" x14ac:dyDescent="0.35">
      <c r="A36" s="144"/>
      <c r="B36" s="341" t="s">
        <v>363</v>
      </c>
      <c r="C36" s="341"/>
      <c r="D36" s="341"/>
      <c r="E36" s="341"/>
      <c r="F36" s="341"/>
      <c r="G36" s="341"/>
      <c r="H36" s="341"/>
      <c r="I36" s="341"/>
      <c r="J36" s="341"/>
      <c r="K36" s="341"/>
      <c r="L36" s="341"/>
      <c r="M36" s="341"/>
      <c r="N36" s="147"/>
      <c r="O36" s="147"/>
    </row>
    <row r="37" spans="1:15" ht="132" customHeight="1" x14ac:dyDescent="0.35">
      <c r="A37" s="144"/>
      <c r="B37" s="341" t="s">
        <v>364</v>
      </c>
      <c r="C37" s="341"/>
      <c r="D37" s="341"/>
      <c r="E37" s="341"/>
      <c r="F37" s="341"/>
      <c r="G37" s="341"/>
      <c r="H37" s="341"/>
      <c r="I37" s="341"/>
      <c r="J37" s="341"/>
      <c r="K37" s="341"/>
      <c r="L37" s="341"/>
      <c r="M37" s="341"/>
      <c r="N37" s="147"/>
      <c r="O37" s="147"/>
    </row>
    <row r="38" spans="1:15" ht="13.75" customHeight="1" x14ac:dyDescent="0.35">
      <c r="A38" s="144"/>
      <c r="B38" s="341" t="s">
        <v>365</v>
      </c>
      <c r="C38" s="341"/>
      <c r="D38" s="341"/>
      <c r="E38" s="341"/>
      <c r="F38" s="341"/>
      <c r="G38" s="341"/>
      <c r="H38" s="341"/>
      <c r="I38" s="341"/>
      <c r="J38" s="341"/>
      <c r="K38" s="341"/>
      <c r="L38" s="341"/>
      <c r="M38" s="341"/>
      <c r="N38" s="147"/>
      <c r="O38" s="147"/>
    </row>
    <row r="39" spans="1:15" ht="34" customHeight="1" x14ac:dyDescent="0.35">
      <c r="A39" s="144"/>
      <c r="B39" s="344" t="s">
        <v>366</v>
      </c>
      <c r="C39" s="344"/>
      <c r="D39" s="344"/>
      <c r="E39" s="344"/>
      <c r="F39" s="344"/>
      <c r="G39" s="344"/>
      <c r="H39" s="344"/>
      <c r="I39" s="344"/>
      <c r="J39" s="344"/>
      <c r="K39" s="344"/>
      <c r="L39" s="344"/>
      <c r="M39" s="344"/>
      <c r="N39" s="147"/>
      <c r="O39" s="147"/>
    </row>
    <row r="40" spans="1:15" ht="13.75" customHeight="1" x14ac:dyDescent="0.35">
      <c r="A40" s="144"/>
      <c r="B40" s="352" t="s">
        <v>367</v>
      </c>
      <c r="C40" s="352"/>
      <c r="D40" s="352"/>
      <c r="E40" s="352"/>
      <c r="F40" s="352"/>
      <c r="G40" s="352"/>
      <c r="H40" s="352"/>
      <c r="I40" s="352"/>
      <c r="J40" s="352"/>
      <c r="K40" s="352"/>
      <c r="L40" s="352"/>
      <c r="M40" s="352"/>
      <c r="N40" s="147"/>
      <c r="O40" s="147"/>
    </row>
    <row r="41" spans="1:15" ht="40.5" customHeight="1" x14ac:dyDescent="0.35">
      <c r="B41" s="341" t="s">
        <v>368</v>
      </c>
      <c r="C41" s="341"/>
      <c r="D41" s="341"/>
      <c r="E41" s="341"/>
      <c r="F41" s="341"/>
      <c r="G41" s="341"/>
      <c r="H41" s="341"/>
      <c r="I41" s="341"/>
      <c r="J41" s="341"/>
      <c r="K41" s="341"/>
      <c r="L41" s="341"/>
      <c r="M41" s="341"/>
      <c r="N41" s="343"/>
      <c r="O41" s="343"/>
    </row>
    <row r="42" spans="1:15" x14ac:dyDescent="0.35">
      <c r="A42" s="144"/>
      <c r="B42" s="147" t="s">
        <v>352</v>
      </c>
      <c r="C42" s="148"/>
      <c r="D42" s="148"/>
      <c r="E42" s="148"/>
      <c r="F42" s="148"/>
      <c r="G42" s="148"/>
      <c r="H42" s="148"/>
      <c r="I42" s="148"/>
      <c r="J42" s="148"/>
      <c r="K42" s="148"/>
      <c r="L42" s="148"/>
      <c r="M42" s="148"/>
      <c r="N42" s="343"/>
      <c r="O42" s="343"/>
    </row>
    <row r="43" spans="1:15" ht="36" customHeight="1" x14ac:dyDescent="0.35">
      <c r="A43" s="144"/>
      <c r="B43" s="341" t="s">
        <v>369</v>
      </c>
      <c r="C43" s="341"/>
      <c r="D43" s="341"/>
      <c r="E43" s="341"/>
      <c r="F43" s="341"/>
      <c r="G43" s="341"/>
      <c r="H43" s="341"/>
      <c r="I43" s="341"/>
      <c r="J43" s="341"/>
      <c r="K43" s="341"/>
      <c r="L43" s="341"/>
      <c r="M43" s="341"/>
      <c r="N43" s="341"/>
      <c r="O43" s="341"/>
    </row>
    <row r="44" spans="1:15" ht="14.5" customHeight="1" x14ac:dyDescent="0.35">
      <c r="A44" s="144"/>
      <c r="B44" s="352" t="s">
        <v>370</v>
      </c>
      <c r="C44" s="352"/>
      <c r="D44" s="352"/>
      <c r="E44" s="352"/>
      <c r="F44" s="352"/>
      <c r="G44" s="352"/>
      <c r="H44" s="352"/>
      <c r="I44" s="352"/>
      <c r="J44" s="352"/>
      <c r="K44" s="352"/>
      <c r="L44" s="352"/>
      <c r="M44" s="352"/>
      <c r="N44" s="148"/>
      <c r="O44" s="148"/>
    </row>
    <row r="45" spans="1:15" ht="31.5" customHeight="1" x14ac:dyDescent="0.35">
      <c r="A45" s="144"/>
      <c r="B45" s="341" t="s">
        <v>371</v>
      </c>
      <c r="C45" s="341"/>
      <c r="D45" s="341"/>
      <c r="E45" s="341"/>
      <c r="F45" s="341"/>
      <c r="G45" s="341"/>
      <c r="H45" s="341"/>
      <c r="I45" s="341"/>
      <c r="J45" s="341"/>
      <c r="K45" s="341"/>
      <c r="L45" s="341"/>
      <c r="M45" s="341"/>
      <c r="N45" s="148"/>
      <c r="O45" s="148"/>
    </row>
    <row r="46" spans="1:15" x14ac:dyDescent="0.35">
      <c r="A46" s="144"/>
      <c r="B46" s="343" t="s">
        <v>352</v>
      </c>
      <c r="C46" s="343"/>
      <c r="D46" s="343"/>
      <c r="E46" s="343"/>
      <c r="F46" s="343"/>
      <c r="G46" s="343"/>
      <c r="H46" s="343"/>
      <c r="I46" s="343"/>
      <c r="J46" s="343"/>
      <c r="K46" s="343"/>
      <c r="L46" s="343"/>
      <c r="M46" s="343"/>
      <c r="N46" s="148"/>
      <c r="O46" s="148"/>
    </row>
    <row r="47" spans="1:15" ht="19" customHeight="1" x14ac:dyDescent="0.35">
      <c r="A47" s="144"/>
      <c r="B47" s="340" t="s">
        <v>372</v>
      </c>
      <c r="C47" s="340"/>
      <c r="D47" s="340"/>
      <c r="E47" s="340"/>
      <c r="F47" s="340"/>
      <c r="G47" s="340"/>
      <c r="H47" s="340"/>
      <c r="I47" s="340"/>
      <c r="J47" s="340"/>
      <c r="K47" s="340"/>
      <c r="L47" s="340"/>
      <c r="M47" s="340"/>
      <c r="N47" s="148"/>
      <c r="O47" s="148"/>
    </row>
    <row r="48" spans="1:15" ht="14.5" customHeight="1" x14ac:dyDescent="0.35">
      <c r="A48" s="144"/>
      <c r="B48" s="148"/>
      <c r="C48" s="148"/>
      <c r="D48" s="148"/>
      <c r="E48" s="148"/>
      <c r="F48" s="148"/>
      <c r="G48" s="148"/>
      <c r="H48" s="148"/>
      <c r="I48" s="148"/>
      <c r="J48" s="148"/>
      <c r="K48" s="148"/>
      <c r="L48" s="148"/>
      <c r="M48" s="148"/>
      <c r="N48" s="148"/>
      <c r="O48" s="148"/>
    </row>
    <row r="49" spans="1:15" ht="14.5" customHeight="1" x14ac:dyDescent="0.35">
      <c r="A49" s="144">
        <v>6</v>
      </c>
      <c r="B49" s="343" t="s">
        <v>373</v>
      </c>
      <c r="C49" s="343"/>
      <c r="D49" s="343"/>
      <c r="E49" s="343"/>
      <c r="F49" s="343"/>
      <c r="G49" s="343"/>
      <c r="H49" s="343"/>
      <c r="I49" s="343"/>
      <c r="J49" s="343"/>
      <c r="K49" s="343"/>
      <c r="L49" s="343"/>
      <c r="M49" s="343"/>
      <c r="N49" s="148"/>
      <c r="O49" s="148"/>
    </row>
    <row r="50" spans="1:15" ht="14.5" customHeight="1" x14ac:dyDescent="0.35">
      <c r="A50" s="144"/>
      <c r="B50" s="349" t="s">
        <v>352</v>
      </c>
      <c r="C50" s="349"/>
      <c r="D50" s="349"/>
      <c r="E50" s="349"/>
      <c r="F50" s="349"/>
      <c r="G50" s="349"/>
      <c r="H50" s="349"/>
      <c r="I50" s="349"/>
      <c r="J50" s="349"/>
      <c r="K50" s="349"/>
      <c r="L50" s="349"/>
      <c r="M50" s="349"/>
      <c r="N50" s="148"/>
      <c r="O50" s="148"/>
    </row>
    <row r="51" spans="1:15" ht="14.5" customHeight="1" x14ac:dyDescent="0.35">
      <c r="A51" s="144"/>
      <c r="B51" s="350" t="s">
        <v>374</v>
      </c>
      <c r="C51" s="351"/>
      <c r="D51" s="351"/>
      <c r="E51" s="351"/>
      <c r="F51" s="351"/>
      <c r="G51" s="351"/>
      <c r="H51" s="351"/>
      <c r="I51" s="351"/>
      <c r="J51" s="351"/>
      <c r="K51" s="351"/>
      <c r="L51" s="351"/>
      <c r="M51" s="351"/>
      <c r="N51" s="148"/>
      <c r="O51" s="148"/>
    </row>
    <row r="52" spans="1:15" ht="14.5" customHeight="1" x14ac:dyDescent="0.35">
      <c r="A52" s="144"/>
      <c r="B52" s="148"/>
      <c r="C52" s="148"/>
      <c r="D52" s="148"/>
      <c r="E52" s="148"/>
      <c r="F52" s="148"/>
      <c r="G52" s="148"/>
      <c r="H52" s="148"/>
      <c r="I52" s="148"/>
      <c r="J52" s="148"/>
      <c r="K52" s="148"/>
      <c r="L52" s="148"/>
      <c r="M52" s="148"/>
      <c r="N52" s="148"/>
      <c r="O52" s="148"/>
    </row>
    <row r="53" spans="1:15" ht="14.5" customHeight="1" x14ac:dyDescent="0.35">
      <c r="A53" s="144">
        <v>7</v>
      </c>
      <c r="B53" s="343" t="s">
        <v>375</v>
      </c>
      <c r="C53" s="343"/>
      <c r="D53" s="343"/>
      <c r="E53" s="343"/>
      <c r="F53" s="343"/>
      <c r="G53" s="343"/>
      <c r="H53" s="343"/>
      <c r="I53" s="343"/>
      <c r="J53" s="343"/>
      <c r="K53" s="343"/>
      <c r="L53" s="343"/>
      <c r="M53" s="343"/>
      <c r="N53" s="148"/>
      <c r="O53" s="148"/>
    </row>
    <row r="54" spans="1:15" ht="28.5" customHeight="1" x14ac:dyDescent="0.35">
      <c r="A54" s="144"/>
      <c r="B54" s="341" t="s">
        <v>376</v>
      </c>
      <c r="C54" s="341"/>
      <c r="D54" s="341"/>
      <c r="E54" s="341"/>
      <c r="F54" s="341"/>
      <c r="G54" s="341"/>
      <c r="H54" s="341"/>
      <c r="I54" s="341"/>
      <c r="J54" s="341"/>
      <c r="K54" s="341"/>
      <c r="L54" s="341"/>
      <c r="M54" s="341"/>
      <c r="N54" s="148"/>
      <c r="O54" s="148"/>
    </row>
    <row r="55" spans="1:15" ht="17.149999999999999" customHeight="1" x14ac:dyDescent="0.35">
      <c r="A55" s="144"/>
      <c r="B55" s="345" t="s">
        <v>377</v>
      </c>
      <c r="C55" s="345"/>
      <c r="D55" s="345"/>
      <c r="E55" s="345"/>
      <c r="F55" s="345"/>
      <c r="G55" s="345"/>
      <c r="H55" s="345"/>
      <c r="I55" s="345"/>
      <c r="J55" s="345"/>
      <c r="K55" s="345"/>
      <c r="L55" s="345"/>
      <c r="M55" s="345"/>
      <c r="N55" s="148"/>
      <c r="O55" s="148"/>
    </row>
    <row r="56" spans="1:15" ht="14.5" customHeight="1" x14ac:dyDescent="0.35">
      <c r="A56" s="144"/>
      <c r="B56" s="148"/>
      <c r="C56" s="148"/>
      <c r="D56" s="148"/>
      <c r="E56" s="148"/>
      <c r="F56" s="148"/>
      <c r="G56" s="148"/>
      <c r="H56" s="148"/>
      <c r="I56" s="148"/>
      <c r="J56" s="148"/>
      <c r="K56" s="148"/>
      <c r="L56" s="148"/>
      <c r="M56" s="148"/>
      <c r="N56" s="148"/>
      <c r="O56" s="148"/>
    </row>
    <row r="57" spans="1:15" ht="14.5" customHeight="1" x14ac:dyDescent="0.35">
      <c r="A57" s="144">
        <v>8</v>
      </c>
      <c r="B57" s="343" t="s">
        <v>378</v>
      </c>
      <c r="C57" s="343"/>
      <c r="D57" s="343"/>
      <c r="E57" s="343"/>
      <c r="F57" s="343"/>
      <c r="G57" s="343"/>
      <c r="H57" s="343"/>
      <c r="I57" s="343"/>
      <c r="J57" s="343"/>
      <c r="K57" s="343"/>
      <c r="L57" s="343"/>
      <c r="M57" s="343"/>
      <c r="N57" s="148"/>
      <c r="O57" s="148"/>
    </row>
    <row r="58" spans="1:15" ht="39" customHeight="1" x14ac:dyDescent="0.35">
      <c r="A58" s="144"/>
      <c r="B58" s="341" t="s">
        <v>379</v>
      </c>
      <c r="C58" s="341"/>
      <c r="D58" s="341"/>
      <c r="E58" s="341"/>
      <c r="F58" s="341"/>
      <c r="G58" s="341"/>
      <c r="H58" s="341"/>
      <c r="I58" s="341"/>
      <c r="J58" s="341"/>
      <c r="K58" s="341"/>
      <c r="L58" s="341"/>
      <c r="M58" s="341"/>
      <c r="N58" s="148"/>
      <c r="O58" s="148"/>
    </row>
    <row r="59" spans="1:15" ht="44.15" customHeight="1" x14ac:dyDescent="0.35">
      <c r="A59" s="144"/>
      <c r="B59" s="347" t="s">
        <v>380</v>
      </c>
      <c r="C59" s="347"/>
      <c r="D59" s="347"/>
      <c r="E59" s="347"/>
      <c r="F59" s="347"/>
      <c r="G59" s="347"/>
      <c r="H59" s="347"/>
      <c r="I59" s="347"/>
      <c r="J59" s="347"/>
      <c r="K59" s="347"/>
      <c r="L59" s="347"/>
      <c r="M59" s="347"/>
      <c r="N59" s="148"/>
      <c r="O59" s="148"/>
    </row>
    <row r="60" spans="1:15" ht="26.5" customHeight="1" x14ac:dyDescent="0.35">
      <c r="A60" s="144"/>
      <c r="B60" s="347" t="s">
        <v>381</v>
      </c>
      <c r="C60" s="347"/>
      <c r="D60" s="347"/>
      <c r="E60" s="347"/>
      <c r="F60" s="347"/>
      <c r="G60" s="347"/>
      <c r="H60" s="347"/>
      <c r="I60" s="347"/>
      <c r="J60" s="347"/>
      <c r="K60" s="347"/>
      <c r="L60" s="347"/>
      <c r="M60" s="347"/>
      <c r="N60" s="148"/>
      <c r="O60" s="148"/>
    </row>
    <row r="61" spans="1:15" ht="14.5" customHeight="1" x14ac:dyDescent="0.35">
      <c r="A61" s="144"/>
      <c r="B61" s="151"/>
      <c r="C61" s="151"/>
      <c r="D61" s="151"/>
      <c r="E61" s="151"/>
      <c r="F61" s="151"/>
      <c r="G61" s="151"/>
      <c r="H61" s="151"/>
      <c r="I61" s="151"/>
      <c r="J61" s="151"/>
      <c r="K61" s="151"/>
      <c r="L61" s="151"/>
      <c r="M61" s="151"/>
      <c r="N61" s="148"/>
      <c r="O61" s="148"/>
    </row>
    <row r="62" spans="1:15" ht="14.5" customHeight="1" x14ac:dyDescent="0.35">
      <c r="A62" s="144">
        <v>9</v>
      </c>
      <c r="B62" s="343" t="s">
        <v>382</v>
      </c>
      <c r="C62" s="343"/>
      <c r="D62" s="343"/>
      <c r="E62" s="343"/>
      <c r="F62" s="343"/>
      <c r="G62" s="343"/>
      <c r="H62" s="343"/>
      <c r="I62" s="343"/>
      <c r="J62" s="343"/>
      <c r="K62" s="343"/>
      <c r="L62" s="343"/>
      <c r="M62" s="343"/>
      <c r="N62" s="343"/>
      <c r="O62" s="343"/>
    </row>
    <row r="63" spans="1:15" ht="35.5" customHeight="1" x14ac:dyDescent="0.35">
      <c r="A63" s="144"/>
      <c r="B63" s="341" t="s">
        <v>383</v>
      </c>
      <c r="C63" s="341"/>
      <c r="D63" s="341"/>
      <c r="E63" s="341"/>
      <c r="F63" s="341"/>
      <c r="G63" s="341"/>
      <c r="H63" s="341"/>
      <c r="I63" s="341"/>
      <c r="J63" s="341"/>
      <c r="K63" s="341"/>
      <c r="L63" s="341"/>
      <c r="M63" s="341"/>
      <c r="N63" s="341"/>
      <c r="O63" s="341"/>
    </row>
    <row r="64" spans="1:15" ht="14.5" customHeight="1" x14ac:dyDescent="0.35">
      <c r="A64" s="144"/>
      <c r="B64" s="343" t="s">
        <v>352</v>
      </c>
      <c r="C64" s="343"/>
      <c r="D64" s="343"/>
      <c r="E64" s="343"/>
      <c r="F64" s="343"/>
      <c r="G64" s="343"/>
      <c r="H64" s="343"/>
      <c r="I64" s="343"/>
      <c r="J64" s="343"/>
      <c r="K64" s="343"/>
      <c r="L64" s="343"/>
      <c r="M64" s="343"/>
      <c r="N64" s="343"/>
      <c r="O64" s="343"/>
    </row>
    <row r="65" spans="1:15" ht="58.5" customHeight="1" x14ac:dyDescent="0.35">
      <c r="A65" s="144"/>
      <c r="B65" s="341" t="s">
        <v>384</v>
      </c>
      <c r="C65" s="341"/>
      <c r="D65" s="341"/>
      <c r="E65" s="341"/>
      <c r="F65" s="341"/>
      <c r="G65" s="341"/>
      <c r="H65" s="341"/>
      <c r="I65" s="341"/>
      <c r="J65" s="341"/>
      <c r="K65" s="341"/>
      <c r="L65" s="341"/>
      <c r="M65" s="341"/>
      <c r="N65" s="341"/>
      <c r="O65" s="341"/>
    </row>
    <row r="66" spans="1:15" ht="63" customHeight="1" x14ac:dyDescent="0.35">
      <c r="A66" s="144"/>
      <c r="B66" s="341" t="s">
        <v>385</v>
      </c>
      <c r="C66" s="341"/>
      <c r="D66" s="341"/>
      <c r="E66" s="341"/>
      <c r="F66" s="341"/>
      <c r="G66" s="341"/>
      <c r="H66" s="341"/>
      <c r="I66" s="341"/>
      <c r="J66" s="341"/>
      <c r="K66" s="341"/>
      <c r="L66" s="341"/>
      <c r="M66" s="341"/>
      <c r="N66" s="148"/>
      <c r="O66" s="148"/>
    </row>
    <row r="67" spans="1:15" ht="14.5" customHeight="1" x14ac:dyDescent="0.35">
      <c r="A67" s="144"/>
      <c r="B67" s="345" t="s">
        <v>386</v>
      </c>
      <c r="C67" s="345"/>
      <c r="D67" s="345"/>
      <c r="E67" s="345"/>
      <c r="F67" s="345"/>
      <c r="G67" s="345"/>
      <c r="H67" s="345"/>
      <c r="I67" s="345"/>
      <c r="J67" s="345"/>
      <c r="K67" s="345"/>
      <c r="L67" s="345"/>
      <c r="M67" s="345"/>
      <c r="N67" s="341"/>
      <c r="O67" s="341"/>
    </row>
    <row r="68" spans="1:15" ht="14.5" customHeight="1" x14ac:dyDescent="0.35">
      <c r="A68" s="144"/>
      <c r="B68" s="152"/>
      <c r="C68" s="152"/>
      <c r="D68" s="152"/>
      <c r="E68" s="152"/>
      <c r="F68" s="152"/>
      <c r="G68" s="152"/>
      <c r="H68" s="152"/>
      <c r="I68" s="152"/>
      <c r="J68" s="152"/>
      <c r="K68" s="152"/>
      <c r="L68" s="152"/>
      <c r="M68" s="152"/>
      <c r="N68" s="148"/>
      <c r="O68" s="148"/>
    </row>
    <row r="69" spans="1:15" ht="14.5" customHeight="1" x14ac:dyDescent="0.35">
      <c r="A69" s="144">
        <v>10</v>
      </c>
      <c r="B69" s="348" t="s">
        <v>387</v>
      </c>
      <c r="C69" s="348"/>
      <c r="D69" s="348"/>
      <c r="E69" s="348"/>
      <c r="F69" s="348"/>
      <c r="G69" s="348"/>
      <c r="H69" s="348"/>
      <c r="I69" s="348"/>
      <c r="J69" s="348"/>
      <c r="K69" s="348"/>
      <c r="L69" s="348"/>
      <c r="M69" s="348"/>
      <c r="N69" s="148"/>
      <c r="O69" s="148"/>
    </row>
    <row r="70" spans="1:15" ht="14.5" customHeight="1" x14ac:dyDescent="0.35">
      <c r="A70" s="144"/>
      <c r="B70" s="341" t="s">
        <v>388</v>
      </c>
      <c r="C70" s="341"/>
      <c r="D70" s="341"/>
      <c r="E70" s="341"/>
      <c r="F70" s="341"/>
      <c r="G70" s="341"/>
      <c r="H70" s="341"/>
      <c r="I70" s="341"/>
      <c r="J70" s="341"/>
      <c r="K70" s="341"/>
      <c r="L70" s="341"/>
      <c r="M70" s="341"/>
      <c r="N70" s="148"/>
      <c r="O70" s="148"/>
    </row>
    <row r="71" spans="1:15" ht="27.65" customHeight="1" x14ac:dyDescent="0.35">
      <c r="A71" s="144"/>
      <c r="B71" s="341" t="s">
        <v>389</v>
      </c>
      <c r="C71" s="341"/>
      <c r="D71" s="341"/>
      <c r="E71" s="341"/>
      <c r="F71" s="341"/>
      <c r="G71" s="341"/>
      <c r="H71" s="341"/>
      <c r="I71" s="341"/>
      <c r="J71" s="341"/>
      <c r="K71" s="341"/>
      <c r="L71" s="341"/>
      <c r="M71" s="341"/>
      <c r="N71" s="148"/>
      <c r="O71" s="148"/>
    </row>
    <row r="72" spans="1:15" ht="14.5" customHeight="1" x14ac:dyDescent="0.35">
      <c r="A72" s="144"/>
      <c r="B72" s="343" t="s">
        <v>352</v>
      </c>
      <c r="C72" s="343"/>
      <c r="D72" s="343"/>
      <c r="E72" s="343"/>
      <c r="F72" s="343"/>
      <c r="G72" s="343"/>
      <c r="H72" s="343"/>
      <c r="I72" s="343"/>
      <c r="J72" s="343"/>
      <c r="K72" s="343"/>
      <c r="L72" s="343"/>
      <c r="M72" s="343"/>
      <c r="N72" s="148"/>
      <c r="O72" s="148"/>
    </row>
    <row r="73" spans="1:15" ht="43" customHeight="1" x14ac:dyDescent="0.35">
      <c r="A73" s="144"/>
      <c r="B73" s="341" t="s">
        <v>390</v>
      </c>
      <c r="C73" s="341"/>
      <c r="D73" s="341"/>
      <c r="E73" s="341"/>
      <c r="F73" s="341"/>
      <c r="G73" s="341"/>
      <c r="H73" s="341"/>
      <c r="I73" s="341"/>
      <c r="J73" s="341"/>
      <c r="K73" s="341"/>
      <c r="L73" s="341"/>
      <c r="M73" s="341"/>
      <c r="N73" s="148"/>
      <c r="O73" s="148"/>
    </row>
    <row r="74" spans="1:15" x14ac:dyDescent="0.35">
      <c r="A74" s="144"/>
      <c r="B74" s="341"/>
      <c r="C74" s="341"/>
      <c r="D74" s="341"/>
      <c r="E74" s="341"/>
      <c r="F74" s="341"/>
      <c r="G74" s="341"/>
      <c r="H74" s="341"/>
      <c r="I74" s="341"/>
      <c r="J74" s="341"/>
      <c r="K74" s="341"/>
      <c r="L74" s="341"/>
      <c r="M74" s="341"/>
      <c r="N74" s="341"/>
      <c r="O74" s="341"/>
    </row>
    <row r="75" spans="1:15" ht="14.5" customHeight="1" x14ac:dyDescent="0.35">
      <c r="A75" s="144">
        <v>11</v>
      </c>
      <c r="B75" s="348" t="s">
        <v>391</v>
      </c>
      <c r="C75" s="348"/>
      <c r="D75" s="348"/>
      <c r="E75" s="348"/>
      <c r="F75" s="348"/>
      <c r="G75" s="348"/>
      <c r="H75" s="348"/>
      <c r="I75" s="348"/>
      <c r="J75" s="348"/>
      <c r="K75" s="348"/>
      <c r="L75" s="348"/>
      <c r="M75" s="348"/>
      <c r="N75" s="149"/>
      <c r="O75" s="149"/>
    </row>
    <row r="76" spans="1:15" ht="52.5" customHeight="1" x14ac:dyDescent="0.35">
      <c r="A76" s="144"/>
      <c r="B76" s="347" t="s">
        <v>392</v>
      </c>
      <c r="C76" s="347"/>
      <c r="D76" s="347"/>
      <c r="E76" s="347"/>
      <c r="F76" s="347"/>
      <c r="G76" s="347"/>
      <c r="H76" s="347"/>
      <c r="I76" s="347"/>
      <c r="J76" s="347"/>
      <c r="K76" s="347"/>
      <c r="L76" s="347"/>
      <c r="M76" s="347"/>
      <c r="N76" s="150"/>
      <c r="O76" s="150"/>
    </row>
    <row r="77" spans="1:15" ht="29.15" customHeight="1" x14ac:dyDescent="0.35">
      <c r="A77" s="144"/>
      <c r="B77" s="347" t="s">
        <v>393</v>
      </c>
      <c r="C77" s="347"/>
      <c r="D77" s="347"/>
      <c r="E77" s="347"/>
      <c r="F77" s="347"/>
      <c r="G77" s="347"/>
      <c r="H77" s="347"/>
      <c r="I77" s="347"/>
      <c r="J77" s="347"/>
      <c r="K77" s="347"/>
      <c r="L77" s="347"/>
      <c r="M77" s="347"/>
      <c r="N77" s="150"/>
      <c r="O77" s="150"/>
    </row>
    <row r="78" spans="1:15" ht="14.5" customHeight="1" x14ac:dyDescent="0.35">
      <c r="A78" s="144"/>
      <c r="B78" s="348" t="s">
        <v>226</v>
      </c>
      <c r="C78" s="348"/>
      <c r="D78" s="348"/>
      <c r="E78" s="348"/>
      <c r="F78" s="348"/>
      <c r="G78" s="348"/>
      <c r="H78" s="348"/>
      <c r="I78" s="348"/>
      <c r="J78" s="348"/>
      <c r="K78" s="348"/>
      <c r="L78" s="348"/>
      <c r="M78" s="348"/>
      <c r="N78" s="348"/>
      <c r="O78" s="348"/>
    </row>
    <row r="79" spans="1:15" ht="12.65" customHeight="1" x14ac:dyDescent="0.35">
      <c r="A79" s="144"/>
      <c r="B79" s="347" t="s">
        <v>394</v>
      </c>
      <c r="C79" s="347"/>
      <c r="D79" s="347"/>
      <c r="E79" s="347"/>
      <c r="F79" s="347"/>
      <c r="G79" s="347"/>
      <c r="H79" s="347"/>
      <c r="I79" s="347"/>
      <c r="J79" s="347"/>
      <c r="K79" s="347"/>
      <c r="L79" s="347"/>
      <c r="M79" s="347"/>
      <c r="N79" s="347"/>
      <c r="O79" s="347"/>
    </row>
    <row r="80" spans="1:15" ht="14.5" customHeight="1" x14ac:dyDescent="0.35">
      <c r="A80" s="144"/>
      <c r="B80" s="347"/>
      <c r="C80" s="347"/>
      <c r="D80" s="347"/>
      <c r="E80" s="347"/>
      <c r="F80" s="347"/>
      <c r="G80" s="347"/>
      <c r="H80" s="347"/>
      <c r="I80" s="347"/>
      <c r="J80" s="347"/>
      <c r="K80" s="347"/>
      <c r="L80" s="347"/>
      <c r="M80" s="347"/>
      <c r="N80" s="347"/>
      <c r="O80" s="347"/>
    </row>
    <row r="81" spans="1:15" ht="14.5" customHeight="1" x14ac:dyDescent="0.35">
      <c r="A81" s="144">
        <v>12</v>
      </c>
      <c r="B81" s="343" t="s">
        <v>70</v>
      </c>
      <c r="C81" s="343"/>
      <c r="D81" s="343"/>
      <c r="E81" s="343"/>
      <c r="F81" s="343"/>
      <c r="G81" s="343"/>
      <c r="H81" s="343"/>
      <c r="I81" s="343"/>
      <c r="J81" s="343"/>
      <c r="K81" s="343"/>
      <c r="L81" s="343"/>
      <c r="M81" s="343"/>
      <c r="N81" s="343"/>
      <c r="O81" s="343"/>
    </row>
    <row r="82" spans="1:15" ht="28" customHeight="1" x14ac:dyDescent="0.35">
      <c r="A82" s="144"/>
      <c r="B82" s="341" t="s">
        <v>395</v>
      </c>
      <c r="C82" s="341"/>
      <c r="D82" s="341"/>
      <c r="E82" s="341"/>
      <c r="F82" s="341"/>
      <c r="G82" s="341"/>
      <c r="H82" s="341"/>
      <c r="I82" s="341"/>
      <c r="J82" s="341"/>
      <c r="K82" s="341"/>
      <c r="L82" s="341"/>
      <c r="M82" s="341"/>
      <c r="N82" s="341"/>
      <c r="O82" s="341"/>
    </row>
    <row r="83" spans="1:15" ht="57" customHeight="1" x14ac:dyDescent="0.35">
      <c r="A83" s="144"/>
      <c r="B83" s="346" t="s">
        <v>396</v>
      </c>
      <c r="C83" s="341"/>
      <c r="D83" s="341"/>
      <c r="E83" s="341"/>
      <c r="F83" s="341"/>
      <c r="G83" s="341"/>
      <c r="H83" s="341"/>
      <c r="I83" s="341"/>
      <c r="J83" s="341"/>
      <c r="K83" s="341"/>
      <c r="L83" s="341"/>
      <c r="M83" s="341"/>
      <c r="N83" s="341"/>
      <c r="O83" s="341"/>
    </row>
    <row r="84" spans="1:15" ht="14.5" customHeight="1" x14ac:dyDescent="0.35">
      <c r="B84" s="6"/>
      <c r="C84" s="6"/>
      <c r="D84" s="6"/>
      <c r="E84" s="6"/>
      <c r="F84" s="6"/>
      <c r="G84" s="6"/>
      <c r="H84" s="6"/>
      <c r="I84" s="6"/>
      <c r="J84" s="6"/>
      <c r="K84" s="6"/>
      <c r="L84" s="6"/>
      <c r="M84" s="6"/>
      <c r="N84" s="6"/>
      <c r="O84" s="6"/>
    </row>
    <row r="85" spans="1:15" ht="14.5" customHeight="1" x14ac:dyDescent="0.35">
      <c r="L85" s="6"/>
      <c r="M85" s="6"/>
      <c r="N85" s="6"/>
      <c r="O85" s="6"/>
    </row>
    <row r="86" spans="1:15" ht="14.5" customHeight="1" x14ac:dyDescent="0.35">
      <c r="L86" s="6"/>
      <c r="M86" s="6"/>
      <c r="N86" s="6"/>
      <c r="O86" s="6"/>
    </row>
    <row r="87" spans="1:15" ht="14.5" customHeight="1" x14ac:dyDescent="0.35">
      <c r="L87" s="6"/>
      <c r="M87" s="6"/>
      <c r="N87" s="6"/>
      <c r="O87" s="6"/>
    </row>
    <row r="88" spans="1:15" ht="14.5" customHeight="1" x14ac:dyDescent="0.35">
      <c r="L88" s="6"/>
      <c r="M88" s="6"/>
      <c r="N88" s="6"/>
      <c r="O88" s="6"/>
    </row>
    <row r="89" spans="1:15" ht="14.5" customHeight="1" x14ac:dyDescent="0.35">
      <c r="L89" s="6"/>
      <c r="M89" s="6"/>
      <c r="N89" s="6"/>
      <c r="O89" s="6"/>
    </row>
    <row r="90" spans="1:15" ht="14.5" customHeight="1" x14ac:dyDescent="0.35">
      <c r="B90" s="6"/>
      <c r="C90" s="6"/>
      <c r="D90" s="6"/>
      <c r="E90" s="6"/>
      <c r="F90" s="6"/>
      <c r="G90" s="6"/>
      <c r="H90" s="6"/>
      <c r="I90" s="6"/>
      <c r="J90" s="6"/>
      <c r="K90" s="6"/>
      <c r="L90" s="6"/>
      <c r="M90" s="6"/>
      <c r="N90" s="6"/>
      <c r="O90" s="6"/>
    </row>
    <row r="91" spans="1:15" ht="14.5" customHeight="1" x14ac:dyDescent="0.35">
      <c r="B91" s="6"/>
      <c r="C91" s="6"/>
      <c r="D91" s="6"/>
      <c r="E91" s="6"/>
      <c r="F91" s="6"/>
      <c r="G91" s="6"/>
      <c r="H91" s="6"/>
      <c r="I91" s="6"/>
      <c r="J91" s="6"/>
      <c r="K91" s="6"/>
      <c r="L91" s="6"/>
      <c r="M91" s="6"/>
      <c r="N91" s="6"/>
      <c r="O91" s="6"/>
    </row>
    <row r="92" spans="1:15" ht="14.5" customHeight="1" x14ac:dyDescent="0.35">
      <c r="B92" s="6"/>
      <c r="C92" s="6"/>
      <c r="D92" s="6"/>
      <c r="E92" s="6"/>
      <c r="F92" s="6"/>
      <c r="G92" s="6"/>
      <c r="H92" s="6"/>
      <c r="I92" s="6"/>
      <c r="J92" s="6"/>
      <c r="K92" s="6"/>
      <c r="L92" s="6"/>
      <c r="M92" s="6"/>
      <c r="N92" s="6"/>
      <c r="O92" s="6"/>
    </row>
  </sheetData>
  <mergeCells count="80">
    <mergeCell ref="B49:M49"/>
    <mergeCell ref="B50:M50"/>
    <mergeCell ref="B51:M51"/>
    <mergeCell ref="B10:M10"/>
    <mergeCell ref="B11:M11"/>
    <mergeCell ref="B12:M12"/>
    <mergeCell ref="B40:M40"/>
    <mergeCell ref="B46:M46"/>
    <mergeCell ref="B43:M43"/>
    <mergeCell ref="B34:M34"/>
    <mergeCell ref="B38:M38"/>
    <mergeCell ref="B44:M44"/>
    <mergeCell ref="B23:M23"/>
    <mergeCell ref="B24:M24"/>
    <mergeCell ref="B25:M25"/>
    <mergeCell ref="B45:M45"/>
    <mergeCell ref="N67:O67"/>
    <mergeCell ref="B74:M74"/>
    <mergeCell ref="N74:O74"/>
    <mergeCell ref="B64:M64"/>
    <mergeCell ref="N64:O64"/>
    <mergeCell ref="B69:M69"/>
    <mergeCell ref="N65:O65"/>
    <mergeCell ref="B75:M75"/>
    <mergeCell ref="B76:M76"/>
    <mergeCell ref="B58:M58"/>
    <mergeCell ref="B59:M59"/>
    <mergeCell ref="B60:M60"/>
    <mergeCell ref="B67:M67"/>
    <mergeCell ref="B65:M65"/>
    <mergeCell ref="B66:M66"/>
    <mergeCell ref="B70:M70"/>
    <mergeCell ref="B71:M71"/>
    <mergeCell ref="B72:M72"/>
    <mergeCell ref="B73:M73"/>
    <mergeCell ref="B83:M83"/>
    <mergeCell ref="N83:O83"/>
    <mergeCell ref="B77:M77"/>
    <mergeCell ref="B79:M79"/>
    <mergeCell ref="N79:O79"/>
    <mergeCell ref="B80:M80"/>
    <mergeCell ref="N80:O80"/>
    <mergeCell ref="B78:O78"/>
    <mergeCell ref="B81:M81"/>
    <mergeCell ref="N81:O81"/>
    <mergeCell ref="B82:M82"/>
    <mergeCell ref="N82:O82"/>
    <mergeCell ref="B53:M53"/>
    <mergeCell ref="B54:M54"/>
    <mergeCell ref="B62:M62"/>
    <mergeCell ref="N62:O62"/>
    <mergeCell ref="B63:M63"/>
    <mergeCell ref="N63:O63"/>
    <mergeCell ref="B57:M57"/>
    <mergeCell ref="B55:M55"/>
    <mergeCell ref="N41:O41"/>
    <mergeCell ref="B35:M35"/>
    <mergeCell ref="N42:O42"/>
    <mergeCell ref="B36:M36"/>
    <mergeCell ref="N43:O43"/>
    <mergeCell ref="B39:M39"/>
    <mergeCell ref="B37:M37"/>
    <mergeCell ref="N7:O7"/>
    <mergeCell ref="B9:M9"/>
    <mergeCell ref="B14:M14"/>
    <mergeCell ref="B15:M15"/>
    <mergeCell ref="B18:M18"/>
    <mergeCell ref="B47:M47"/>
    <mergeCell ref="B16:M16"/>
    <mergeCell ref="B5:D5"/>
    <mergeCell ref="B41:M41"/>
    <mergeCell ref="B7:M7"/>
    <mergeCell ref="B19:M19"/>
    <mergeCell ref="B21:M21"/>
    <mergeCell ref="B26:M26"/>
    <mergeCell ref="B27:M27"/>
    <mergeCell ref="B29:M29"/>
    <mergeCell ref="B30:M30"/>
    <mergeCell ref="B31:M31"/>
    <mergeCell ref="B32:M3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topLeftCell="A11" workbookViewId="0">
      <selection activeCell="E11" sqref="E11"/>
    </sheetView>
  </sheetViews>
  <sheetFormatPr defaultRowHeight="14.5" x14ac:dyDescent="0.35"/>
  <cols>
    <col min="5" max="5" width="112.54296875" customWidth="1"/>
    <col min="6" max="7" width="8.7265625" style="85"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84" t="s">
        <v>397</v>
      </c>
      <c r="E3" s="84" t="s">
        <v>398</v>
      </c>
      <c r="F3" s="88"/>
      <c r="G3" s="89"/>
    </row>
    <row r="4" spans="4:9" ht="79" customHeight="1" thickBot="1" x14ac:dyDescent="0.4">
      <c r="E4" s="96" t="str" cm="1">
        <f t="array" ref="E4:G4">'Step 1'!C75:E75</f>
        <v>The SOW under assessment terminates, supersedes, and replaces the Professional Services Agreement by and between the Parties dated January 16, 2018 in its entirety, including all statements of work thereunder (collectively, the “Prior Agreement”). All rights and obligations (including payment obligations) of the Parties under the Prior Agreement and any disputes arising therefrom will be superseded and governed by the terms and conditions of this Statement of Work and the Master Agreement. Hence, the contract has been treated as the separate contract.</v>
      </c>
      <c r="F4" s="86">
        <v>0</v>
      </c>
      <c r="G4" s="87">
        <v>0</v>
      </c>
    </row>
    <row r="5" spans="4:9" ht="15" thickBot="1" x14ac:dyDescent="0.4"/>
    <row r="6" spans="4:9" ht="15" thickBot="1" x14ac:dyDescent="0.4">
      <c r="D6" s="84" t="s">
        <v>399</v>
      </c>
      <c r="E6" s="84" t="s">
        <v>398</v>
      </c>
      <c r="F6" s="88"/>
      <c r="G6" s="89"/>
    </row>
    <row r="7" spans="4:9" ht="143.15" customHeight="1" thickBot="1" x14ac:dyDescent="0.4">
      <c r="E7" s="95" t="str" cm="1">
        <f t="array" ref="E7:I7">'Step 2'!D29:H29</f>
        <v>As per above evaluation, we conclude that “General requirement for PTP, OTC, CAPEX &amp; RTR  - General Accounting, Revenue Integration, Accounts Payable, Accounts Receivable,Inquires &amp; Disputes (A/P and A/R) and CAPP invoice processing” are single performance obligation by applying series guidance. 
Technology/ Tools and Transformation services a merely set-up activities as it is not providing any incremental benefit to the customer as the customer cannot benefit from the Technology / the Implementation of these tools alone which means that it is not capable of being distinct from the BPM service. The implementation of Tools and Solutions / Technology services are required to be performed so that XYZ can deliver its contracted service of business process outsourcing. Technology/ Tools and Transformation  and BPM services are not separately identified here because Technology/ Tools and Transformation services are inputs to the combined output (i.e. the BPM service) for which the customer has contracted, such that the entity is providing a significant integration service of combining those inputs into that combined output.</v>
      </c>
      <c r="F7" s="86">
        <v>0</v>
      </c>
      <c r="G7" s="87">
        <v>0</v>
      </c>
      <c r="H7">
        <v>0</v>
      </c>
      <c r="I7">
        <v>0</v>
      </c>
    </row>
    <row r="8" spans="4:9" ht="15" thickBot="1" x14ac:dyDescent="0.4"/>
    <row r="9" spans="4:9" ht="15" thickBot="1" x14ac:dyDescent="0.4">
      <c r="D9" s="84" t="s">
        <v>400</v>
      </c>
      <c r="E9" s="84" t="s">
        <v>398</v>
      </c>
      <c r="F9" s="88"/>
      <c r="G9" s="89"/>
    </row>
    <row r="10" spans="4:9" ht="247" customHeight="1" thickBot="1" x14ac:dyDescent="0.4">
      <c r="E10" s="153" t="str" cm="1">
        <f t="array" ref="E10:G10">'Step 3'!D65:F65</f>
        <v xml:space="preserve">Service credits/ penalty : Service credits is applicable only for 6 key metrics identified in the contrac. The measurement period for Key metrics for Year 1 is 9 months and from subsequent years it is 12 months.If specifict key metrics is not met for 3 month during the measurement period.
In this case service levels for key metrics are measured on yearly basis. Since the measurement period is more than a month, estimation of service level credits is done using expected value method. The expected service credits will be accounted as reduction to revenue on monthly basis in case of service level defaults.
Penalty is applicable only for specific LOBs where SLA is missed and not on overall revenue. Penalty on specific LOBs SLA  will be recorded as reduction to revenue on monthly basis based on service level default. Since the measurement period is monthly and quarterly for some SLA's, estimation of service credits at the inception can be foregone  for monthly SLA's as the estimated amount per month and actuals will almost be the same and for quaterly measurement period it should be estimated using expected value method after applying the constraints to the amount,if any.
Earnback should be estimated using Most Likely Method as there would be only two possible outcomes  i.e. whether service levels will be met or not met.  Earnback will be accounted as revenue. In the absence of specified conditions and measurement parameters for earnback in the contract, we have currently defined only the accounting aspects.
Gain share is in the nature of efficiency gains which are being passed on to client over the period of the contract. Gain share [XYZ share] will be accounted as  revenue. The gain share revenues would be estimated using an appropriate method i.e. most likely method and should be accrued on a monthly basis after applying the contrainst to it if any.
Economic Change Adjustment - COLA - As we are using practical expedient of 'As invoiced', COLA will be applied prospectively.
</v>
      </c>
      <c r="F10" s="86">
        <v>0</v>
      </c>
      <c r="G10" s="87">
        <v>0</v>
      </c>
    </row>
    <row r="11" spans="4:9" ht="30" customHeight="1" thickBot="1" x14ac:dyDescent="0.4">
      <c r="E11" s="95" cm="1">
        <f t="array" ref="E11:G11">'Step 3'!D81:F81</f>
        <v>0</v>
      </c>
      <c r="F11" s="86">
        <v>0</v>
      </c>
      <c r="G11" s="87">
        <v>0</v>
      </c>
    </row>
    <row r="12" spans="4:9" ht="30" customHeight="1" thickBot="1" x14ac:dyDescent="0.4">
      <c r="E12" s="95" t="str" cm="1">
        <f t="array" ref="E12:G12">'Step 3'!D104:F104</f>
        <v>NA</v>
      </c>
      <c r="F12" s="86">
        <v>0</v>
      </c>
      <c r="G12" s="87">
        <v>0</v>
      </c>
    </row>
    <row r="13" spans="4:9" ht="30" customHeight="1" thickBot="1" x14ac:dyDescent="0.4">
      <c r="E13" s="95" t="str" cm="1">
        <f t="array" ref="E13:G13">'Step 3'!D117:F117</f>
        <v>No financing component</v>
      </c>
      <c r="F13" s="86">
        <v>0</v>
      </c>
      <c r="G13" s="87">
        <v>0</v>
      </c>
    </row>
    <row r="14" spans="4:9" ht="15" thickBot="1" x14ac:dyDescent="0.4"/>
    <row r="15" spans="4:9" ht="15" thickBot="1" x14ac:dyDescent="0.4">
      <c r="D15" s="84" t="s">
        <v>401</v>
      </c>
      <c r="E15" s="84" t="s">
        <v>398</v>
      </c>
      <c r="F15" s="88"/>
      <c r="G15" s="89"/>
    </row>
    <row r="16" spans="4:9" ht="30" customHeight="1" thickBot="1" x14ac:dyDescent="0.4">
      <c r="E16" s="96" t="str" cm="1">
        <f t="array" ref="E16:G16">'Step 4'!D23:F23</f>
        <v>Since there is only 1 performance obligation, allocation of transaction price is not required</v>
      </c>
      <c r="F16" s="86">
        <v>0</v>
      </c>
      <c r="G16" s="87">
        <v>0</v>
      </c>
    </row>
    <row r="17" spans="4:7" ht="30" customHeight="1" thickBot="1" x14ac:dyDescent="0.4">
      <c r="E17" s="96" t="str" cm="1">
        <f t="array" ref="E17:G17">'Step 4'!D39:F39</f>
        <v>Not required to be allocated as only 1 performance obligation has been identified in the contract.</v>
      </c>
      <c r="F17" s="98">
        <v>0</v>
      </c>
      <c r="G17" s="98">
        <v>0</v>
      </c>
    </row>
    <row r="18" spans="4:7" ht="15" thickBot="1" x14ac:dyDescent="0.4"/>
    <row r="19" spans="4:7" ht="15" thickBot="1" x14ac:dyDescent="0.4">
      <c r="D19" s="84" t="s">
        <v>402</v>
      </c>
      <c r="E19" s="84" t="s">
        <v>398</v>
      </c>
    </row>
    <row r="20" spans="4:7" ht="15" thickBot="1" x14ac:dyDescent="0.4">
      <c r="E20" s="96" t="str">
        <f>'Step 5'!H17</f>
        <v>Performance obligation is satisfied over time</v>
      </c>
    </row>
    <row r="21" spans="4:7" ht="15" thickBot="1" x14ac:dyDescent="0.4">
      <c r="E21" s="96" t="str">
        <f>'Step 5'!H18</f>
        <v/>
      </c>
    </row>
    <row r="22" spans="4:7" ht="15" thickBot="1" x14ac:dyDescent="0.4">
      <c r="E22" s="96" t="str">
        <f>'Step 5'!H19</f>
        <v/>
      </c>
    </row>
    <row r="23" spans="4:7" ht="15" thickBot="1" x14ac:dyDescent="0.4">
      <c r="E23" s="96" t="str">
        <f>'Step 5'!H20</f>
        <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activeCell="F6" sqref="F6"/>
      <selection pane="bottomLeft" activeCell="F6" sqref="F6"/>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403</v>
      </c>
      <c r="B1" s="2" t="s">
        <v>404</v>
      </c>
      <c r="C1" s="2" t="s">
        <v>405</v>
      </c>
      <c r="D1" s="2" t="s">
        <v>406</v>
      </c>
      <c r="E1" s="2" t="s">
        <v>407</v>
      </c>
      <c r="F1" s="2" t="s">
        <v>408</v>
      </c>
      <c r="G1" s="2" t="s">
        <v>409</v>
      </c>
      <c r="H1" s="2" t="s">
        <v>410</v>
      </c>
      <c r="I1" s="2" t="s">
        <v>411</v>
      </c>
      <c r="J1" s="11" t="s">
        <v>412</v>
      </c>
    </row>
    <row r="2" spans="1:10" ht="15" customHeight="1" x14ac:dyDescent="0.35">
      <c r="A2" s="1" t="s">
        <v>413</v>
      </c>
      <c r="B2" s="1" t="s">
        <v>414</v>
      </c>
      <c r="C2" s="1"/>
      <c r="D2" s="1"/>
      <c r="E2" s="1"/>
      <c r="F2" s="3">
        <v>43466</v>
      </c>
      <c r="G2" s="3">
        <v>43471</v>
      </c>
      <c r="H2" s="1" t="s">
        <v>415</v>
      </c>
      <c r="I2" s="4">
        <v>0.2</v>
      </c>
      <c r="J2" s="10" t="str">
        <f ca="1">IF(H2="Completed","G",IF(H2="In Progress",IF(TODAY()&gt;G2,"A","G"),IF(H2="Pending",IF(TODAY()&gt;F2,"R",""),"")))</f>
        <v>G</v>
      </c>
    </row>
    <row r="3" spans="1:10" ht="15" customHeight="1" x14ac:dyDescent="0.35">
      <c r="A3" s="1" t="s">
        <v>416</v>
      </c>
      <c r="B3" s="1" t="s">
        <v>414</v>
      </c>
      <c r="C3" s="1"/>
      <c r="D3" s="1"/>
      <c r="E3" s="1"/>
      <c r="F3" s="3">
        <v>43469</v>
      </c>
      <c r="G3" s="3">
        <v>43474</v>
      </c>
      <c r="H3" s="1" t="s">
        <v>415</v>
      </c>
      <c r="I3" s="4">
        <v>0.62</v>
      </c>
      <c r="J3" s="10" t="str">
        <f t="shared" ref="J3:J66" ca="1" si="0">IF(H3="Completed","G",IF(H3="In Progress",IF(TODAY()&gt;G3,"A","G"),IF(H3="Pending",IF(TODAY()&gt;F3,"R",""),"")))</f>
        <v>G</v>
      </c>
    </row>
    <row r="4" spans="1:10" ht="15" customHeight="1" x14ac:dyDescent="0.35">
      <c r="A4" s="1" t="s">
        <v>417</v>
      </c>
      <c r="B4" s="1" t="s">
        <v>418</v>
      </c>
      <c r="C4" s="1"/>
      <c r="D4" s="1"/>
      <c r="E4" s="1"/>
      <c r="F4" s="3">
        <v>43472</v>
      </c>
      <c r="G4" s="3">
        <v>43476</v>
      </c>
      <c r="H4" s="1" t="s">
        <v>415</v>
      </c>
      <c r="I4" s="4">
        <v>0</v>
      </c>
      <c r="J4" s="10" t="str">
        <f t="shared" ca="1" si="0"/>
        <v>G</v>
      </c>
    </row>
    <row r="5" spans="1:10" ht="15" customHeight="1" x14ac:dyDescent="0.35">
      <c r="A5" s="1" t="s">
        <v>419</v>
      </c>
      <c r="B5" s="1" t="s">
        <v>420</v>
      </c>
      <c r="C5" s="1"/>
      <c r="D5" s="1"/>
      <c r="E5" s="1"/>
      <c r="F5" s="3">
        <v>43475</v>
      </c>
      <c r="G5" s="3">
        <v>43477</v>
      </c>
      <c r="H5" s="1" t="s">
        <v>421</v>
      </c>
      <c r="I5" s="4">
        <v>0.42</v>
      </c>
      <c r="J5" s="10" t="str">
        <f t="shared" ca="1" si="0"/>
        <v>A</v>
      </c>
    </row>
    <row r="6" spans="1:10" ht="15" customHeight="1" x14ac:dyDescent="0.35">
      <c r="A6" s="1" t="s">
        <v>422</v>
      </c>
      <c r="B6" s="1" t="s">
        <v>420</v>
      </c>
      <c r="C6" s="1"/>
      <c r="D6" s="1"/>
      <c r="E6" s="1"/>
      <c r="F6" s="3">
        <v>43476</v>
      </c>
      <c r="G6" s="3">
        <v>43485</v>
      </c>
      <c r="H6" s="1" t="s">
        <v>415</v>
      </c>
      <c r="I6" s="4">
        <v>0.33</v>
      </c>
      <c r="J6" s="10" t="str">
        <f t="shared" ca="1" si="0"/>
        <v>G</v>
      </c>
    </row>
    <row r="7" spans="1:10" ht="15" customHeight="1" x14ac:dyDescent="0.35">
      <c r="A7" s="1" t="s">
        <v>423</v>
      </c>
      <c r="B7" s="1" t="s">
        <v>424</v>
      </c>
      <c r="C7" s="1"/>
      <c r="D7" s="1"/>
      <c r="E7" s="1"/>
      <c r="F7" s="3">
        <v>43486</v>
      </c>
      <c r="G7" s="3">
        <v>43490</v>
      </c>
      <c r="H7" s="1" t="s">
        <v>415</v>
      </c>
      <c r="I7" s="4">
        <v>0.78</v>
      </c>
      <c r="J7" s="10" t="str">
        <f t="shared" ca="1" si="0"/>
        <v>G</v>
      </c>
    </row>
    <row r="8" spans="1:10" ht="15" customHeight="1" x14ac:dyDescent="0.35">
      <c r="A8" s="1" t="s">
        <v>425</v>
      </c>
      <c r="B8" s="1" t="s">
        <v>426</v>
      </c>
      <c r="C8" s="1"/>
      <c r="D8" s="1"/>
      <c r="E8" s="1"/>
      <c r="F8" s="3">
        <v>43489</v>
      </c>
      <c r="G8" s="3">
        <v>43495</v>
      </c>
      <c r="H8" s="1" t="s">
        <v>415</v>
      </c>
      <c r="I8" s="4">
        <v>1</v>
      </c>
      <c r="J8" s="10" t="str">
        <f t="shared" ca="1" si="0"/>
        <v>G</v>
      </c>
    </row>
    <row r="9" spans="1:10" ht="15" customHeight="1" x14ac:dyDescent="0.35">
      <c r="A9" s="1" t="s">
        <v>427</v>
      </c>
      <c r="B9" s="1" t="s">
        <v>428</v>
      </c>
      <c r="C9" s="1"/>
      <c r="D9" s="1"/>
      <c r="E9" s="1"/>
      <c r="F9" s="3">
        <v>43495</v>
      </c>
      <c r="G9" s="3">
        <v>43499</v>
      </c>
      <c r="H9" s="1" t="s">
        <v>415</v>
      </c>
      <c r="I9" s="4">
        <v>0</v>
      </c>
      <c r="J9" s="10" t="str">
        <f t="shared" ca="1" si="0"/>
        <v>G</v>
      </c>
    </row>
    <row r="10" spans="1:10" ht="15" customHeight="1" x14ac:dyDescent="0.35">
      <c r="A10" s="1" t="s">
        <v>429</v>
      </c>
      <c r="B10" s="1" t="s">
        <v>430</v>
      </c>
      <c r="C10" s="1"/>
      <c r="D10" s="1"/>
      <c r="E10" s="1"/>
      <c r="F10" s="3">
        <v>43504</v>
      </c>
      <c r="G10" s="3">
        <v>43508</v>
      </c>
      <c r="H10" s="1" t="s">
        <v>415</v>
      </c>
      <c r="I10" s="4">
        <v>0</v>
      </c>
      <c r="J10" s="10" t="str">
        <f t="shared" ca="1" si="0"/>
        <v>G</v>
      </c>
    </row>
    <row r="11" spans="1:10" ht="15" customHeight="1" x14ac:dyDescent="0.35">
      <c r="A11" s="1" t="s">
        <v>431</v>
      </c>
      <c r="B11" s="1" t="s">
        <v>432</v>
      </c>
      <c r="C11" s="1"/>
      <c r="D11" s="1"/>
      <c r="E11" s="1"/>
      <c r="F11" s="3">
        <v>43506</v>
      </c>
      <c r="G11" s="3">
        <v>43513</v>
      </c>
      <c r="H11" s="1" t="s">
        <v>415</v>
      </c>
      <c r="I11" s="4">
        <v>0</v>
      </c>
      <c r="J11" s="10" t="str">
        <f t="shared" ca="1" si="0"/>
        <v>G</v>
      </c>
    </row>
    <row r="12" spans="1:10" ht="15" customHeight="1" x14ac:dyDescent="0.35">
      <c r="A12" s="1" t="s">
        <v>433</v>
      </c>
      <c r="B12" s="1" t="s">
        <v>418</v>
      </c>
      <c r="C12" s="1"/>
      <c r="D12" s="1"/>
      <c r="E12" s="1"/>
      <c r="F12" s="3">
        <v>43512</v>
      </c>
      <c r="G12" s="3">
        <v>43520</v>
      </c>
      <c r="H12" s="1" t="s">
        <v>421</v>
      </c>
      <c r="I12" s="4">
        <v>1</v>
      </c>
      <c r="J12" s="10" t="str">
        <f t="shared" ca="1" si="0"/>
        <v>A</v>
      </c>
    </row>
    <row r="13" spans="1:10" ht="15" customHeight="1" x14ac:dyDescent="0.35">
      <c r="A13" s="1" t="s">
        <v>434</v>
      </c>
      <c r="B13" s="1" t="s">
        <v>435</v>
      </c>
      <c r="C13" s="1"/>
      <c r="D13" s="1"/>
      <c r="E13" s="1"/>
      <c r="F13" s="3">
        <v>43519</v>
      </c>
      <c r="G13" s="3">
        <v>43529</v>
      </c>
      <c r="H13" s="1" t="s">
        <v>421</v>
      </c>
      <c r="I13" s="4">
        <v>0</v>
      </c>
      <c r="J13" s="10" t="str">
        <f t="shared" ca="1" si="0"/>
        <v>A</v>
      </c>
    </row>
    <row r="14" spans="1:10" ht="15" customHeight="1" x14ac:dyDescent="0.35">
      <c r="A14" s="1" t="s">
        <v>436</v>
      </c>
      <c r="B14" s="1" t="s">
        <v>437</v>
      </c>
      <c r="C14" s="1"/>
      <c r="D14" s="1"/>
      <c r="E14" s="1"/>
      <c r="F14" s="3">
        <v>43530</v>
      </c>
      <c r="G14" s="3">
        <v>43533</v>
      </c>
      <c r="H14" s="1" t="s">
        <v>421</v>
      </c>
      <c r="I14" s="4">
        <v>0</v>
      </c>
      <c r="J14" s="10" t="str">
        <f t="shared" ca="1" si="0"/>
        <v>A</v>
      </c>
    </row>
    <row r="15" spans="1:10" ht="15" customHeight="1" x14ac:dyDescent="0.35">
      <c r="A15" s="1" t="s">
        <v>438</v>
      </c>
      <c r="B15" s="1" t="s">
        <v>426</v>
      </c>
      <c r="C15" s="1"/>
      <c r="D15" s="1"/>
      <c r="E15" s="1"/>
      <c r="F15" s="3">
        <v>43531</v>
      </c>
      <c r="G15" s="3">
        <v>43536</v>
      </c>
      <c r="H15" s="1" t="s">
        <v>421</v>
      </c>
      <c r="I15" s="4">
        <v>0</v>
      </c>
      <c r="J15" s="10" t="str">
        <f t="shared" ca="1" si="0"/>
        <v>A</v>
      </c>
    </row>
    <row r="16" spans="1:10" ht="15" customHeight="1" x14ac:dyDescent="0.35">
      <c r="A16" s="1" t="s">
        <v>439</v>
      </c>
      <c r="B16" s="1" t="s">
        <v>440</v>
      </c>
      <c r="C16" s="1"/>
      <c r="D16" s="1"/>
      <c r="E16" s="1"/>
      <c r="F16" s="3">
        <v>43537</v>
      </c>
      <c r="G16" s="3">
        <v>43540</v>
      </c>
      <c r="H16" s="1" t="s">
        <v>421</v>
      </c>
      <c r="I16" s="4">
        <v>1</v>
      </c>
      <c r="J16" s="10" t="str">
        <f t="shared" ca="1" si="0"/>
        <v>A</v>
      </c>
    </row>
    <row r="17" spans="1:10" ht="15" customHeight="1" x14ac:dyDescent="0.35">
      <c r="A17" s="1" t="s">
        <v>441</v>
      </c>
      <c r="B17" s="1" t="s">
        <v>442</v>
      </c>
      <c r="C17" s="1"/>
      <c r="D17" s="1"/>
      <c r="E17" s="1"/>
      <c r="F17" s="3">
        <v>43539</v>
      </c>
      <c r="G17" s="3">
        <v>43547</v>
      </c>
      <c r="H17" s="1" t="s">
        <v>421</v>
      </c>
      <c r="I17" s="4">
        <v>1</v>
      </c>
      <c r="J17" s="10" t="str">
        <f t="shared" ca="1" si="0"/>
        <v>A</v>
      </c>
    </row>
    <row r="18" spans="1:10" ht="15" customHeight="1" x14ac:dyDescent="0.35">
      <c r="A18" s="1" t="s">
        <v>443</v>
      </c>
      <c r="B18" s="1" t="s">
        <v>442</v>
      </c>
      <c r="C18" s="1"/>
      <c r="D18" s="1"/>
      <c r="E18" s="1"/>
      <c r="F18" s="3">
        <v>43546</v>
      </c>
      <c r="G18" s="3">
        <v>43550</v>
      </c>
      <c r="H18" s="1" t="s">
        <v>421</v>
      </c>
      <c r="I18" s="4">
        <v>0.57999999999999996</v>
      </c>
      <c r="J18" s="10" t="str">
        <f t="shared" ca="1" si="0"/>
        <v>A</v>
      </c>
    </row>
    <row r="19" spans="1:10" ht="15" customHeight="1" x14ac:dyDescent="0.35">
      <c r="A19" s="1" t="s">
        <v>444</v>
      </c>
      <c r="B19" s="1" t="s">
        <v>445</v>
      </c>
      <c r="C19" s="1"/>
      <c r="D19" s="1"/>
      <c r="E19" s="1"/>
      <c r="F19" s="3">
        <v>43550</v>
      </c>
      <c r="G19" s="3">
        <v>43554</v>
      </c>
      <c r="H19" s="1" t="s">
        <v>421</v>
      </c>
      <c r="I19" s="4">
        <v>0.3</v>
      </c>
      <c r="J19" s="10" t="str">
        <f t="shared" ca="1" si="0"/>
        <v>A</v>
      </c>
    </row>
    <row r="20" spans="1:10" ht="15" customHeight="1" x14ac:dyDescent="0.35">
      <c r="A20" s="1" t="s">
        <v>446</v>
      </c>
      <c r="B20" s="1" t="s">
        <v>442</v>
      </c>
      <c r="C20" s="1"/>
      <c r="D20" s="1"/>
      <c r="E20" s="1"/>
      <c r="F20" s="3">
        <v>43554</v>
      </c>
      <c r="G20" s="3">
        <v>43562</v>
      </c>
      <c r="H20" s="1" t="s">
        <v>421</v>
      </c>
      <c r="I20" s="4">
        <v>0</v>
      </c>
      <c r="J20" s="10" t="str">
        <f t="shared" ca="1" si="0"/>
        <v>A</v>
      </c>
    </row>
    <row r="21" spans="1:10" ht="15" customHeight="1" x14ac:dyDescent="0.35">
      <c r="A21" s="1" t="s">
        <v>447</v>
      </c>
      <c r="B21" s="1" t="s">
        <v>426</v>
      </c>
      <c r="C21" s="1"/>
      <c r="D21" s="1"/>
      <c r="E21" s="1"/>
      <c r="F21" s="3">
        <v>43560</v>
      </c>
      <c r="G21" s="3">
        <v>43563</v>
      </c>
      <c r="H21" s="1" t="s">
        <v>415</v>
      </c>
      <c r="I21" s="4">
        <v>0</v>
      </c>
      <c r="J21" s="10" t="str">
        <f t="shared" ca="1" si="0"/>
        <v>G</v>
      </c>
    </row>
    <row r="22" spans="1:10" ht="15" customHeight="1" x14ac:dyDescent="0.35">
      <c r="A22" s="1" t="s">
        <v>448</v>
      </c>
      <c r="B22" s="1" t="s">
        <v>430</v>
      </c>
      <c r="C22" s="1"/>
      <c r="D22" s="1"/>
      <c r="E22" s="1"/>
      <c r="F22" s="3">
        <v>43562</v>
      </c>
      <c r="G22" s="3">
        <v>43569</v>
      </c>
      <c r="H22" s="1" t="s">
        <v>415</v>
      </c>
      <c r="I22" s="4">
        <v>1</v>
      </c>
      <c r="J22" s="10" t="str">
        <f t="shared" ca="1" si="0"/>
        <v>G</v>
      </c>
    </row>
    <row r="23" spans="1:10" ht="15" customHeight="1" x14ac:dyDescent="0.35">
      <c r="A23" s="1" t="s">
        <v>449</v>
      </c>
      <c r="B23" s="1" t="s">
        <v>450</v>
      </c>
      <c r="C23" s="1"/>
      <c r="D23" s="1"/>
      <c r="E23" s="1"/>
      <c r="F23" s="3">
        <v>43570</v>
      </c>
      <c r="G23" s="3">
        <v>43577</v>
      </c>
      <c r="H23" s="1" t="s">
        <v>451</v>
      </c>
      <c r="I23" s="4">
        <v>0</v>
      </c>
      <c r="J23" s="10" t="str">
        <f t="shared" ca="1" si="0"/>
        <v>R</v>
      </c>
    </row>
    <row r="24" spans="1:10" ht="15" customHeight="1" x14ac:dyDescent="0.35">
      <c r="A24" s="1" t="s">
        <v>452</v>
      </c>
      <c r="B24" s="1" t="s">
        <v>453</v>
      </c>
      <c r="C24" s="1"/>
      <c r="D24" s="1"/>
      <c r="E24" s="1"/>
      <c r="F24" s="3">
        <v>43576</v>
      </c>
      <c r="G24" s="3">
        <v>43579</v>
      </c>
      <c r="H24" s="1" t="s">
        <v>451</v>
      </c>
      <c r="I24" s="4">
        <v>0.69</v>
      </c>
      <c r="J24" s="10" t="str">
        <f t="shared" ca="1" si="0"/>
        <v>R</v>
      </c>
    </row>
    <row r="25" spans="1:10" ht="15" customHeight="1" x14ac:dyDescent="0.35">
      <c r="A25" s="1" t="s">
        <v>454</v>
      </c>
      <c r="B25" s="1" t="s">
        <v>455</v>
      </c>
      <c r="C25" s="1"/>
      <c r="D25" s="1"/>
      <c r="E25" s="1"/>
      <c r="F25" s="3">
        <v>43578</v>
      </c>
      <c r="G25" s="3">
        <v>43580</v>
      </c>
      <c r="H25" s="1" t="s">
        <v>451</v>
      </c>
      <c r="I25" s="4">
        <v>1</v>
      </c>
      <c r="J25" s="10" t="str">
        <f t="shared" ca="1" si="0"/>
        <v>R</v>
      </c>
    </row>
    <row r="26" spans="1:10" ht="15" customHeight="1" x14ac:dyDescent="0.35">
      <c r="A26" s="1" t="s">
        <v>456</v>
      </c>
      <c r="B26" s="1" t="s">
        <v>457</v>
      </c>
      <c r="C26" s="1"/>
      <c r="D26" s="1"/>
      <c r="E26" s="1"/>
      <c r="F26" s="3">
        <v>43579</v>
      </c>
      <c r="G26" s="3">
        <v>43586</v>
      </c>
      <c r="H26" s="1" t="s">
        <v>451</v>
      </c>
      <c r="I26" s="4">
        <v>0.28000000000000003</v>
      </c>
      <c r="J26" s="10" t="str">
        <f t="shared" ca="1" si="0"/>
        <v>R</v>
      </c>
    </row>
    <row r="27" spans="1:10" ht="15" customHeight="1" x14ac:dyDescent="0.35">
      <c r="A27" s="1" t="s">
        <v>458</v>
      </c>
      <c r="B27" s="1" t="s">
        <v>457</v>
      </c>
      <c r="C27" s="1"/>
      <c r="D27" s="1"/>
      <c r="E27" s="1"/>
      <c r="F27" s="3">
        <v>43585</v>
      </c>
      <c r="G27" s="3">
        <v>43591</v>
      </c>
      <c r="H27" s="1" t="s">
        <v>451</v>
      </c>
      <c r="I27" s="4">
        <v>0.42</v>
      </c>
      <c r="J27" s="10" t="str">
        <f t="shared" ca="1" si="0"/>
        <v>R</v>
      </c>
    </row>
    <row r="28" spans="1:10" ht="15" customHeight="1" x14ac:dyDescent="0.35">
      <c r="A28" s="1" t="s">
        <v>459</v>
      </c>
      <c r="B28" s="1" t="s">
        <v>460</v>
      </c>
      <c r="C28" s="1"/>
      <c r="D28" s="1"/>
      <c r="E28" s="1"/>
      <c r="F28" s="3">
        <v>43591</v>
      </c>
      <c r="G28" s="3">
        <v>43597</v>
      </c>
      <c r="H28" s="1" t="s">
        <v>451</v>
      </c>
      <c r="I28" s="4">
        <v>0</v>
      </c>
      <c r="J28" s="10" t="str">
        <f t="shared" ca="1" si="0"/>
        <v>R</v>
      </c>
    </row>
    <row r="29" spans="1:10" ht="15" customHeight="1" x14ac:dyDescent="0.35">
      <c r="A29" s="1" t="s">
        <v>461</v>
      </c>
      <c r="B29" s="1" t="s">
        <v>442</v>
      </c>
      <c r="C29" s="1"/>
      <c r="D29" s="1"/>
      <c r="E29" s="1"/>
      <c r="F29" s="3">
        <v>43596</v>
      </c>
      <c r="G29" s="3">
        <v>43599</v>
      </c>
      <c r="H29" s="1" t="s">
        <v>451</v>
      </c>
      <c r="I29" s="4">
        <v>0.77</v>
      </c>
      <c r="J29" s="10" t="str">
        <f t="shared" ca="1" si="0"/>
        <v>R</v>
      </c>
    </row>
    <row r="30" spans="1:10" ht="15" customHeight="1" x14ac:dyDescent="0.35">
      <c r="A30" s="1" t="s">
        <v>462</v>
      </c>
      <c r="B30" s="1" t="s">
        <v>463</v>
      </c>
      <c r="C30" s="1"/>
      <c r="D30" s="1"/>
      <c r="E30" s="1"/>
      <c r="F30" s="3">
        <v>43598</v>
      </c>
      <c r="G30" s="3">
        <v>43608</v>
      </c>
      <c r="H30" s="1" t="s">
        <v>451</v>
      </c>
      <c r="I30" s="4">
        <v>0</v>
      </c>
      <c r="J30" s="10" t="str">
        <f t="shared" ca="1" si="0"/>
        <v>R</v>
      </c>
    </row>
    <row r="31" spans="1:10" ht="15" customHeight="1" x14ac:dyDescent="0.35">
      <c r="A31" s="1" t="s">
        <v>464</v>
      </c>
      <c r="B31" s="1" t="s">
        <v>418</v>
      </c>
      <c r="C31" s="1"/>
      <c r="D31" s="1"/>
      <c r="E31" s="1"/>
      <c r="F31" s="3">
        <v>43609</v>
      </c>
      <c r="G31" s="3">
        <v>43615</v>
      </c>
      <c r="H31" s="1" t="s">
        <v>451</v>
      </c>
      <c r="I31" s="4">
        <v>1</v>
      </c>
      <c r="J31" s="10" t="str">
        <f t="shared" ca="1" si="0"/>
        <v>R</v>
      </c>
    </row>
    <row r="32" spans="1:10" ht="15" customHeight="1" x14ac:dyDescent="0.35">
      <c r="A32" s="1" t="s">
        <v>465</v>
      </c>
      <c r="B32" s="1" t="s">
        <v>418</v>
      </c>
      <c r="C32" s="1"/>
      <c r="D32" s="1"/>
      <c r="E32" s="1"/>
      <c r="F32" s="3">
        <v>43615</v>
      </c>
      <c r="G32" s="3">
        <v>43618</v>
      </c>
      <c r="H32" s="1" t="s">
        <v>451</v>
      </c>
      <c r="I32" s="4">
        <v>1</v>
      </c>
      <c r="J32" s="10" t="str">
        <f t="shared" ca="1" si="0"/>
        <v>R</v>
      </c>
    </row>
    <row r="33" spans="1:10" ht="15" customHeight="1" x14ac:dyDescent="0.35">
      <c r="A33" s="1" t="s">
        <v>466</v>
      </c>
      <c r="B33" s="1" t="s">
        <v>426</v>
      </c>
      <c r="C33" s="1"/>
      <c r="D33" s="1"/>
      <c r="E33" s="1"/>
      <c r="F33" s="3">
        <v>43618</v>
      </c>
      <c r="G33" s="3">
        <v>43628</v>
      </c>
      <c r="H33" s="1" t="s">
        <v>451</v>
      </c>
      <c r="I33" s="4">
        <v>1</v>
      </c>
      <c r="J33" s="10" t="str">
        <f t="shared" ca="1" si="0"/>
        <v>R</v>
      </c>
    </row>
    <row r="34" spans="1:10" ht="15" customHeight="1" x14ac:dyDescent="0.35">
      <c r="A34" s="1" t="s">
        <v>467</v>
      </c>
      <c r="B34" s="1" t="s">
        <v>435</v>
      </c>
      <c r="C34" s="1"/>
      <c r="D34" s="1"/>
      <c r="E34" s="1"/>
      <c r="F34" s="3">
        <v>43628</v>
      </c>
      <c r="G34" s="3">
        <v>43637</v>
      </c>
      <c r="H34" s="1" t="s">
        <v>451</v>
      </c>
      <c r="I34" s="4">
        <v>0.46</v>
      </c>
      <c r="J34" s="10" t="str">
        <f t="shared" ca="1" si="0"/>
        <v>R</v>
      </c>
    </row>
    <row r="35" spans="1:10" ht="15" customHeight="1" x14ac:dyDescent="0.35">
      <c r="A35" s="1" t="s">
        <v>468</v>
      </c>
      <c r="B35" s="1" t="s">
        <v>420</v>
      </c>
      <c r="C35" s="1"/>
      <c r="D35" s="1"/>
      <c r="E35" s="1"/>
      <c r="F35" s="3">
        <v>43636</v>
      </c>
      <c r="G35" s="3">
        <v>43639</v>
      </c>
      <c r="H35" s="1" t="s">
        <v>451</v>
      </c>
      <c r="I35" s="4">
        <v>0</v>
      </c>
      <c r="J35" s="10" t="str">
        <f t="shared" ca="1" si="0"/>
        <v>R</v>
      </c>
    </row>
    <row r="36" spans="1:10" ht="15" customHeight="1" x14ac:dyDescent="0.35">
      <c r="A36" s="1" t="s">
        <v>469</v>
      </c>
      <c r="B36" s="1" t="s">
        <v>470</v>
      </c>
      <c r="C36" s="1"/>
      <c r="D36" s="1"/>
      <c r="E36" s="1"/>
      <c r="F36" s="3">
        <v>43640</v>
      </c>
      <c r="G36" s="3">
        <v>43646</v>
      </c>
      <c r="H36" s="1" t="s">
        <v>451</v>
      </c>
      <c r="I36" s="4">
        <v>0</v>
      </c>
      <c r="J36" s="10" t="str">
        <f t="shared" ca="1" si="0"/>
        <v>R</v>
      </c>
    </row>
    <row r="37" spans="1:10" ht="15" customHeight="1" x14ac:dyDescent="0.35">
      <c r="A37" s="1" t="s">
        <v>471</v>
      </c>
      <c r="B37" s="1" t="s">
        <v>418</v>
      </c>
      <c r="C37" s="1"/>
      <c r="D37" s="1"/>
      <c r="E37" s="1"/>
      <c r="F37" s="3">
        <v>43647</v>
      </c>
      <c r="G37" s="3">
        <v>43651</v>
      </c>
      <c r="H37" s="1" t="s">
        <v>451</v>
      </c>
      <c r="I37" s="4">
        <v>0.27</v>
      </c>
      <c r="J37" s="10" t="str">
        <f t="shared" ca="1" si="0"/>
        <v>R</v>
      </c>
    </row>
    <row r="38" spans="1:10" ht="15" customHeight="1" x14ac:dyDescent="0.35">
      <c r="A38" s="1" t="s">
        <v>472</v>
      </c>
      <c r="B38" s="1" t="s">
        <v>470</v>
      </c>
      <c r="C38" s="1"/>
      <c r="D38" s="1"/>
      <c r="E38" s="1"/>
      <c r="F38" s="3">
        <v>43649</v>
      </c>
      <c r="G38" s="3">
        <v>43655</v>
      </c>
      <c r="H38" s="1" t="s">
        <v>451</v>
      </c>
      <c r="I38" s="4">
        <v>0</v>
      </c>
      <c r="J38" s="10" t="str">
        <f t="shared" ca="1" si="0"/>
        <v>R</v>
      </c>
    </row>
    <row r="39" spans="1:10" ht="15" customHeight="1" x14ac:dyDescent="0.35">
      <c r="A39" s="1" t="s">
        <v>473</v>
      </c>
      <c r="B39" s="1" t="s">
        <v>428</v>
      </c>
      <c r="C39" s="1"/>
      <c r="D39" s="1"/>
      <c r="E39" s="1"/>
      <c r="F39" s="3">
        <v>43656</v>
      </c>
      <c r="G39" s="3">
        <v>43658</v>
      </c>
      <c r="H39" s="1" t="s">
        <v>451</v>
      </c>
      <c r="I39" s="4">
        <v>0</v>
      </c>
      <c r="J39" s="10" t="str">
        <f t="shared" ca="1" si="0"/>
        <v>R</v>
      </c>
    </row>
    <row r="40" spans="1:10" ht="15" customHeight="1" x14ac:dyDescent="0.35">
      <c r="A40" s="1" t="s">
        <v>474</v>
      </c>
      <c r="B40" s="1" t="s">
        <v>445</v>
      </c>
      <c r="C40" s="1"/>
      <c r="D40" s="1"/>
      <c r="E40" s="1"/>
      <c r="F40" s="3">
        <v>43657</v>
      </c>
      <c r="G40" s="3">
        <v>43659</v>
      </c>
      <c r="H40" s="1" t="s">
        <v>451</v>
      </c>
      <c r="I40" s="4">
        <v>0.72</v>
      </c>
      <c r="J40" s="10" t="str">
        <f t="shared" ca="1" si="0"/>
        <v>R</v>
      </c>
    </row>
    <row r="41" spans="1:10" ht="15" customHeight="1" x14ac:dyDescent="0.35">
      <c r="A41" s="1" t="s">
        <v>475</v>
      </c>
      <c r="B41" s="1" t="s">
        <v>440</v>
      </c>
      <c r="C41" s="1"/>
      <c r="D41" s="1"/>
      <c r="E41" s="1"/>
      <c r="F41" s="3">
        <v>43657</v>
      </c>
      <c r="G41" s="3">
        <v>43664</v>
      </c>
      <c r="H41" s="1" t="s">
        <v>451</v>
      </c>
      <c r="I41" s="4">
        <v>0</v>
      </c>
      <c r="J41" s="10" t="str">
        <f t="shared" ca="1" si="0"/>
        <v>R</v>
      </c>
    </row>
    <row r="42" spans="1:10" ht="15" customHeight="1" x14ac:dyDescent="0.35">
      <c r="A42" s="1" t="s">
        <v>476</v>
      </c>
      <c r="B42" s="1" t="s">
        <v>432</v>
      </c>
      <c r="C42" s="1"/>
      <c r="D42" s="1"/>
      <c r="E42" s="1"/>
      <c r="F42" s="3">
        <v>43662</v>
      </c>
      <c r="G42" s="3">
        <v>43672</v>
      </c>
      <c r="H42" s="1" t="s">
        <v>451</v>
      </c>
      <c r="I42" s="4">
        <v>1</v>
      </c>
      <c r="J42" s="10" t="str">
        <f t="shared" ca="1" si="0"/>
        <v>R</v>
      </c>
    </row>
    <row r="43" spans="1:10" ht="15" customHeight="1" x14ac:dyDescent="0.35">
      <c r="A43" s="1" t="s">
        <v>477</v>
      </c>
      <c r="B43" s="1" t="s">
        <v>470</v>
      </c>
      <c r="C43" s="1"/>
      <c r="D43" s="1"/>
      <c r="E43" s="1"/>
      <c r="F43" s="3">
        <v>43673</v>
      </c>
      <c r="G43" s="3">
        <v>43681</v>
      </c>
      <c r="H43" s="1" t="s">
        <v>451</v>
      </c>
      <c r="I43" s="4">
        <v>0.72</v>
      </c>
      <c r="J43" s="10" t="str">
        <f t="shared" ca="1" si="0"/>
        <v>R</v>
      </c>
    </row>
    <row r="44" spans="1:10" ht="15" customHeight="1" x14ac:dyDescent="0.35">
      <c r="A44" s="1" t="s">
        <v>478</v>
      </c>
      <c r="B44" s="1" t="s">
        <v>418</v>
      </c>
      <c r="C44" s="1"/>
      <c r="D44" s="1"/>
      <c r="E44" s="1"/>
      <c r="F44" s="3">
        <v>43681</v>
      </c>
      <c r="G44" s="3">
        <v>43684</v>
      </c>
      <c r="H44" s="1" t="s">
        <v>451</v>
      </c>
      <c r="I44" s="4">
        <v>0.28999999999999998</v>
      </c>
      <c r="J44" s="10" t="str">
        <f t="shared" ca="1" si="0"/>
        <v>R</v>
      </c>
    </row>
    <row r="45" spans="1:10" ht="15" customHeight="1" x14ac:dyDescent="0.35">
      <c r="A45" s="1" t="s">
        <v>479</v>
      </c>
      <c r="B45" s="1" t="s">
        <v>463</v>
      </c>
      <c r="C45" s="1"/>
      <c r="D45" s="1"/>
      <c r="E45" s="1"/>
      <c r="F45" s="3">
        <v>43684</v>
      </c>
      <c r="G45" s="3">
        <v>43689</v>
      </c>
      <c r="H45" s="1" t="s">
        <v>451</v>
      </c>
      <c r="I45" s="4">
        <v>0</v>
      </c>
      <c r="J45" s="10" t="str">
        <f t="shared" ca="1" si="0"/>
        <v>R</v>
      </c>
    </row>
    <row r="46" spans="1:10" ht="15" customHeight="1" x14ac:dyDescent="0.35">
      <c r="A46" s="1" t="s">
        <v>480</v>
      </c>
      <c r="B46" s="1" t="s">
        <v>437</v>
      </c>
      <c r="C46" s="1"/>
      <c r="D46" s="1"/>
      <c r="E46" s="1"/>
      <c r="F46" s="3">
        <v>43689</v>
      </c>
      <c r="G46" s="3">
        <v>43696</v>
      </c>
      <c r="H46" s="1" t="s">
        <v>451</v>
      </c>
      <c r="I46" s="4">
        <v>0.85</v>
      </c>
      <c r="J46" s="10" t="str">
        <f t="shared" ca="1" si="0"/>
        <v>R</v>
      </c>
    </row>
    <row r="47" spans="1:10" ht="15" customHeight="1" x14ac:dyDescent="0.35">
      <c r="A47" s="1" t="s">
        <v>481</v>
      </c>
      <c r="B47" s="1" t="s">
        <v>470</v>
      </c>
      <c r="C47" s="1"/>
      <c r="D47" s="1"/>
      <c r="E47" s="1"/>
      <c r="F47" s="3">
        <v>43697</v>
      </c>
      <c r="G47" s="3">
        <v>43703</v>
      </c>
      <c r="H47" s="1" t="s">
        <v>451</v>
      </c>
      <c r="I47" s="4">
        <v>1</v>
      </c>
      <c r="J47" s="10" t="str">
        <f t="shared" ca="1" si="0"/>
        <v>R</v>
      </c>
    </row>
    <row r="48" spans="1:10" ht="15" customHeight="1" x14ac:dyDescent="0.35">
      <c r="A48" s="1" t="s">
        <v>482</v>
      </c>
      <c r="B48" s="1" t="s">
        <v>418</v>
      </c>
      <c r="C48" s="1"/>
      <c r="D48" s="1"/>
      <c r="E48" s="1"/>
      <c r="F48" s="3">
        <v>43704</v>
      </c>
      <c r="G48" s="3">
        <v>43713</v>
      </c>
      <c r="H48" s="1" t="s">
        <v>451</v>
      </c>
      <c r="I48" s="4">
        <v>1</v>
      </c>
      <c r="J48" s="10" t="str">
        <f t="shared" ca="1" si="0"/>
        <v>R</v>
      </c>
    </row>
    <row r="49" spans="1:10" ht="15" customHeight="1" x14ac:dyDescent="0.35">
      <c r="A49" s="1" t="s">
        <v>483</v>
      </c>
      <c r="B49" s="1" t="s">
        <v>457</v>
      </c>
      <c r="C49" s="1"/>
      <c r="D49" s="1"/>
      <c r="E49" s="1"/>
      <c r="F49" s="3">
        <v>43713</v>
      </c>
      <c r="G49" s="3">
        <v>43719</v>
      </c>
      <c r="H49" s="1" t="s">
        <v>451</v>
      </c>
      <c r="I49" s="4">
        <v>0</v>
      </c>
      <c r="J49" s="10" t="str">
        <f t="shared" ca="1" si="0"/>
        <v>R</v>
      </c>
    </row>
    <row r="50" spans="1:10" ht="15" customHeight="1" x14ac:dyDescent="0.35">
      <c r="A50" s="1" t="s">
        <v>484</v>
      </c>
      <c r="B50" s="1" t="s">
        <v>428</v>
      </c>
      <c r="C50" s="1"/>
      <c r="D50" s="1"/>
      <c r="E50" s="1"/>
      <c r="F50" s="3">
        <v>43720</v>
      </c>
      <c r="G50" s="3">
        <v>43724</v>
      </c>
      <c r="H50" s="1" t="s">
        <v>451</v>
      </c>
      <c r="I50" s="4">
        <v>0.65</v>
      </c>
      <c r="J50" s="10" t="str">
        <f t="shared" ca="1" si="0"/>
        <v>R</v>
      </c>
    </row>
    <row r="51" spans="1:10" ht="15" customHeight="1" x14ac:dyDescent="0.35">
      <c r="A51" s="1" t="s">
        <v>485</v>
      </c>
      <c r="B51" s="1" t="s">
        <v>424</v>
      </c>
      <c r="C51" s="1"/>
      <c r="D51" s="1"/>
      <c r="E51" s="1"/>
      <c r="F51" s="3">
        <v>43722</v>
      </c>
      <c r="G51" s="3">
        <v>43730</v>
      </c>
      <c r="H51" s="1" t="s">
        <v>451</v>
      </c>
      <c r="I51" s="4">
        <v>1</v>
      </c>
      <c r="J51" s="10" t="str">
        <f t="shared" ca="1" si="0"/>
        <v>R</v>
      </c>
    </row>
    <row r="52" spans="1:10" ht="15" customHeight="1" x14ac:dyDescent="0.35">
      <c r="A52" s="1" t="s">
        <v>486</v>
      </c>
      <c r="B52" s="1" t="s">
        <v>455</v>
      </c>
      <c r="C52" s="1"/>
      <c r="D52" s="1"/>
      <c r="E52" s="1"/>
      <c r="F52" s="3">
        <v>43728</v>
      </c>
      <c r="G52" s="3">
        <v>43737</v>
      </c>
      <c r="H52" s="1" t="s">
        <v>451</v>
      </c>
      <c r="I52" s="4">
        <v>0</v>
      </c>
      <c r="J52" s="10" t="str">
        <f t="shared" ca="1" si="0"/>
        <v>R</v>
      </c>
    </row>
    <row r="53" spans="1:10" ht="15" customHeight="1" x14ac:dyDescent="0.35">
      <c r="A53" s="1" t="s">
        <v>487</v>
      </c>
      <c r="B53" s="1" t="s">
        <v>435</v>
      </c>
      <c r="C53" s="1"/>
      <c r="D53" s="1"/>
      <c r="E53" s="1"/>
      <c r="F53" s="3">
        <v>43736</v>
      </c>
      <c r="G53" s="3">
        <v>43738</v>
      </c>
      <c r="H53" s="1" t="s">
        <v>451</v>
      </c>
      <c r="I53" s="4">
        <v>0.71</v>
      </c>
      <c r="J53" s="10" t="str">
        <f t="shared" ca="1" si="0"/>
        <v>R</v>
      </c>
    </row>
    <row r="54" spans="1:10" ht="15" customHeight="1" x14ac:dyDescent="0.35">
      <c r="A54" s="1" t="s">
        <v>488</v>
      </c>
      <c r="B54" s="1" t="s">
        <v>428</v>
      </c>
      <c r="C54" s="1"/>
      <c r="D54" s="1"/>
      <c r="E54" s="1"/>
      <c r="F54" s="3">
        <v>43737</v>
      </c>
      <c r="G54" s="3">
        <v>43742</v>
      </c>
      <c r="H54" s="1" t="s">
        <v>451</v>
      </c>
      <c r="I54" s="4">
        <v>0.44</v>
      </c>
      <c r="J54" s="10" t="str">
        <f t="shared" ca="1" si="0"/>
        <v>R</v>
      </c>
    </row>
    <row r="55" spans="1:10" ht="15" customHeight="1" x14ac:dyDescent="0.35">
      <c r="A55" s="1" t="s">
        <v>489</v>
      </c>
      <c r="B55" s="1" t="s">
        <v>437</v>
      </c>
      <c r="C55" s="1"/>
      <c r="D55" s="1"/>
      <c r="E55" s="1"/>
      <c r="F55" s="3">
        <v>43742</v>
      </c>
      <c r="G55" s="3">
        <v>43746</v>
      </c>
      <c r="H55" s="1" t="s">
        <v>451</v>
      </c>
      <c r="I55" s="4">
        <v>1</v>
      </c>
      <c r="J55" s="10" t="str">
        <f t="shared" ca="1" si="0"/>
        <v>R</v>
      </c>
    </row>
    <row r="56" spans="1:10" ht="15" customHeight="1" x14ac:dyDescent="0.35">
      <c r="A56" s="1" t="s">
        <v>490</v>
      </c>
      <c r="B56" s="1" t="s">
        <v>418</v>
      </c>
      <c r="C56" s="1"/>
      <c r="D56" s="1"/>
      <c r="E56" s="1"/>
      <c r="F56" s="3">
        <v>43746</v>
      </c>
      <c r="G56" s="3">
        <v>43752</v>
      </c>
      <c r="H56" s="1" t="s">
        <v>451</v>
      </c>
      <c r="I56" s="4">
        <v>0</v>
      </c>
      <c r="J56" s="10" t="str">
        <f t="shared" ca="1" si="0"/>
        <v>R</v>
      </c>
    </row>
    <row r="57" spans="1:10" ht="15" customHeight="1" x14ac:dyDescent="0.35">
      <c r="A57" s="1" t="s">
        <v>491</v>
      </c>
      <c r="B57" s="1" t="s">
        <v>457</v>
      </c>
      <c r="C57" s="1"/>
      <c r="D57" s="1"/>
      <c r="E57" s="1"/>
      <c r="F57" s="3">
        <v>43752</v>
      </c>
      <c r="G57" s="3">
        <v>43754</v>
      </c>
      <c r="H57" s="1" t="s">
        <v>451</v>
      </c>
      <c r="I57" s="4">
        <v>1</v>
      </c>
      <c r="J57" s="10" t="str">
        <f t="shared" ca="1" si="0"/>
        <v>R</v>
      </c>
    </row>
    <row r="58" spans="1:10" ht="15" customHeight="1" x14ac:dyDescent="0.35">
      <c r="A58" s="1" t="s">
        <v>492</v>
      </c>
      <c r="B58" s="1" t="s">
        <v>435</v>
      </c>
      <c r="C58" s="1"/>
      <c r="D58" s="1"/>
      <c r="E58" s="1"/>
      <c r="F58" s="3">
        <v>43752</v>
      </c>
      <c r="G58" s="3">
        <v>43757</v>
      </c>
      <c r="H58" s="1" t="s">
        <v>451</v>
      </c>
      <c r="I58" s="4">
        <v>0.61</v>
      </c>
      <c r="J58" s="10" t="str">
        <f t="shared" ca="1" si="0"/>
        <v>R</v>
      </c>
    </row>
    <row r="59" spans="1:10" ht="15" customHeight="1" x14ac:dyDescent="0.35">
      <c r="A59" s="1" t="s">
        <v>493</v>
      </c>
      <c r="B59" s="1" t="s">
        <v>437</v>
      </c>
      <c r="C59" s="1"/>
      <c r="D59" s="1"/>
      <c r="E59" s="1"/>
      <c r="F59" s="3">
        <v>43757</v>
      </c>
      <c r="G59" s="3">
        <v>43763</v>
      </c>
      <c r="H59" s="1" t="s">
        <v>451</v>
      </c>
      <c r="I59" s="4">
        <v>1</v>
      </c>
      <c r="J59" s="10" t="str">
        <f t="shared" ca="1" si="0"/>
        <v>R</v>
      </c>
    </row>
    <row r="60" spans="1:10" ht="15" customHeight="1" x14ac:dyDescent="0.35">
      <c r="A60" s="1" t="s">
        <v>494</v>
      </c>
      <c r="B60" s="1" t="s">
        <v>428</v>
      </c>
      <c r="C60" s="1"/>
      <c r="D60" s="1"/>
      <c r="E60" s="1"/>
      <c r="F60" s="3">
        <v>43763</v>
      </c>
      <c r="G60" s="3">
        <v>43773</v>
      </c>
      <c r="H60" s="1" t="s">
        <v>451</v>
      </c>
      <c r="I60" s="4">
        <v>0</v>
      </c>
      <c r="J60" s="10" t="str">
        <f t="shared" ca="1" si="0"/>
        <v>R</v>
      </c>
    </row>
    <row r="61" spans="1:10" ht="15" customHeight="1" x14ac:dyDescent="0.35">
      <c r="A61" s="1" t="s">
        <v>495</v>
      </c>
      <c r="B61" s="1" t="s">
        <v>432</v>
      </c>
      <c r="C61" s="1"/>
      <c r="D61" s="1"/>
      <c r="E61" s="1"/>
      <c r="F61" s="3">
        <v>43771</v>
      </c>
      <c r="G61" s="3">
        <v>43781</v>
      </c>
      <c r="H61" s="1" t="s">
        <v>451</v>
      </c>
      <c r="I61" s="4">
        <v>1</v>
      </c>
      <c r="J61" s="10" t="str">
        <f t="shared" ca="1" si="0"/>
        <v>R</v>
      </c>
    </row>
    <row r="62" spans="1:10" ht="15" customHeight="1" x14ac:dyDescent="0.35">
      <c r="A62" s="1" t="s">
        <v>496</v>
      </c>
      <c r="B62" s="1" t="s">
        <v>440</v>
      </c>
      <c r="C62" s="1"/>
      <c r="D62" s="1"/>
      <c r="E62" s="1"/>
      <c r="F62" s="3">
        <v>43779</v>
      </c>
      <c r="G62" s="3">
        <v>43782</v>
      </c>
      <c r="H62" s="1" t="s">
        <v>451</v>
      </c>
      <c r="I62" s="4">
        <v>1</v>
      </c>
      <c r="J62" s="10" t="str">
        <f t="shared" ca="1" si="0"/>
        <v>R</v>
      </c>
    </row>
    <row r="63" spans="1:10" ht="15" customHeight="1" x14ac:dyDescent="0.35">
      <c r="A63" s="1" t="s">
        <v>497</v>
      </c>
      <c r="B63" s="1" t="s">
        <v>460</v>
      </c>
      <c r="C63" s="1"/>
      <c r="D63" s="1"/>
      <c r="E63" s="1"/>
      <c r="F63" s="3">
        <v>43783</v>
      </c>
      <c r="G63" s="3">
        <v>43789</v>
      </c>
      <c r="H63" s="1" t="s">
        <v>451</v>
      </c>
      <c r="I63" s="4">
        <v>0.59</v>
      </c>
      <c r="J63" s="10" t="str">
        <f t="shared" ca="1" si="0"/>
        <v>R</v>
      </c>
    </row>
    <row r="64" spans="1:10" ht="15" customHeight="1" x14ac:dyDescent="0.35">
      <c r="A64" s="1" t="s">
        <v>498</v>
      </c>
      <c r="B64" s="1" t="s">
        <v>426</v>
      </c>
      <c r="C64" s="1"/>
      <c r="D64" s="1"/>
      <c r="E64" s="1"/>
      <c r="F64" s="3">
        <v>43789</v>
      </c>
      <c r="G64" s="3">
        <v>43791</v>
      </c>
      <c r="H64" s="1" t="s">
        <v>451</v>
      </c>
      <c r="I64" s="4">
        <v>0.74</v>
      </c>
      <c r="J64" s="10" t="str">
        <f t="shared" ca="1" si="0"/>
        <v>R</v>
      </c>
    </row>
    <row r="65" spans="1:10" ht="15" customHeight="1" x14ac:dyDescent="0.35">
      <c r="A65" s="1" t="s">
        <v>499</v>
      </c>
      <c r="B65" s="1" t="s">
        <v>430</v>
      </c>
      <c r="C65" s="1"/>
      <c r="D65" s="1"/>
      <c r="E65" s="1"/>
      <c r="F65" s="3">
        <v>43792</v>
      </c>
      <c r="G65" s="3">
        <v>43802</v>
      </c>
      <c r="H65" s="1" t="s">
        <v>451</v>
      </c>
      <c r="I65" s="4">
        <v>0</v>
      </c>
      <c r="J65" s="10" t="str">
        <f t="shared" ca="1" si="0"/>
        <v>R</v>
      </c>
    </row>
    <row r="66" spans="1:10" ht="15" customHeight="1" x14ac:dyDescent="0.35">
      <c r="A66" s="1" t="s">
        <v>500</v>
      </c>
      <c r="B66" s="1" t="s">
        <v>428</v>
      </c>
      <c r="C66" s="1"/>
      <c r="D66" s="1"/>
      <c r="E66" s="1"/>
      <c r="F66" s="3">
        <v>43801</v>
      </c>
      <c r="G66" s="3">
        <v>43808</v>
      </c>
      <c r="H66" s="1" t="s">
        <v>451</v>
      </c>
      <c r="I66" s="4">
        <v>1</v>
      </c>
      <c r="J66" s="10" t="str">
        <f t="shared" ca="1" si="0"/>
        <v>R</v>
      </c>
    </row>
    <row r="67" spans="1:10" ht="15" customHeight="1" x14ac:dyDescent="0.35">
      <c r="A67" s="1" t="s">
        <v>501</v>
      </c>
      <c r="B67" s="1" t="s">
        <v>457</v>
      </c>
      <c r="C67" s="1"/>
      <c r="D67" s="1"/>
      <c r="E67" s="1"/>
      <c r="F67" s="3">
        <v>43807</v>
      </c>
      <c r="G67" s="3">
        <v>43810</v>
      </c>
      <c r="H67" s="1" t="s">
        <v>451</v>
      </c>
      <c r="I67" s="4">
        <v>0.61</v>
      </c>
      <c r="J67" s="10" t="str">
        <f t="shared" ref="J67:J73" ca="1" si="1">IF(H67="Completed","G",IF(H67="In Progress",IF(TODAY()&gt;G67,"A","G"),IF(H67="Pending",IF(TODAY()&gt;F67,"R",""),"")))</f>
        <v>R</v>
      </c>
    </row>
    <row r="68" spans="1:10" ht="15" customHeight="1" x14ac:dyDescent="0.35">
      <c r="A68" s="1" t="s">
        <v>502</v>
      </c>
      <c r="B68" s="1" t="s">
        <v>418</v>
      </c>
      <c r="C68" s="1"/>
      <c r="D68" s="1"/>
      <c r="E68" s="1"/>
      <c r="F68" s="3">
        <v>43808</v>
      </c>
      <c r="G68" s="3">
        <v>43818</v>
      </c>
      <c r="H68" s="1" t="s">
        <v>451</v>
      </c>
      <c r="I68" s="4">
        <v>0.53</v>
      </c>
      <c r="J68" s="10" t="str">
        <f t="shared" ca="1" si="1"/>
        <v>R</v>
      </c>
    </row>
    <row r="69" spans="1:10" ht="15" customHeight="1" x14ac:dyDescent="0.35">
      <c r="A69" s="1" t="s">
        <v>503</v>
      </c>
      <c r="B69" s="1" t="s">
        <v>414</v>
      </c>
      <c r="C69" s="1"/>
      <c r="D69" s="1"/>
      <c r="E69" s="1"/>
      <c r="F69" s="3">
        <v>43818</v>
      </c>
      <c r="G69" s="3">
        <v>43823</v>
      </c>
      <c r="H69" s="1" t="s">
        <v>451</v>
      </c>
      <c r="I69" s="4">
        <v>0</v>
      </c>
      <c r="J69" s="10" t="str">
        <f t="shared" ca="1" si="1"/>
        <v>R</v>
      </c>
    </row>
    <row r="70" spans="1:10" ht="15" customHeight="1" x14ac:dyDescent="0.35">
      <c r="A70" s="1" t="s">
        <v>504</v>
      </c>
      <c r="B70" s="1" t="s">
        <v>437</v>
      </c>
      <c r="C70" s="1"/>
      <c r="D70" s="1"/>
      <c r="E70" s="1"/>
      <c r="F70" s="3">
        <v>43823</v>
      </c>
      <c r="G70" s="3">
        <v>43830</v>
      </c>
      <c r="H70" s="1" t="s">
        <v>451</v>
      </c>
      <c r="I70" s="4">
        <v>0.46</v>
      </c>
      <c r="J70" s="10" t="str">
        <f t="shared" ca="1" si="1"/>
        <v>R</v>
      </c>
    </row>
    <row r="71" spans="1:10" ht="15" customHeight="1" x14ac:dyDescent="0.35">
      <c r="A71" s="1" t="s">
        <v>505</v>
      </c>
      <c r="B71" s="1" t="s">
        <v>442</v>
      </c>
      <c r="C71" s="1"/>
      <c r="D71" s="1"/>
      <c r="E71" s="1"/>
      <c r="F71" s="3">
        <v>43829</v>
      </c>
      <c r="G71" s="3">
        <v>43834</v>
      </c>
      <c r="H71" s="1" t="s">
        <v>451</v>
      </c>
      <c r="I71" s="4">
        <v>0</v>
      </c>
      <c r="J71" s="10" t="str">
        <f t="shared" ca="1" si="1"/>
        <v>R</v>
      </c>
    </row>
    <row r="72" spans="1:10" ht="15" customHeight="1" x14ac:dyDescent="0.35">
      <c r="A72" s="1" t="s">
        <v>506</v>
      </c>
      <c r="B72" s="1" t="s">
        <v>418</v>
      </c>
      <c r="C72" s="1"/>
      <c r="D72" s="1"/>
      <c r="E72" s="1"/>
      <c r="F72" s="3">
        <v>43835</v>
      </c>
      <c r="G72" s="3">
        <v>43841</v>
      </c>
      <c r="H72" s="1" t="s">
        <v>451</v>
      </c>
      <c r="I72" s="4">
        <v>1</v>
      </c>
      <c r="J72" s="10" t="str">
        <f t="shared" ca="1" si="1"/>
        <v>R</v>
      </c>
    </row>
    <row r="73" spans="1:10" ht="15" customHeight="1" x14ac:dyDescent="0.35">
      <c r="A73" s="1" t="s">
        <v>507</v>
      </c>
      <c r="B73" s="1" t="s">
        <v>420</v>
      </c>
      <c r="C73" s="1"/>
      <c r="D73" s="1"/>
      <c r="E73" s="1"/>
      <c r="F73" s="3">
        <v>43842</v>
      </c>
      <c r="G73" s="3">
        <v>43850</v>
      </c>
      <c r="H73" s="1" t="s">
        <v>451</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election activeCell="F6" sqref="F6"/>
    </sheetView>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508</v>
      </c>
      <c r="C2" s="2" t="s">
        <v>509</v>
      </c>
      <c r="E2" s="2" t="s">
        <v>509</v>
      </c>
      <c r="F2" s="2" t="s">
        <v>510</v>
      </c>
      <c r="H2" s="2" t="s">
        <v>511</v>
      </c>
      <c r="J2" s="2" t="s">
        <v>410</v>
      </c>
    </row>
    <row r="3" spans="2:10" ht="15" customHeight="1" x14ac:dyDescent="0.35">
      <c r="B3" s="1" t="s">
        <v>512</v>
      </c>
      <c r="C3" s="1" t="s">
        <v>513</v>
      </c>
      <c r="E3" s="5" t="s">
        <v>514</v>
      </c>
      <c r="F3" s="3">
        <v>43766</v>
      </c>
      <c r="H3" s="1" t="s">
        <v>435</v>
      </c>
      <c r="J3" s="1" t="s">
        <v>415</v>
      </c>
    </row>
    <row r="4" spans="2:10" ht="15" customHeight="1" x14ac:dyDescent="0.35">
      <c r="B4" s="1" t="s">
        <v>515</v>
      </c>
      <c r="C4" s="1" t="s">
        <v>516</v>
      </c>
      <c r="E4" s="1" t="s">
        <v>517</v>
      </c>
      <c r="F4" s="3">
        <v>43814</v>
      </c>
      <c r="H4" s="1" t="s">
        <v>428</v>
      </c>
      <c r="J4" s="1" t="s">
        <v>451</v>
      </c>
    </row>
    <row r="5" spans="2:10" ht="15" customHeight="1" x14ac:dyDescent="0.35">
      <c r="B5" s="1" t="s">
        <v>518</v>
      </c>
      <c r="C5" s="1" t="s">
        <v>516</v>
      </c>
      <c r="E5" s="1"/>
      <c r="F5" s="3">
        <v>43475</v>
      </c>
      <c r="H5" s="1" t="s">
        <v>426</v>
      </c>
      <c r="J5" s="1" t="s">
        <v>421</v>
      </c>
    </row>
    <row r="6" spans="2:10" ht="15" customHeight="1" x14ac:dyDescent="0.35">
      <c r="B6" s="1" t="s">
        <v>519</v>
      </c>
      <c r="C6" s="1" t="s">
        <v>516</v>
      </c>
      <c r="E6" s="1"/>
      <c r="F6" s="3">
        <v>43500</v>
      </c>
      <c r="H6" s="1" t="s">
        <v>460</v>
      </c>
      <c r="J6" s="1"/>
    </row>
    <row r="7" spans="2:10" ht="15" customHeight="1" x14ac:dyDescent="0.35">
      <c r="B7" s="1" t="s">
        <v>520</v>
      </c>
      <c r="C7" s="1" t="s">
        <v>516</v>
      </c>
      <c r="E7" s="1"/>
      <c r="F7" s="3"/>
      <c r="H7" s="1" t="s">
        <v>470</v>
      </c>
      <c r="J7" s="1"/>
    </row>
    <row r="8" spans="2:10" ht="15" customHeight="1" x14ac:dyDescent="0.35">
      <c r="B8" s="1" t="s">
        <v>521</v>
      </c>
      <c r="C8" s="1" t="s">
        <v>516</v>
      </c>
      <c r="E8" s="1"/>
      <c r="F8" s="3"/>
      <c r="H8" s="1" t="s">
        <v>442</v>
      </c>
      <c r="J8" s="1"/>
    </row>
    <row r="9" spans="2:10" ht="15" customHeight="1" x14ac:dyDescent="0.35">
      <c r="B9" s="1" t="s">
        <v>522</v>
      </c>
      <c r="C9" s="1" t="s">
        <v>513</v>
      </c>
      <c r="E9" s="1"/>
      <c r="F9" s="3"/>
      <c r="H9" s="1" t="s">
        <v>414</v>
      </c>
    </row>
    <row r="10" spans="2:10" x14ac:dyDescent="0.35">
      <c r="H10" s="1" t="s">
        <v>455</v>
      </c>
    </row>
    <row r="11" spans="2:10" x14ac:dyDescent="0.35">
      <c r="H11" s="1" t="s">
        <v>424</v>
      </c>
    </row>
    <row r="12" spans="2:10" x14ac:dyDescent="0.35">
      <c r="H12" s="1" t="s">
        <v>430</v>
      </c>
    </row>
    <row r="13" spans="2:10" x14ac:dyDescent="0.35">
      <c r="H13" s="1" t="s">
        <v>450</v>
      </c>
    </row>
    <row r="14" spans="2:10" x14ac:dyDescent="0.35">
      <c r="H14" s="1" t="s">
        <v>457</v>
      </c>
    </row>
    <row r="15" spans="2:10" x14ac:dyDescent="0.35">
      <c r="H15" s="1" t="s">
        <v>432</v>
      </c>
    </row>
    <row r="16" spans="2:10" x14ac:dyDescent="0.35">
      <c r="H16" s="1" t="s">
        <v>453</v>
      </c>
    </row>
    <row r="17" spans="8:8" x14ac:dyDescent="0.35">
      <c r="H17" s="1" t="s">
        <v>437</v>
      </c>
    </row>
    <row r="18" spans="8:8" x14ac:dyDescent="0.35">
      <c r="H18" s="1" t="s">
        <v>463</v>
      </c>
    </row>
    <row r="19" spans="8:8" x14ac:dyDescent="0.35">
      <c r="H19" s="1" t="s">
        <v>440</v>
      </c>
    </row>
    <row r="20" spans="8:8" x14ac:dyDescent="0.35">
      <c r="H20" s="1" t="s">
        <v>445</v>
      </c>
    </row>
    <row r="21" spans="8:8" x14ac:dyDescent="0.35">
      <c r="H21" s="1" t="s">
        <v>420</v>
      </c>
    </row>
    <row r="22" spans="8:8" x14ac:dyDescent="0.35">
      <c r="H22" s="1" t="s">
        <v>418</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election activeCell="F6" sqref="F6"/>
    </sheetView>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53" t="s">
        <v>523</v>
      </c>
      <c r="C1" s="353"/>
      <c r="D1" s="353"/>
      <c r="E1" s="353"/>
      <c r="F1" s="353"/>
      <c r="G1" s="353"/>
      <c r="M1" s="12" t="s">
        <v>524</v>
      </c>
    </row>
    <row r="2" spans="1:16" x14ac:dyDescent="0.35">
      <c r="A2" s="8" t="s">
        <v>408</v>
      </c>
      <c r="B2" s="7" t="s">
        <v>525</v>
      </c>
      <c r="C2" t="s">
        <v>410</v>
      </c>
      <c r="D2" t="s">
        <v>451</v>
      </c>
      <c r="E2" t="s">
        <v>421</v>
      </c>
      <c r="F2" t="s">
        <v>415</v>
      </c>
      <c r="G2" t="s">
        <v>526</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526</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527</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528</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529</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525</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526</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451</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421</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415</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530</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531</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532</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54" t="str">
        <f ca="1">N17</f>
        <v>R</v>
      </c>
      <c r="O23" s="354"/>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54"/>
      <c r="O24" s="354"/>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54"/>
      <c r="O25" s="354"/>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54"/>
      <c r="O26" s="354"/>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A4C337C-273E-4BD8-A632-B4E313664882}">
  <ds:schemaRefs>
    <ds:schemaRef ds:uri="http://schemas.microsoft.com/sharepoint/v3/contenttype/forms"/>
  </ds:schemaRefs>
</ds:datastoreItem>
</file>

<file path=customXml/itemProps2.xml><?xml version="1.0" encoding="utf-8"?>
<ds:datastoreItem xmlns:ds="http://schemas.openxmlformats.org/officeDocument/2006/customXml" ds:itemID="{B05EAD40-BF21-465C-9D75-48F3F1DC84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E3D1AE1-913E-4A11-B56A-471FDA68132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Mapping</vt:lpstr>
      <vt:lpstr>Dashboard</vt:lpstr>
      <vt:lpstr>Intro</vt:lpstr>
      <vt:lpstr>Step 1</vt:lpstr>
      <vt:lpstr>Step 2</vt:lpstr>
      <vt:lpstr>Step 3</vt:lpstr>
      <vt:lpstr>Step 4</vt:lpstr>
      <vt:lpstr>Step 5</vt:lpstr>
      <vt:lpstr>Cost</vt:lpstr>
      <vt:lpstr>Other Issues</vt:lpstr>
      <vt:lpstr>Assesment</vt:lpstr>
      <vt:lpstr>Conclusion</vt:lpstr>
      <vt:lpstr>Data</vt:lpstr>
      <vt:lpstr>Settings</vt:lpstr>
      <vt:lpstr>Support</vt:lpstr>
      <vt:lpstr>'Other Issues'!_Hlk503774654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Priyendra Kumar</dc:creator>
  <cp:keywords/>
  <dc:description/>
  <cp:lastModifiedBy>Ashish Gupta</cp:lastModifiedBy>
  <cp:revision/>
  <dcterms:created xsi:type="dcterms:W3CDTF">2019-09-18T08:51:50Z</dcterms:created>
  <dcterms:modified xsi:type="dcterms:W3CDTF">2025-08-02T05:44:38Z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