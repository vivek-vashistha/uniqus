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0FC18218-421C-49C1-8F13-8BD7F06810BC}" xr6:coauthVersionLast="47" xr6:coauthVersionMax="47" xr10:uidLastSave="{00000000-0000-0000-0000-000000000000}"/>
  <bookViews>
    <workbookView xWindow="-110" yWindow="-110" windowWidth="19420" windowHeight="10300" firstSheet="6"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r:id="rId10"/>
    <sheet name="Assesment" sheetId="32" r:id="rId11"/>
    <sheet name="Conclusion" sheetId="34" r:id="rId12"/>
    <sheet name="Data" sheetId="7" state="hidden" r:id="rId13"/>
    <sheet name="Settings" sheetId="8" state="hidden" r:id="rId14"/>
    <sheet name="Support" sheetId="10" state="hidden" r:id="rId15"/>
  </sheets>
  <definedNames>
    <definedName name="_xlnm._FilterDatabase" localSheetId="1" hidden="1">Dashboard!$D$9:$F$11</definedName>
    <definedName name="_xlnm._FilterDatabase" localSheetId="12"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34" l="1" a="1"/>
  <c r="E17" i="34" s="1"/>
  <c r="E16" i="34" a="1"/>
  <c r="E16" i="34" s="1"/>
  <c r="E13" i="34" a="1"/>
  <c r="E13" i="34" s="1"/>
  <c r="E12" i="34" a="1"/>
  <c r="E12" i="34" s="1"/>
  <c r="E11" i="34" a="1"/>
  <c r="E11" i="34" s="1"/>
  <c r="E10" i="34" a="1"/>
  <c r="E10" i="34" s="1"/>
  <c r="D45" i="26"/>
  <c r="D44" i="26"/>
  <c r="D43" i="26"/>
  <c r="D42" i="26"/>
  <c r="E27" i="26"/>
  <c r="E26" i="26"/>
  <c r="E25" i="26"/>
  <c r="E24" i="26"/>
  <c r="F50" i="26" l="1"/>
  <c r="F49" i="26"/>
  <c r="F48" i="26"/>
  <c r="F47" i="26"/>
  <c r="F46" i="26"/>
  <c r="F45" i="26"/>
  <c r="F44" i="26"/>
  <c r="F43" i="26"/>
  <c r="E7" i="34" a="1"/>
  <c r="E7" i="34" s="1"/>
  <c r="E4" i="34" a="1"/>
  <c r="E4" i="34" s="1"/>
  <c r="D50" i="26"/>
  <c r="D49" i="26"/>
  <c r="D48" i="26"/>
  <c r="D47" i="26"/>
  <c r="D46" i="26"/>
  <c r="E32" i="26"/>
  <c r="E31" i="26"/>
  <c r="E30" i="26"/>
  <c r="E29" i="26"/>
  <c r="E28" i="26"/>
  <c r="G23" i="25" l="1"/>
  <c r="D27" i="27" s="1"/>
  <c r="H20" i="28"/>
  <c r="E23" i="34" s="1"/>
  <c r="H19" i="28"/>
  <c r="E22" i="34" s="1"/>
  <c r="H18" i="28"/>
  <c r="E21" i="34" s="1"/>
  <c r="H17" i="28"/>
  <c r="E20" i="34" s="1"/>
  <c r="G26" i="25"/>
  <c r="G25" i="25"/>
  <c r="D29" i="27" s="1"/>
  <c r="G24" i="25"/>
  <c r="D28" i="27" l="1"/>
  <c r="E21" i="27"/>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<sst xmlns="http://schemas.openxmlformats.org/spreadsheetml/2006/main" count="816" uniqueCount="521">
  <si>
    <t>Start Date</t>
  </si>
  <si>
    <t>Task 1</t>
  </si>
  <si>
    <t>Task 2</t>
  </si>
  <si>
    <t>Task 3</t>
  </si>
  <si>
    <t>Task 4</t>
  </si>
  <si>
    <t>Task 5</t>
  </si>
  <si>
    <t>Task 6</t>
  </si>
  <si>
    <t>Task 7</t>
  </si>
  <si>
    <t>Task 8</t>
  </si>
  <si>
    <t>Task 9</t>
  </si>
  <si>
    <t>Task 10</t>
  </si>
  <si>
    <t>Task Name</t>
  </si>
  <si>
    <t>Assigned to</t>
  </si>
  <si>
    <t>End Date</t>
  </si>
  <si>
    <t>Status</t>
  </si>
  <si>
    <t>Completion%</t>
  </si>
  <si>
    <t>Pending</t>
  </si>
  <si>
    <t>Completed</t>
  </si>
  <si>
    <t>EMP-1</t>
  </si>
  <si>
    <t>EMP-2</t>
  </si>
  <si>
    <t>EMP-3</t>
  </si>
  <si>
    <t>EMP-4</t>
  </si>
  <si>
    <t>EMP-5</t>
  </si>
  <si>
    <t>Day</t>
  </si>
  <si>
    <t>Sun</t>
  </si>
  <si>
    <t>Mon</t>
  </si>
  <si>
    <t>Tue</t>
  </si>
  <si>
    <t>Wed</t>
  </si>
  <si>
    <t>Thu</t>
  </si>
  <si>
    <t>Fri</t>
  </si>
  <si>
    <t>Holiday</t>
  </si>
  <si>
    <t>Y</t>
  </si>
  <si>
    <t>N</t>
  </si>
  <si>
    <t>Sat</t>
  </si>
  <si>
    <t>Date</t>
  </si>
  <si>
    <t>Diwali</t>
  </si>
  <si>
    <t>Christmas</t>
  </si>
  <si>
    <t>High</t>
  </si>
  <si>
    <t>Medium</t>
  </si>
  <si>
    <t>Low</t>
  </si>
  <si>
    <t>Resource</t>
  </si>
  <si>
    <t>EMP-6</t>
  </si>
  <si>
    <t>EMP-7</t>
  </si>
  <si>
    <t>EMP-8</t>
  </si>
  <si>
    <t>EMP-9</t>
  </si>
  <si>
    <t>EMP-10</t>
  </si>
  <si>
    <t>EMP-11</t>
  </si>
  <si>
    <t>EMP-12</t>
  </si>
  <si>
    <t>EMP-13</t>
  </si>
  <si>
    <t>EMP-14</t>
  </si>
  <si>
    <t>EMP-15</t>
  </si>
  <si>
    <t>EMP-16</t>
  </si>
  <si>
    <t>EMP-17</t>
  </si>
  <si>
    <t>EMP-18</t>
  </si>
  <si>
    <t>EMP-19</t>
  </si>
  <si>
    <t>EMP-20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</si>
  <si>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</si>
  <si>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</si>
  <si>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</si>
  <si>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</si>
  <si>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</si>
  <si>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</si>
  <si>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</si>
  <si>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</si>
  <si>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</si>
  <si>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</si>
  <si>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</si>
  <si>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</si>
  <si>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</si>
  <si>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</si>
  <si>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</si>
  <si>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</si>
  <si>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</si>
  <si>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</si>
  <si>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</si>
  <si>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</si>
  <si>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</si>
  <si>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</si>
  <si>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</si>
  <si>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</si>
  <si>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</si>
  <si>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</si>
  <si>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</si>
  <si>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</si>
  <si>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</si>
  <si>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</si>
  <si>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</si>
  <si>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</si>
  <si>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</si>
  <si>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</si>
  <si>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</si>
  <si>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</si>
  <si>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</si>
  <si>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</si>
  <si>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</si>
  <si>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</si>
  <si>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</si>
  <si>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</si>
  <si>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</si>
  <si>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</si>
  <si>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</si>
  <si>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</si>
  <si>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</si>
  <si>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</si>
  <si>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</si>
  <si>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</si>
  <si>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</si>
  <si>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</si>
  <si>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</si>
  <si>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</si>
  <si>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</si>
  <si>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</si>
  <si>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</si>
  <si>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</si>
  <si>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</si>
  <si>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</si>
  <si>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</si>
  <si>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</si>
  <si>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In Progress</t>
  </si>
  <si>
    <t>Task</t>
  </si>
  <si>
    <t>Total</t>
  </si>
  <si>
    <t>Time Line Chart</t>
  </si>
  <si>
    <t>Assigned to -2</t>
  </si>
  <si>
    <t>Assigned to -3</t>
  </si>
  <si>
    <t>Assigned to -4</t>
  </si>
  <si>
    <t>Risk and issue</t>
  </si>
  <si>
    <t>Task Status</t>
  </si>
  <si>
    <t>Project Status</t>
  </si>
  <si>
    <t>In Progress even after end date</t>
  </si>
  <si>
    <t>Task not started even after plan start date</t>
  </si>
  <si>
    <t>Prepared by</t>
  </si>
  <si>
    <t>Reviewed By</t>
  </si>
  <si>
    <t>Approved By</t>
  </si>
  <si>
    <t>Any other relevant literature reference (please specify)</t>
  </si>
  <si>
    <t>Objective</t>
  </si>
  <si>
    <t>Business Overview</t>
  </si>
  <si>
    <t>In BPM segment, Company charges for services primarily based on the following pricing models:</t>
  </si>
  <si>
    <r>
      <t>1)</t>
    </r>
    <r>
      <rPr>
        <sz val="7"/>
        <color theme="1"/>
        <rFont val="Times New Roman"/>
        <family val="1"/>
      </rPr>
      <t xml:space="preserve">       </t>
    </r>
    <r>
      <rPr>
        <b/>
        <sz val="10"/>
        <color theme="1"/>
        <rFont val="Calibri"/>
        <family val="2"/>
      </rPr>
      <t>Per full time equivalent</t>
    </r>
    <r>
      <rPr>
        <sz val="10"/>
        <color theme="1"/>
        <rFont val="Calibri"/>
        <family val="2"/>
      </rPr>
      <t xml:space="preserve"> – This arrangement typically involve billing based on number of full time employees (or equivalent) deployed on the execution of the business process managed;</t>
    </r>
  </si>
  <si>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</si>
  <si>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</si>
  <si>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</si>
  <si>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r>
      <t>Other pricing arrangements,</t>
    </r>
    <r>
      <rPr>
        <sz val="10"/>
        <color theme="1"/>
        <rFont val="Calibri"/>
        <family val="2"/>
        <scheme val="minor"/>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</si>
  <si>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</si>
  <si>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 xml:space="preserve">i. </t>
  </si>
  <si>
    <t xml:space="preserve">Collection is considered probable </t>
  </si>
  <si>
    <t xml:space="preserve">ii. </t>
  </si>
  <si>
    <t xml:space="preserve">It has commercial substance </t>
  </si>
  <si>
    <t xml:space="preserve">iii.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</si>
  <si>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</si>
  <si>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</si>
  <si>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</si>
  <si>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</si>
  <si>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</si>
  <si>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</si>
  <si>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</si>
  <si>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Yes</t>
  </si>
  <si>
    <t>No</t>
  </si>
  <si>
    <t>NA</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</si>
  <si>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</si>
  <si>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</si>
  <si>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</si>
  <si>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</si>
  <si>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</si>
  <si>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</si>
  <si>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</si>
  <si>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</si>
  <si>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</si>
  <si>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</si>
  <si>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</si>
  <si>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 xml:space="preserve">Conclusion: </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</si>
  <si>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</si>
  <si>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</si>
  <si>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</si>
  <si>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</si>
  <si>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 xml:space="preserve">Criterion 1 </t>
  </si>
  <si>
    <t xml:space="preserve">Criterion 2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</si>
  <si>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</si>
  <si>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</si>
  <si>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</si>
  <si>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</si>
  <si>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</si>
  <si>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Performance Obligation?</t>
  </si>
  <si>
    <t xml:space="preserve">Conclusion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</si>
  <si>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</si>
  <si>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</si>
  <si>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</si>
  <si>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</si>
  <si>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Allocation of transaction price required? </t>
  </si>
  <si>
    <t>Allocation of variable consideration</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</si>
  <si>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</si>
  <si>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</si>
  <si>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</si>
  <si>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</si>
  <si>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The customer simultaneously receives and consumes the benefits provided by the Company' performance as the Company performs </t>
  </si>
  <si>
    <t xml:space="preserve">The Company's performance creates or enhances an asset that the customer controls as the asset is created or enhanced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</si>
  <si>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</si>
  <si>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Criterion 3 </t>
  </si>
  <si>
    <t xml:space="preserve">Performance obligations according to Step 2 </t>
  </si>
  <si>
    <t>Selecting a method that depicts the performance i.e. a pattern of transfer of control of the goods and services to the customer:</t>
  </si>
  <si>
    <t xml:space="preserve">Guidance </t>
  </si>
  <si>
    <t xml:space="preserve">Method 1: Output: </t>
  </si>
  <si>
    <t xml:space="preserve">Method 2: Input: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</si>
  <si>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</si>
  <si>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</si>
  <si>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</si>
  <si>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</si>
  <si>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</si>
  <si>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</si>
  <si>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Is the contract modification approved ?</t>
  </si>
  <si>
    <t>Does the modification solely add additional goods or services ?</t>
  </si>
  <si>
    <t>Are the additional goods or services distinct ?</t>
  </si>
  <si>
    <t>Are the remaning goods or services distinct ?</t>
  </si>
  <si>
    <t>C. Modification of contract</t>
  </si>
  <si>
    <t>A. contract exists if:</t>
  </si>
  <si>
    <t>Literature reference for relevant accounting guidance under US GAAP</t>
  </si>
  <si>
    <t>ASC 815 - Derivatives and hedging</t>
  </si>
  <si>
    <t>ASC 450 - Contingencies</t>
  </si>
  <si>
    <t>ASC 606 - Revenue from contract with customer</t>
  </si>
  <si>
    <t>Aim of this checklist is to ensure that all the revenue recognition criteria as prescribed under US GAAP are fulfilled. This Accounting Checklist is tailored to address the specific circumstances of BPO – Outsourcing business.</t>
  </si>
  <si>
    <t>Is there a combination of contracts necessary (606-10-25-9) ?</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</si>
  <si>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</si>
  <si>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</si>
  <si>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A promise is classified as a performance obligation, if the good or service is capable of being distinct  distinct (ASC 606-10-25-19 (a)) and distinct in the context of the contract (ASC 606-10-25-19 (b)). (ASC 606-10-25-14)</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</si>
  <si>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</si>
  <si>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 Company promise to transfer the good or service separately identifiable from other promises in the contract (ASC 606-10-25-19(b))?? The following factors should be considered with regard to the above question: </t>
  </si>
  <si>
    <t xml:space="preserve">Is there an allocation of a variable consideration ? (ASC 606-10-32-39 to 32-41)? </t>
  </si>
  <si>
    <t xml:space="preserve">Criterion 1 ASC 606-10-25-27(a) </t>
  </si>
  <si>
    <t xml:space="preserve">Criterion 2 ASC 606-10-25-27(b) </t>
  </si>
  <si>
    <t xml:space="preserve">Criterion 3 ASC 606-10-25-27(c) </t>
  </si>
  <si>
    <t xml:space="preserve">Performance obligations satisfied over time </t>
  </si>
  <si>
    <t>Perforamance obligation satisfied at a point in time</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</si>
  <si>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</si>
  <si>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</si>
  <si>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Input/Output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</si>
  <si>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</si>
  <si>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</si>
  <si>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</si>
  <si>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</si>
  <si>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</si>
  <si>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</si>
  <si>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</si>
  <si>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</si>
  <si>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</si>
  <si>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</si>
  <si>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</si>
  <si>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</si>
  <si>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</si>
  <si>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</si>
  <si>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</si>
  <si>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</si>
  <si>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</si>
  <si>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</si>
  <si>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 xml:space="preserve">Variable consideration consists of: </t>
  </si>
  <si>
    <t>Service  Credit</t>
  </si>
  <si>
    <t>CBB penalty and rewards</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</si>
  <si>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</si>
  <si>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</si>
  <si>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</si>
  <si>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 xml:space="preserve">Please describe the approach to estimate the variable amount for each variable consideration (most likely amount, expected value) and explain why the method used better predicts the consideration to which the Company will be entitled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</si>
  <si>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</si>
  <si>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</si>
  <si>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</si>
  <si>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</si>
  <si>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</si>
  <si>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</si>
  <si>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</si>
  <si>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If the answer is "Yes" to any of the above questions, the variable consideration may not be highly probable and cannot be included in the transaction price until it is deemed highly probable that the variable consideration will not result in a significant revenue reversal.</t>
  </si>
  <si>
    <t>The transaction price consists of variable consideration(s) which are deemed  probable and need(s) to be included in the transaction price.</t>
  </si>
  <si>
    <r>
      <t xml:space="preserve">B. </t>
    </r>
    <r>
      <rPr>
        <b/>
        <u/>
        <sz val="10"/>
        <color rgb="FF000000"/>
        <rFont val="Calibri"/>
        <family val="2"/>
      </rPr>
      <t>Non-cash consideration:</t>
    </r>
  </si>
  <si>
    <t>Does the consideration include a non-cash component?</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</si>
  <si>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</si>
  <si>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</si>
  <si>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 xml:space="preserve">If answer of the previous question is "Yes", the following questions are relevant: </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</si>
  <si>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</si>
  <si>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</si>
  <si>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</si>
  <si>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</si>
  <si>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</si>
  <si>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</si>
  <si>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</si>
  <si>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</si>
  <si>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 xml:space="preserve">A significant financing component exists for which the entity needs to account </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</si>
  <si>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</si>
  <si>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Contract costs: </t>
  </si>
  <si>
    <r>
      <t xml:space="preserve">B. </t>
    </r>
    <r>
      <rPr>
        <b/>
        <u/>
        <sz val="10"/>
        <color rgb="FF000000"/>
        <rFont val="Calibri"/>
        <family val="2"/>
        <scheme val="minor"/>
      </rPr>
      <t>Costs of fulfilling a contract</t>
    </r>
    <r>
      <rPr>
        <b/>
        <sz val="10"/>
        <color rgb="FF000000"/>
        <rFont val="Calibri"/>
        <family val="2"/>
        <scheme val="minor"/>
      </rPr>
      <t xml:space="preserve"> </t>
    </r>
  </si>
  <si>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</si>
  <si>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</si>
  <si>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</si>
  <si>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</si>
  <si>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</si>
  <si>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</si>
  <si>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</si>
  <si>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</si>
  <si>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</si>
  <si>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If the conclusion is that costs of fulfilment shall be capitalized, please explain the background </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</si>
  <si>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</si>
  <si>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</si>
  <si>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</si>
  <si>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</si>
  <si>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</si>
  <si>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</si>
  <si>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Input</t>
  </si>
  <si>
    <t>Output</t>
  </si>
  <si>
    <t>Yes / No</t>
  </si>
  <si>
    <t>Client Name –</t>
  </si>
  <si>
    <t>Type of contract –</t>
  </si>
  <si>
    <t>Principal</t>
  </si>
  <si>
    <t xml:space="preserve">Total Contract period (for amortization of Contract costs, including expected renewal):  </t>
  </si>
  <si>
    <t>Method</t>
  </si>
  <si>
    <t>Approach</t>
  </si>
  <si>
    <t>Expected Value Method</t>
  </si>
  <si>
    <t>Most Likely Method</t>
  </si>
  <si>
    <t>If the previous question was answered "Yes" please describe the type of non-cash consideration in the contract</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</si>
  <si>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</si>
  <si>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</si>
  <si>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t xml:space="preserve">Please explain the reasonableness whether it is highly probable that a significant reversal in the amount of cumulative revenue recognized will not occur (ASC 606-10-32-11. (Please consider the likelihood and the magnitude of a revenue reversal) </t>
  </si>
  <si>
    <t>Explanation</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</si>
  <si>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</si>
  <si>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</si>
  <si>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</si>
  <si>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</si>
  <si>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</si>
  <si>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</si>
  <si>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</si>
  <si>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</si>
  <si>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</si>
  <si>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</si>
  <si>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</si>
  <si>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</si>
  <si>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</si>
  <si>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</si>
  <si>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</si>
  <si>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</si>
  <si>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</si>
  <si>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 xml:space="preserve">Embedded derivative (third currency contracts) </t>
  </si>
  <si>
    <t>ASC 815-15-15-10 (b)(1)</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</si>
  <si>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</si>
  <si>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</si>
  <si>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</si>
  <si>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</si>
  <si>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</si>
  <si>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</si>
  <si>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</si>
  <si>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ASC 606-10-50-22</t>
  </si>
  <si>
    <t>Practical expedients</t>
  </si>
  <si>
    <t xml:space="preserve">Checklist Reference no. - </t>
  </si>
  <si>
    <t xml:space="preserve">Vertical / Horizontal : </t>
  </si>
  <si>
    <t>Agent</t>
  </si>
  <si>
    <t>Does the contract price increase by an amount that reflect standalone selling price for the new goods or services (considering the circumstances of the contract) ?</t>
  </si>
  <si>
    <t>Promise is a distinct performance obligation</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</si>
  <si>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</si>
  <si>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Bundle of goods or services is a single performance</t>
  </si>
  <si>
    <t>Conclusion Step 2 (Promises in the contract)</t>
  </si>
  <si>
    <t>i</t>
  </si>
  <si>
    <t>Variable consideration</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</si>
  <si>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</si>
  <si>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the consideration payable to a customer includes a variable amount, an entity shall estimate the transaction price (including assessing whether the estimate of variable consideration is constrained) in accordance with paragraphs ASC 606-10-32-5 to 32-1350–58</t>
  </si>
  <si>
    <t>Can the entity reasonably estimate the fair value of the goods or service received ?</t>
  </si>
  <si>
    <t>Does the consideration payble exceed the fair value of the distinct good or services ?</t>
  </si>
  <si>
    <t>Conclusion</t>
  </si>
  <si>
    <t xml:space="preserve">Principal vs. Agent </t>
  </si>
  <si>
    <t>Output Folder -:</t>
  </si>
  <si>
    <t>Does the consideration payable to a customer (or to the customer's) represent a payable for a distinct goods or service ?</t>
  </si>
  <si>
    <t xml:space="preserve">Contract Value- TCV/ACV </t>
  </si>
  <si>
    <t>Existing Customer -:</t>
  </si>
  <si>
    <t>New Logo -:</t>
  </si>
  <si>
    <t>Remarks :</t>
  </si>
  <si>
    <t xml:space="preserve">Remarks: </t>
  </si>
  <si>
    <t xml:space="preserve">1. Determine stand-alone selling prices
</t>
  </si>
  <si>
    <t>2. Allocate the transaction price</t>
  </si>
  <si>
    <t xml:space="preserve"> Term of the contracts -:</t>
  </si>
  <si>
    <t>Allocation of Transaction price</t>
  </si>
  <si>
    <t>Performance obligation</t>
  </si>
  <si>
    <t>Method used</t>
  </si>
  <si>
    <t>Standalone Selling price</t>
  </si>
  <si>
    <t>Allocation</t>
  </si>
  <si>
    <t>Allocated Transaction price</t>
  </si>
  <si>
    <t>Adjusted Market Assessment</t>
  </si>
  <si>
    <t>Cost Plus</t>
  </si>
  <si>
    <t xml:space="preserve">Residual </t>
  </si>
  <si>
    <t>Variable consideration consists of:</t>
  </si>
  <si>
    <t>Consideration Payable to customer :</t>
  </si>
  <si>
    <t>Conclusion :</t>
  </si>
  <si>
    <t>Key Elements of contract :</t>
  </si>
  <si>
    <t>Provisions/ Onerous contracts (where there are any penalty or warranty clauses or any non-cancellable or termination clauses in the contract)</t>
  </si>
  <si>
    <t>RRC Reference Number (if any)</t>
  </si>
  <si>
    <t>Step1 :</t>
  </si>
  <si>
    <t>Final Conclusion</t>
  </si>
  <si>
    <t>Step 2 :</t>
  </si>
  <si>
    <t>Step 3 :</t>
  </si>
  <si>
    <t>Step 4 :</t>
  </si>
  <si>
    <t>Select Month -:</t>
  </si>
  <si>
    <t>Step 5 :</t>
  </si>
  <si>
    <t xml:space="preserve">Is the contract approved and the parties are committed to their obligation ((ASC 606-10-25-1(a) ) ? </t>
  </si>
  <si>
    <t xml:space="preserve">Are each parties' rights regarding the goods or services to be transferred identifiable (ASC 606-10-25-1(b)) ? </t>
  </si>
  <si>
    <t xml:space="preserve">Can the payment terms for the goods and services be identified (ASC 606-10-25-1(c)) ? </t>
  </si>
  <si>
    <t xml:space="preserve">Has the contract commercial substance (ASC 606-10-25-1(d)) ? </t>
  </si>
  <si>
    <t xml:space="preserve">Is the collection of consideration probable ("likely") (ASC 606-10-25-1(e)) ? </t>
  </si>
  <si>
    <t>Modification-:</t>
  </si>
  <si>
    <t>Checker :</t>
  </si>
  <si>
    <t>Current Status      (Maker) -:</t>
  </si>
  <si>
    <t>Healthcare / Industry Specific BPO</t>
  </si>
  <si>
    <t>Initial term [5 years] plus one expected renewal [5 years]</t>
  </si>
  <si>
    <t>2023-24-216</t>
  </si>
  <si>
    <t xml:space="preserve">Rights to goods and services and payment terms can be identified </t>
  </si>
  <si>
    <t>Both the parties have signed the SOW</t>
  </si>
  <si>
    <t>Scope of service has been defined in the SOW</t>
  </si>
  <si>
    <t>Payment terms are defined in Schedule 3 of the SOW</t>
  </si>
  <si>
    <t>SOW defines the pricing, risks and timing of the services, therefore commercial substance of the contract exists.</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</si>
  <si>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t>
  </si>
  <si>
    <t>Combination is applicable</t>
  </si>
  <si>
    <t>Account for modification as a separate contract</t>
  </si>
  <si>
    <t>Not a distinct service in the contract as it does not transfer any incremental benefit to the Customer on standalone basis. These are treated as input to the overall combined output of the contract.</t>
  </si>
  <si>
    <t>Transition services under CRs</t>
  </si>
  <si>
    <t>IT Technology [One time &amp; Recurring]</t>
  </si>
  <si>
    <t>Revenue Recognition:</t>
  </si>
  <si>
    <t xml:space="preserve">Transition Service </t>
  </si>
  <si>
    <r>
      <rPr>
        <b/>
        <sz val="10"/>
        <color theme="1"/>
        <rFont val="Calibri"/>
        <family val="2"/>
        <scheme val="minor"/>
      </rPr>
      <t xml:space="preserve">Note </t>
    </r>
    <r>
      <rPr>
        <sz val="10"/>
        <color theme="1"/>
        <rFont val="Calibri"/>
        <family val="2"/>
        <scheme val="minor"/>
      </rPr>
      <t xml:space="preserve">-Transition charges are considered up-to soft go-live for each process i.e. till Knowledge Transfer stage plus OPE, PD/PMO charges. 
 Any activity after Soft Go-live date for example PMO Service for the remaining service period, Services of Nesting, Stabilization, Hyper care, OJT shall be considered as business as usual [BAU]. </t>
    </r>
  </si>
  <si>
    <t>Conclusion:</t>
  </si>
  <si>
    <t>•	Transition revenue should be recognized over the term of the contract.
•	Defer transition costs ratably over the period of the contract and expected renewal</t>
  </si>
  <si>
    <t xml:space="preserve">One Time Technology </t>
  </si>
  <si>
    <t>The tech cost is built in the Procurement FTE rate and Data Entry fixed fee rate.</t>
  </si>
  <si>
    <t xml:space="preserve">One-time IT services are in the nature of capital expenditure reimbursement such as hardware elements, monitors, headsets, Phones, Servers etc. </t>
  </si>
  <si>
    <t>(ii) Technology Cost includes Desktops, monitors ,Headsets , phones etc, Cost will be recognized over the life of the asset e.g. PPE as it falls under the guidance of this accounting standard.</t>
  </si>
  <si>
    <t>Recurring Technology charges</t>
  </si>
  <si>
    <t>Recurring Technology costs are in the nature of Internet Bandwidth, Licences for O365 which is included in rates</t>
  </si>
  <si>
    <t>(i) Revenue  should be recognized over the contract term which will happen as the services are provisioned.</t>
  </si>
  <si>
    <t>Recurring technology will be recognised as revenue on monthly basis as and when the services are provisioned.</t>
  </si>
  <si>
    <t>Data Entry charges - Fixed fee</t>
  </si>
  <si>
    <t>Procurement Services</t>
  </si>
  <si>
    <t>Revenue from Procurement services will be recognised on monthly basis based on no. of billable FTEs * rate per FTE per month as stated in the contract.</t>
  </si>
  <si>
    <t>One time Background Check</t>
  </si>
  <si>
    <t>Revenue from One time billing for Background check will be recognised as revenue as and when incurred.</t>
  </si>
  <si>
    <t>Data Entry
Procurement
One time background check</t>
  </si>
  <si>
    <t>Literature guidance</t>
  </si>
  <si>
    <t>PWC Manual</t>
  </si>
  <si>
    <t xml:space="preserve">(a) the customer can benefit from the good or service either on its own or together with other resources that are readily available to the customer (i.e. the good or service is capable of being distinct); and </t>
  </si>
  <si>
    <r>
      <t>(b) the entity's promise to transfer the good or service to the customer is separately identifiable from other promises in the contract (i.e. </t>
    </r>
    <r>
      <rPr>
        <b/>
        <sz val="10"/>
        <color theme="1"/>
        <rFont val="Calibri"/>
        <family val="2"/>
      </rPr>
      <t>the good or service is distinct within the context of the contract</t>
    </r>
    <r>
      <rPr>
        <sz val="10"/>
        <color theme="1"/>
        <rFont val="Calibri"/>
        <family val="2"/>
      </rPr>
      <t>).</t>
    </r>
  </si>
  <si>
    <t xml:space="preserve">As per ASC 606-10-32-24, if a customer contributes goods or services (for example materials, equipment or labor) to facilitate an entity’s fulfilment of the contract, the entity shall assess whether it obtains control of those contributed goods or services as non-cash consideration received from the customer. </t>
  </si>
  <si>
    <r>
      <t>As per ASC 6060-1--32-25, consideration payable to a customer includes cash amounts that an entity pays, or expects to pay, to the customer (or to other parties that purchase the entity's goods or services from the customer). It further provides that “</t>
    </r>
    <r>
      <rPr>
        <b/>
        <sz val="10"/>
        <color theme="1"/>
        <rFont val="Calibri"/>
        <family val="2"/>
      </rPr>
      <t>an entity shall account for consideration payable to a customer as a reduction of the transaction price</t>
    </r>
    <r>
      <rPr>
        <sz val="10"/>
        <color theme="1"/>
        <rFont val="Calibri"/>
        <family val="2"/>
      </rPr>
      <t xml:space="preserve">” and, therefore, of revenue “unless the payment to the customer is in exchange for a distinct good or service”  that the customer transfers to the entity.  </t>
    </r>
  </si>
  <si>
    <t xml:space="preserve">As per ASC 606-10-25-19 of US GAAP, a good or service that is promised to a customer is distinct if both of the following criteria are met: </t>
  </si>
  <si>
    <t>Also referred to PwC Manual of Accounting (2015) – FAQ 9A.119.1.3 (Example on Payment for distinct service) which provides that a service is distinct if the entity could have engaged a third party who is not its customer. Further Example 9A.119.1.2 provides that if the slotting fees payable to the customer is negotiated as part of the contract for sale of energy drinks, it shall not be considered as distinct services.</t>
  </si>
  <si>
    <r>
      <rPr>
        <b/>
        <sz val="10"/>
        <color theme="1"/>
        <rFont val="Calibri"/>
        <family val="2"/>
        <scheme val="minor"/>
      </rPr>
      <t>COLA</t>
    </r>
    <r>
      <rPr>
        <sz val="10"/>
        <color theme="1"/>
        <rFont val="Calibri"/>
        <family val="2"/>
        <scheme val="minor"/>
      </rPr>
      <t xml:space="preserve"> will be applicable in case transaction based pricing has not been agreed between the parties. The rate will be lesser of the increase in India CPI over the preceding 12 months or 5% will be applicable from first anniversary of the contract. The increase in rates will be recovered for increase in cost on account of inflation only.</t>
    </r>
  </si>
  <si>
    <r>
      <rPr>
        <b/>
        <sz val="10"/>
        <color theme="1"/>
        <rFont val="Calibri"/>
        <family val="2"/>
        <scheme val="minor"/>
      </rPr>
      <t>COLA</t>
    </r>
    <r>
      <rPr>
        <sz val="10"/>
        <color theme="1"/>
        <rFont val="Calibri"/>
        <family val="2"/>
        <scheme val="minor"/>
      </rPr>
      <t xml:space="preserve"> - The rate will be lesser of the increase in India CPI over the preceding 12 months or 5% will be applicable from first anniversary of the contract. The increase in rates will be recovered for increase in cost on account of inflation only.</t>
    </r>
  </si>
  <si>
    <t>Service Credit</t>
  </si>
  <si>
    <t>Termination fee</t>
  </si>
  <si>
    <t xml:space="preserve">Service credit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Service credit would be applicable from after the baselining measurement period as stated in the contract. The frequency of service level measurement is monthly however the service credit would be applied in subsequent month’s invoice.
</t>
  </si>
  <si>
    <t>Service credits should be recorded as reduction to revenue on monthly basis based on service level default &amp; related percentages stated in the contract. Since the measurement period is monthly , estimation of service credits at the inception and applying it monthly would give almost the same results.</t>
  </si>
  <si>
    <t>Service Credits</t>
  </si>
  <si>
    <t>No financing component</t>
  </si>
  <si>
    <t>Since there is only 1 performance obligation, allocation of transaction price is not required</t>
  </si>
  <si>
    <t>Not required to be allocated as only 1 performance obligation has been identified in the contract.</t>
  </si>
  <si>
    <t>Since transition / IT setup services are considered as input to the main services and does not provide incremental benefits to the customer on standalone basis as they do not directly transfer any services. These setup activities are necessary to facilitate services in the contract.</t>
  </si>
  <si>
    <t>Transition charges in CR28 &amp; 29 are received upfront.</t>
  </si>
  <si>
    <t>Other Issues</t>
  </si>
  <si>
    <t>No such elements</t>
  </si>
  <si>
    <t>Payment to Customer - Credit for Healius facilities</t>
  </si>
  <si>
    <t>One time &amp; recurring technology charges inbuilt in rates</t>
  </si>
  <si>
    <t>One time background check</t>
  </si>
  <si>
    <t>Schedule 4 para 3.1</t>
  </si>
  <si>
    <t>Principal -Gross</t>
  </si>
  <si>
    <t>2024-25-18</t>
  </si>
  <si>
    <t>No Select</t>
  </si>
  <si>
    <t>Observable price</t>
  </si>
  <si>
    <t>Client Sign Date -:</t>
  </si>
  <si>
    <t>Pricing - initial 3 months fixed price and then transaction based price. The “Price per transaction” will be a fully loaded price, inclusive of all labour and non-labor associated charges (e.g. Facilities, IT, etc). CR#02 - Fixed price billing extended till 31st December 2024.</t>
  </si>
  <si>
    <t>COLA based on CPI</t>
  </si>
  <si>
    <t>Usually, COLA adjustment / price adjustments are applicable from first annivarsary of the contract / subsequent years of the contract period. The increase in rate is usually on account of increase in resource cost. Revenue is recognized on the monthly basis on basis of monthly number of billable FTE’s x Rate including COLA from the year it is applicable. Once the CPI is effective, the company would take the practical expedient of ‘as-invoiced’ to recognize the revenue relating to the price changes. The TRG guidance for ‘as-invoiced’ is given as below:
The TRG agreed the following additional requirements for the as-invoiced practical expedient to apply when the price per unit changes during the contract:
— the reasons for the change in the price per unit have to be substantive – e.g. for a valid business reason, such as declining costs or changes in the relevant price index; and
— the amount of the change also has to approximate the change in value to the customer. The SEC observer at the TRG meeting stated that this conclusion has to be supported – e.g. by the change in a forward pricing curve in the case of electricity, a change in the Consumer Price Index or a change in labor data that is relevant to the entity’s costs of providing the goods or services. [TRG 07-15.40]</t>
  </si>
  <si>
    <t>Schedule 3 of SOW</t>
  </si>
  <si>
    <t>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Since COLA will be applied prospectively, no significant reversals will occur.</t>
  </si>
  <si>
    <t>Service credit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Service credit would be applicable from after the baselining measurement period as stated in the contract. The frequency of service level measurement is monthly however the service credit would be applied in subsequent month’s invoice.
COLA - As we are using practical expedient of 'As invoiced', COLA will be applied prospectively.</t>
  </si>
  <si>
    <t>The expected value is the sum of probability- weighted amounts in a range of possible consideration amounts</t>
  </si>
  <si>
    <t>Service credit , COLA Based on CPI</t>
  </si>
  <si>
    <t>No inventory risk involved</t>
  </si>
  <si>
    <t>Z:\2024-25\Revenue RRC 2024-25\6. September 2024\RRM\</t>
  </si>
  <si>
    <t>MSA Date -:
Amendment to MSA Date</t>
  </si>
  <si>
    <t>10th June 2020
14th May 2024 term extended till 31st May 2029</t>
  </si>
  <si>
    <t>Fixed Price Billing Arrangement dated
CR#01
CR#02
CR#03
CR#05
CR#06</t>
  </si>
  <si>
    <t>SOW- 14th May 2024
CR#01 - 21st August 2024
CR#02- 24th September 2024
CR#03 - 9th December 2024
CR#05 - 06th February 2025
CR#06 - 21st March 2025</t>
  </si>
  <si>
    <t xml:space="preserve">SOW Date &amp; Commencement Date-:
</t>
  </si>
  <si>
    <t xml:space="preserve">14th May 2024 , CD- 1st June 2024 till 31st May 2029
</t>
  </si>
  <si>
    <t xml:space="preserve">
01st September 2024 to 30th September 2024
01st October 2024 to 31st December 2025
01st January 2025 to 31st January 2025
01st February 2025 to 31st March 2025
01st April 25 to 30th June 25</t>
  </si>
  <si>
    <t>60 months (SOW) and extension of fixed price billing arrangement and baselining period through Change Requests by 1 month (CR#01),3 months(CR#02) ,1 months (CR#03),2 months (CR#05) and 3 months (CR#06) respectively</t>
  </si>
  <si>
    <t>SOW &amp; CR (Icertis Ids - ICMSOW_3196, ICMSOWAmendment_2379, ICMSOWAmendment_12625, ICMSOWAmendment_13070, ICMSOWAmendment_13602 and ICMSOWAmendment_13943)</t>
  </si>
  <si>
    <t>SOW - TCV - $29,711 K
CR#01 - TCV - $470 K
CR#02 - TCV - $1,435 K
CR#03 - TCV - $448 K
CR#05 - TCV - $892 K
CR#06 - TCV - $1,376 K</t>
  </si>
  <si>
    <t>SOW - ACV - $5,942 K
CR#01 - ACV - $470 K
CR#02 - ACV - $1,435 K
CR#03 - ACV - $448 K
CR#05 - ACV - $892 K
CR#06 - ACV - $1,376 K</t>
  </si>
  <si>
    <t>No such element</t>
  </si>
  <si>
    <t>CR #28 dated 5.2.2024 and CR #29 dated 18.3.2024 &amp; CR #30 dated 2.4.2024 has been entered into at or about the same time as this SOW under evaluation. The CR #28 adds 2 Temporary FTEs and CR #29 is for 64 FTEs &amp; CR #30 is for 32 FTEs to carry out Transition work at Vizag location.  The amendment to MSA entered into on 14.5.2024 is for extension of term of original MSA dated 10 June 2020 till 31st May 2029. The SOW under evaluation is full and main contract negotiated with Client. All these contracts are for Pathology &amp; Imaging services. Hence these contracts are combined.
The contracts under assessment are the CR#03, CR # 05 and CR# 06 that we included in the checklist, where the SOW was already reviewed.
The SOW dated 14th May 2024 is full and main contract negotiated with Client.  CR # 1 dated 12th August 2024 is extension of fixed price billing till 30th Sep 2024 and CR# 2 (contract under evaluation ) is also combined as it is extension of fixed fees uptill Dec 2024, CR#03 - Fixed price billing arrangement and baselining period extended till 31st January 2025, CR#05 - Fixed price billing arrangement and baselining period extended till 31st March 2025 AND CR#06 - Fixed price billing arrangement and baselining period extended till 30th June 2025. All these contracts are for Pathology &amp; Imaging services. Hence these contracts are combined.</t>
  </si>
  <si>
    <t xml:space="preserve">CR#03 - Fixed price billing arrangement and baselining period extended till 31st January 2025
CR#05 - Fixed price billing arrangement and baselining period extended till 31st March 2025
CR#06 - Fixed price billing arrangement and baselining period extended till 30th June 2025
Since CR# 03, CR# 05 and CR# 06 is just extension of term of the SOW reviewed in the month of August,  we have combined the CR's in the exisiting checklist no 2024-25-018 
</t>
  </si>
  <si>
    <t>Data Entry
Procurement
Skin Audit
One time background check</t>
  </si>
  <si>
    <t>“Data Entry &amp; Procurement services &amp; Skin Audit&amp; One time background check" are single performance obligation in the contract by applying series guidance. 
 Transition services / IT Setup of Technology does not provide any incremental benefit to the Customer. As per Customer, they have entered into the contract for support services and these activities cannot benefit the Customer on standalone basis. Hence, these are considered as setup activities and hence are inputs to the overall combined output of the contract.</t>
  </si>
  <si>
    <t>Skin Audit</t>
  </si>
  <si>
    <t>Revenue from Skin Audit will be recognised on monthly basis based on no. of billable FTEs * rate per FTE per month as stated in the contract.</t>
  </si>
  <si>
    <t xml:space="preserve">
CR#06 is entered to extend Fixed price billing arrangement and the baselining period along with addition in scope of services "Skin Audit". Since there is addition in scope of service with increase in the price of the contract. This should be considered as seperate contract and the accounting of modification will be done prospectively. </t>
  </si>
  <si>
    <t>Scope of Service - GA, Pathology, Imaging, Pre-Payment, DOR, QML, LAV, WDP (Data Entry, Procurement ,Skin Audit and One time background check</t>
  </si>
  <si>
    <t>March 2025</t>
  </si>
  <si>
    <t>Transition cost is considered as cost of fulfilling the contract. Transition has been done through CRs, it  will be deferred and amortized over the contract term plus one expected renewal term. 
Technology set-up- these are mainly hardware elements like  Laptops, Monitors, etc. which falls under other guidance viz, PPE. Cost will be recognized over the life of the asset</t>
  </si>
  <si>
    <t>In or after June 2025, the Data Entry process will be billed based on transaction based pricing. In case the data is not available till the 30th June 2025 then both parties will mutually agree the period of extension</t>
  </si>
  <si>
    <t>Revenue from Data Entry services for the first 3 months which is further extended till 30th June 2025 through CR#06, will be recognised on monthly basis based on the amount per month provided in the contract.</t>
  </si>
  <si>
    <t>Consideration payable is accounted for as a purchase from customers</t>
  </si>
  <si>
    <t>ABC Entity –</t>
  </si>
  <si>
    <t>ABC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ABC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</si>
  <si>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 xml:space="preserve">Transition charges represent service fee charged to transit various processes with FTE involvement. 
ABC policy states for deferment of transition revenue. Transition charges includes charges for consultancy for all defined process Knowledge Transfer and OPE. </t>
  </si>
  <si>
    <t>As per contract for Data Entry work, for initial 3 months ABC will charge a fixed monthly amount of AUD 720,000. Through CR#06 it has been extended till 30th June 2025.</t>
  </si>
  <si>
    <t>Overtime -  will be charged with the prior approval from XYZ at AUD $11.6 per production hour (for Data Entry)</t>
  </si>
  <si>
    <t>Overtime -  will be charged with the prior approval from XYZ at AUD $16.8 per production hour (for Procurement Data Role)</t>
  </si>
  <si>
    <t>Credit pass back on account of XYZ Hyderbad facility used by ABC for delivery of Service for Year 1</t>
  </si>
  <si>
    <t xml:space="preserve">1.	ABC is serving BPM – Pathology imaging services from XYZ Hyderabad facility for 13 months starting from 1st June 2024.
2.	ABC would have to rent some other premises to provide the BPM in Hyderabad if XYZ would have not provided its facility or would not have agreed to rent the premises to ABC for carrying out BPM business transactional processing. So, the rent agreed with XYZ is at par with market rent if ABC would have rented the premises from some other landlord. 
3.	When the facility period is over and if it is not extended, ABC will move to another premise to deliver the services. In such scenario, the pricing or FTE rate mentioned in the contract remains unchanged. 
After baselining measurement period and when pricing shifts to transaction- based billing the UTP rates will not include any impact of rent paid to XYZ.
In other words, there is no co-relation/ connection between the rates or pricing mentioned in the contract for the BPM services and the rent charges paid to XYZ for using Hyderabad premises. </t>
  </si>
  <si>
    <t>4.	In case of ABC stops using XYZ premises for providing BPM service, the Customer contract will continue to exist and there will be no termination of XYZ-ABC BPM contract. Customer has not insisted to take the premise on rent but it is for ease of doing business that ABC is operating from XYZ’s Hyderabad facility. XYZ has not insisted on ABC to use its Hyderabad facility.
5.	Though the ownership of the premises is with XYZ, ABC will be allowed to service the customer within the terms and conditions allowed in the contract. ABC will be able to operate from Hyderabad facility as per their requirements and XYZ will not interfere in the usage.
6.	ABC cannot provide services for other customer [other than XYZ] from XYZ premises. Such clauses are normal and can be written in any of lease contracts.</t>
  </si>
  <si>
    <t>As per the above evaluation it has been assessed that Revenue contract and lease contract both are separate contracts as the Customer can benefit from it on its own and since XYZ has not insisted on ABC to use it Hyderabad facility compulsorily for this revenue contract it can be concluded that in the context of the contract also the service is distinct. Hence the consideration payable to customer in the form of Rent should be considered as cost to ABC and not reduction to revenue.</t>
  </si>
  <si>
    <t>The termination fee would be recognized as revenue only when there are no further obligations on ABC part with reference to provisioning of the services. Termination penalty will be recorded as revenue when the amount is received from customer.
As per the MSA, "XYZ may terminate this Agreement (or one or more SOWs) as a whole or in
part, without liability, by giving the Supplier at least 6 months’ notice." 
XYZ may, by giving at least 6 months notice to the Supplier, terminate this Agreement or a Statement of Work in whole or in part for convenience. Since the notice period and terination fees (wind down charges equivalent to 3 times the average monthly Charges paid by XYZ to Supplier in respect of the particular Service, calculated by reference to the average monthly Charges paid in the 6 months immediately preceding the date of notice of termination) is substantial in nature, this will discourage customer from termination and hence, we have considered the contract period is the term of the contract.
\</t>
  </si>
  <si>
    <t>ABC acts as principal in the contract</t>
  </si>
  <si>
    <t>ABC is primarily responsible for fulfullment of contract.</t>
  </si>
  <si>
    <t xml:space="preserve">ABC has the discretion to establish the price. </t>
  </si>
  <si>
    <t>What is the currency of invoicing? Is this currency, the functional currency of either ABC or of the customer or any substantial party to the contract? If no, evaluate whether the contract contains a foreign currency embedded derivative.</t>
  </si>
  <si>
    <t>AUD is the functional currency of ABC Australia</t>
  </si>
  <si>
    <t>Whether the ABC is the principal or agent in the contract?</t>
  </si>
  <si>
    <t>Credit pass back on account of Healius Hyderbad facility used by ABC for delivery of Service for Year 1</t>
  </si>
  <si>
    <t>As per Para 10-32-6 of ASC 606 consideration can vary because of discounts, rebates, refunds, credits, price concessions, incentives, performance bonuses, penalties, or other similar items. Hence, Service Credit and COLA based on CPI shall be considered as variable consideration. Contract includes clauses allowing Service Credit if ABC fails to achieve the Key Performance Indicators on a monthly basis. Though the Service levels are defined in the contract, service credits will be applicable after baselining period is complete. ABC will send a report to Healius during Baselining measurement period of Service level defaults made by ABC.</t>
  </si>
  <si>
    <t>FTE consumed and time elapsed
Since ABC is using As-Invoiced practical expedient, the applicability of input method use has been foregone.</t>
  </si>
  <si>
    <t>Transition charges are incurred to setup FTEs in Vizag location. Transition charges are setup activities which are not a separate performance obligation as stated in Step 2 but are inputs to the overall combined output for which customer has entered into a contract with ABC. These charges are defered and recognised as revenue over the contract 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</si>
</sst>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32"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b/>
      <u/>
      <sz val="10"/>
      <color rgb="FF984806"/>
      <name val="Calibri"/>
      <family val="2"/>
    </font>
  </fonts>
  <fills count="10">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s>
  <borders count="61">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s>
  <cellStyleXfs count="2">
    <xf numFmtId="0" fontId="0" fillId="0" borderId="0"/>
    <xf numFmtId="0" fontId="30" fillId="0" borderId="0" applyNumberFormat="0" applyFill="0" applyBorder="0" applyAlignment="0" applyProtection="0"/>
  </cellStyleXfs>
  <cellXfs count="353">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0" fontId="16" fillId="6" borderId="0" xfId="0" applyFont="1" applyFill="1" applyAlignment="1" applyProtection="1">
      <alignment wrapText="1"/>
      <protection locked="0"/>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4" fillId="0" borderId="12" xfId="0" applyFont="1" applyBorder="1" applyAlignment="1">
      <alignment vertical="center" wrapText="1"/>
    </xf>
    <xf numFmtId="164" fontId="8" fillId="6" borderId="0" xfId="0" applyNumberFormat="1" applyFont="1" applyFill="1" applyAlignment="1" applyProtection="1">
      <alignment vertical="center"/>
      <protection locked="0"/>
    </xf>
    <xf numFmtId="0" fontId="5" fillId="0" borderId="3" xfId="0" applyFont="1" applyBorder="1" applyAlignment="1">
      <alignment vertical="center" wrapText="1"/>
    </xf>
    <xf numFmtId="0" fontId="5" fillId="0" borderId="5" xfId="0" applyFont="1" applyBorder="1" applyAlignment="1">
      <alignment horizontal="justify" vertical="center" wrapText="1"/>
    </xf>
    <xf numFmtId="0" fontId="5" fillId="0" borderId="5" xfId="0" applyFont="1" applyBorder="1" applyAlignment="1">
      <alignment vertical="center" wrapText="1"/>
    </xf>
    <xf numFmtId="0" fontId="4" fillId="0" borderId="12" xfId="0" applyFont="1" applyBorder="1" applyAlignment="1">
      <alignment horizontal="justify" vertical="center" wrapText="1"/>
    </xf>
    <xf numFmtId="0" fontId="4" fillId="0" borderId="6" xfId="0" applyFont="1" applyBorder="1" applyAlignment="1">
      <alignment horizontal="justify"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4" fillId="0" borderId="19" xfId="0" applyFont="1" applyBorder="1" applyAlignment="1">
      <alignment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51" xfId="0" applyFont="1" applyBorder="1" applyAlignment="1">
      <alignment horizontal="justify"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2" xfId="0" applyFont="1" applyFill="1" applyBorder="1" applyAlignment="1" applyProtection="1">
      <alignment vertical="center"/>
      <protection locked="0"/>
    </xf>
    <xf numFmtId="0" fontId="3" fillId="0" borderId="52"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3" xfId="0" applyFill="1" applyBorder="1" applyAlignment="1" applyProtection="1">
      <alignment vertical="center"/>
      <protection locked="0"/>
    </xf>
    <xf numFmtId="0" fontId="3" fillId="5" borderId="53"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2" xfId="0" applyFont="1" applyBorder="1" applyAlignment="1" applyProtection="1">
      <alignment horizontal="left" vertical="top" wrapText="1"/>
      <protection locked="0"/>
    </xf>
    <xf numFmtId="0" fontId="10" fillId="0" borderId="52"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59" xfId="0" applyFont="1" applyBorder="1" applyAlignment="1" applyProtection="1">
      <alignment vertical="center" wrapText="1"/>
      <protection locked="0"/>
    </xf>
    <xf numFmtId="0" fontId="4" fillId="0" borderId="17" xfId="0" applyFont="1" applyBorder="1" applyAlignment="1" applyProtection="1">
      <alignment vertical="center" wrapText="1"/>
      <protection locked="0"/>
    </xf>
    <xf numFmtId="0" fontId="8" fillId="6" borderId="0" xfId="0" applyFont="1" applyFill="1" applyAlignment="1" applyProtection="1">
      <alignment horizontal="left" vertical="top"/>
      <protection locked="0"/>
    </xf>
    <xf numFmtId="0" fontId="8" fillId="6" borderId="0" xfId="0" applyFont="1" applyFill="1" applyAlignment="1" applyProtection="1">
      <alignment horizontal="left" vertical="top" wrapText="1"/>
      <protection locked="0"/>
    </xf>
    <xf numFmtId="0" fontId="4" fillId="0" borderId="0" xfId="0" applyFont="1" applyAlignment="1">
      <alignment horizontal="justify" vertical="center"/>
    </xf>
    <xf numFmtId="0" fontId="4" fillId="6" borderId="4" xfId="0" applyFont="1" applyFill="1" applyBorder="1" applyAlignment="1" applyProtection="1">
      <alignment vertical="center" wrapText="1"/>
      <protection locked="0"/>
    </xf>
    <xf numFmtId="166" fontId="6" fillId="6" borderId="4" xfId="0" quotePrefix="1" applyNumberFormat="1" applyFont="1" applyFill="1" applyBorder="1" applyAlignment="1" applyProtection="1">
      <alignment horizontal="left" vertical="center"/>
      <protection locked="0"/>
    </xf>
    <xf numFmtId="0" fontId="4" fillId="6" borderId="4" xfId="0" applyFont="1" applyFill="1" applyBorder="1" applyAlignment="1" applyProtection="1">
      <alignment vertical="top" wrapText="1"/>
      <protection locked="0"/>
    </xf>
    <xf numFmtId="0" fontId="25" fillId="0" borderId="5" xfId="0" applyFont="1" applyBorder="1" applyAlignment="1" applyProtection="1">
      <alignment horizontal="left" vertical="center" wrapText="1"/>
      <protection locked="0"/>
    </xf>
    <xf numFmtId="0" fontId="28" fillId="0" borderId="0" xfId="0" applyFont="1" applyAlignment="1">
      <alignment vertical="center"/>
    </xf>
    <xf numFmtId="0" fontId="3" fillId="5" borderId="54"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center" vertical="center"/>
      <protection locked="0"/>
    </xf>
    <xf numFmtId="0" fontId="3" fillId="5" borderId="55" xfId="0" applyFont="1" applyFill="1" applyBorder="1" applyAlignment="1" applyProtection="1">
      <alignment horizontal="center" vertical="center"/>
      <protection locked="0"/>
    </xf>
    <xf numFmtId="0" fontId="6" fillId="6" borderId="9"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9" xfId="0" applyFont="1" applyFill="1" applyBorder="1" applyAlignment="1" applyProtection="1">
      <alignment horizontal="left" vertical="top" wrapText="1"/>
      <protection locked="0"/>
    </xf>
    <xf numFmtId="0" fontId="6" fillId="6" borderId="5" xfId="0" applyFont="1" applyFill="1" applyBorder="1" applyAlignment="1" applyProtection="1">
      <alignment horizontal="left" vertical="top"/>
      <protection locked="0"/>
    </xf>
    <xf numFmtId="0" fontId="6" fillId="6" borderId="9" xfId="0" applyFont="1" applyFill="1" applyBorder="1" applyAlignment="1" applyProtection="1">
      <alignment horizontal="left" vertical="center" wrapText="1"/>
      <protection locked="0"/>
    </xf>
    <xf numFmtId="0" fontId="6" fillId="6" borderId="14" xfId="0" applyFont="1" applyFill="1" applyBorder="1" applyAlignment="1" applyProtection="1">
      <alignment horizontal="left" vertical="center" wrapText="1"/>
      <protection locked="0"/>
    </xf>
    <xf numFmtId="0" fontId="6" fillId="6" borderId="15" xfId="0" applyFont="1" applyFill="1" applyBorder="1" applyAlignment="1" applyProtection="1">
      <alignment horizontal="left" vertical="center" wrapText="1"/>
      <protection locked="0"/>
    </xf>
    <xf numFmtId="0" fontId="6" fillId="6" borderId="5" xfId="0" applyFont="1" applyFill="1" applyBorder="1" applyAlignment="1" applyProtection="1">
      <alignment horizontal="left" vertical="center" wrapText="1"/>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6" fillId="6" borderId="39" xfId="0" applyFont="1" applyFill="1" applyBorder="1" applyAlignment="1" applyProtection="1">
      <alignment vertical="center" wrapText="1"/>
      <protection locked="0"/>
    </xf>
    <xf numFmtId="0" fontId="6" fillId="6" borderId="40" xfId="0" applyFont="1" applyFill="1" applyBorder="1" applyAlignment="1" applyProtection="1">
      <alignment vertical="center" wrapText="1"/>
      <protection locked="0"/>
    </xf>
    <xf numFmtId="0" fontId="6" fillId="6" borderId="41" xfId="0" applyFont="1" applyFill="1" applyBorder="1" applyAlignment="1" applyProtection="1">
      <alignment vertical="center" wrapText="1"/>
      <protection locked="0"/>
    </xf>
    <xf numFmtId="0" fontId="6" fillId="6" borderId="39" xfId="0" applyFont="1" applyFill="1" applyBorder="1" applyAlignment="1" applyProtection="1">
      <alignment vertical="top" wrapText="1"/>
      <protection locked="0"/>
    </xf>
    <xf numFmtId="0" fontId="6" fillId="6" borderId="40" xfId="0" applyFont="1" applyFill="1" applyBorder="1" applyAlignment="1" applyProtection="1">
      <alignment vertical="top"/>
      <protection locked="0"/>
    </xf>
    <xf numFmtId="0" fontId="6" fillId="6" borderId="41" xfId="0" applyFont="1" applyFill="1" applyBorder="1" applyAlignment="1" applyProtection="1">
      <alignment vertical="top"/>
      <protection locked="0"/>
    </xf>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10" fillId="0" borderId="5"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1" fillId="6" borderId="0" xfId="0" applyFont="1" applyFill="1"/>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4" fillId="0" borderId="9" xfId="0" applyFont="1" applyBorder="1" applyAlignment="1" applyProtection="1">
      <alignment horizontal="left" wrapText="1"/>
      <protection locked="0"/>
    </xf>
    <xf numFmtId="0" fontId="4" fillId="0" borderId="16" xfId="0" applyFont="1" applyBorder="1" applyAlignment="1" applyProtection="1">
      <alignment horizontal="left" wrapText="1"/>
      <protection locked="0"/>
    </xf>
    <xf numFmtId="0" fontId="4" fillId="0" borderId="5" xfId="0" applyFont="1" applyBorder="1" applyAlignment="1" applyProtection="1">
      <alignment horizontal="left" wrapText="1"/>
      <protection locked="0"/>
    </xf>
    <xf numFmtId="0" fontId="10" fillId="0" borderId="9" xfId="0" applyFont="1" applyBorder="1" applyAlignment="1" applyProtection="1">
      <alignment vertical="center" wrapText="1"/>
      <protection locked="0"/>
    </xf>
    <xf numFmtId="0" fontId="10" fillId="0" borderId="16"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14" fillId="7" borderId="9" xfId="0" applyFont="1" applyFill="1" applyBorder="1" applyAlignment="1" applyProtection="1">
      <alignment horizontal="left" vertical="center"/>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7" fillId="0" borderId="20" xfId="0" applyFont="1" applyBorder="1" applyAlignment="1" applyProtection="1">
      <alignment horizontal="left" vertical="center" wrapText="1"/>
      <protection locked="0"/>
    </xf>
    <xf numFmtId="0" fontId="17" fillId="0" borderId="21" xfId="0" applyFont="1" applyBorder="1" applyAlignment="1" applyProtection="1">
      <alignment horizontal="left" vertical="center" wrapText="1"/>
      <protection locked="0"/>
    </xf>
    <xf numFmtId="0" fontId="17" fillId="0" borderId="22"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0" fontId="14" fillId="7" borderId="56"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3" xfId="0" applyFont="1" applyFill="1" applyBorder="1" applyAlignment="1">
      <alignment horizontal="left" vertical="center"/>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4" fillId="0" borderId="58" xfId="0" applyFont="1" applyBorder="1" applyAlignment="1" applyProtection="1">
      <alignment horizontal="left" vertical="center" wrapText="1"/>
      <protection locked="0"/>
    </xf>
    <xf numFmtId="0" fontId="4" fillId="0" borderId="59" xfId="0" applyFont="1" applyBorder="1" applyAlignment="1" applyProtection="1">
      <alignment horizontal="left"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10" fillId="0" borderId="58" xfId="0" applyFont="1" applyBorder="1" applyAlignment="1" applyProtection="1">
      <alignment horizontal="left" vertical="center" wrapText="1"/>
      <protection locked="0"/>
    </xf>
    <xf numFmtId="0" fontId="10" fillId="0" borderId="59" xfId="0" applyFont="1" applyBorder="1" applyAlignment="1" applyProtection="1">
      <alignment horizontal="left" vertical="center"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10" xfId="0" applyFont="1" applyBorder="1" applyAlignment="1">
      <alignment horizontal="justify" vertical="center" wrapText="1"/>
    </xf>
    <xf numFmtId="0" fontId="10" fillId="0" borderId="60" xfId="0" applyFont="1" applyBorder="1" applyAlignment="1" applyProtection="1">
      <alignment horizontal="left" vertical="center" wrapText="1"/>
      <protection locked="0"/>
    </xf>
    <xf numFmtId="0" fontId="4" fillId="0" borderId="20"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center" wrapText="1"/>
    </xf>
    <xf numFmtId="0" fontId="4" fillId="0" borderId="50" xfId="0" applyFont="1" applyBorder="1" applyAlignment="1">
      <alignment horizontal="left" vertical="center"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16" fillId="6" borderId="0" xfId="0" applyFont="1" applyFill="1" applyAlignment="1" applyProtection="1">
      <alignment horizontal="left" vertical="top"/>
      <protection locked="0"/>
    </xf>
    <xf numFmtId="0" fontId="8" fillId="6" borderId="0" xfId="0" applyFont="1" applyFill="1" applyAlignment="1" applyProtection="1">
      <alignment horizontal="left" vertical="top" wrapText="1"/>
      <protection locked="0"/>
    </xf>
    <xf numFmtId="0" fontId="8" fillId="6" borderId="0" xfId="0" applyFont="1" applyFill="1" applyAlignment="1" applyProtection="1">
      <alignment horizontal="left" vertical="top"/>
      <protection locked="0"/>
    </xf>
    <xf numFmtId="0" fontId="4" fillId="0" borderId="0" xfId="0" applyFont="1" applyAlignment="1">
      <alignment horizontal="left" vertical="top" wrapText="1"/>
    </xf>
    <xf numFmtId="0" fontId="5" fillId="0" borderId="0" xfId="0" applyFont="1" applyAlignment="1">
      <alignment horizontal="left" vertical="top"/>
    </xf>
    <xf numFmtId="0" fontId="31" fillId="0" borderId="0" xfId="0" applyFont="1" applyAlignment="1">
      <alignment horizontal="left" vertical="top"/>
    </xf>
    <xf numFmtId="0" fontId="12" fillId="6" borderId="0" xfId="0" applyFont="1" applyFill="1" applyAlignment="1" applyProtection="1">
      <alignment horizontal="left" vertical="top"/>
      <protection locked="0"/>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18">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505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8</xdr:row>
      <xdr:rowOff>527050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3803" cy="2273300"/>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65</xdr:row>
      <xdr:rowOff>0</xdr:rowOff>
    </xdr:from>
    <xdr:to>
      <xdr:col>4</xdr:col>
      <xdr:colOff>1730375</xdr:colOff>
      <xdr:row>68</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3</xdr:col>
      <xdr:colOff>273050</xdr:colOff>
      <xdr:row>5</xdr:row>
      <xdr:rowOff>76200</xdr:rowOff>
    </xdr:from>
    <xdr:to>
      <xdr:col>3</xdr:col>
      <xdr:colOff>2305050</xdr:colOff>
      <xdr:row>5</xdr:row>
      <xdr:rowOff>190500</xdr:rowOff>
    </xdr:to>
    <xdr:sp macro="" textlink="">
      <xdr:nvSpPr>
        <xdr:cNvPr id="4" name="Rectangle 3">
          <a:extLst>
            <a:ext uri="{FF2B5EF4-FFF2-40B4-BE49-F238E27FC236}">
              <a16:creationId xmlns:a16="http://schemas.microsoft.com/office/drawing/2014/main" id="{130D7AF4-DA42-CBD5-373A-7DD37F0F4E08}"/>
            </a:ext>
          </a:extLst>
        </xdr:cNvPr>
        <xdr:cNvSpPr/>
      </xdr:nvSpPr>
      <xdr:spPr>
        <a:xfrm>
          <a:off x="4959350" y="742950"/>
          <a:ext cx="2032000" cy="1143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xdr:colOff>
      <xdr:row>5</xdr:row>
      <xdr:rowOff>228600</xdr:rowOff>
    </xdr:from>
    <xdr:to>
      <xdr:col>3</xdr:col>
      <xdr:colOff>2463800</xdr:colOff>
      <xdr:row>5</xdr:row>
      <xdr:rowOff>355600</xdr:rowOff>
    </xdr:to>
    <xdr:sp macro="" textlink="">
      <xdr:nvSpPr>
        <xdr:cNvPr id="6" name="Rectangle 5">
          <a:extLst>
            <a:ext uri="{FF2B5EF4-FFF2-40B4-BE49-F238E27FC236}">
              <a16:creationId xmlns:a16="http://schemas.microsoft.com/office/drawing/2014/main" id="{6904B9F6-1ED6-4D78-9D75-E88309FAC3F6}"/>
            </a:ext>
          </a:extLst>
        </xdr:cNvPr>
        <xdr:cNvSpPr/>
      </xdr:nvSpPr>
      <xdr:spPr>
        <a:xfrm>
          <a:off x="4724400" y="895350"/>
          <a:ext cx="2425700" cy="1270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2851150</xdr:colOff>
      <xdr:row>6</xdr:row>
      <xdr:rowOff>76200</xdr:rowOff>
    </xdr:from>
    <xdr:to>
      <xdr:col>4</xdr:col>
      <xdr:colOff>1663700</xdr:colOff>
      <xdr:row>6</xdr:row>
      <xdr:rowOff>349250</xdr:rowOff>
    </xdr:to>
    <xdr:sp macro="" textlink="">
      <xdr:nvSpPr>
        <xdr:cNvPr id="18" name="Rectangle 17">
          <a:extLst>
            <a:ext uri="{FF2B5EF4-FFF2-40B4-BE49-F238E27FC236}">
              <a16:creationId xmlns:a16="http://schemas.microsoft.com/office/drawing/2014/main" id="{45226284-2034-43A2-A6F9-48AE0880AE6B}"/>
            </a:ext>
          </a:extLst>
        </xdr:cNvPr>
        <xdr:cNvSpPr/>
      </xdr:nvSpPr>
      <xdr:spPr>
        <a:xfrm>
          <a:off x="4660900" y="1155700"/>
          <a:ext cx="4330700" cy="27305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0</xdr:colOff>
      <xdr:row>24</xdr:row>
      <xdr:rowOff>0</xdr:rowOff>
    </xdr:from>
    <xdr:to>
      <xdr:col>4</xdr:col>
      <xdr:colOff>1663700</xdr:colOff>
      <xdr:row>27</xdr:row>
      <xdr:rowOff>25400</xdr:rowOff>
    </xdr:to>
    <xdr:sp macro="" textlink="">
      <xdr:nvSpPr>
        <xdr:cNvPr id="19" name="Rectangle 18">
          <a:extLst>
            <a:ext uri="{FF2B5EF4-FFF2-40B4-BE49-F238E27FC236}">
              <a16:creationId xmlns:a16="http://schemas.microsoft.com/office/drawing/2014/main" id="{F3D71D03-EF63-4B7E-8C34-04A24DCB3E99}"/>
            </a:ext>
          </a:extLst>
        </xdr:cNvPr>
        <xdr:cNvSpPr/>
      </xdr:nvSpPr>
      <xdr:spPr>
        <a:xfrm>
          <a:off x="1809750" y="9010650"/>
          <a:ext cx="7181850" cy="53975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0</xdr:colOff>
      <xdr:row>30</xdr:row>
      <xdr:rowOff>0</xdr:rowOff>
    </xdr:from>
    <xdr:to>
      <xdr:col>3</xdr:col>
      <xdr:colOff>1701800</xdr:colOff>
      <xdr:row>31</xdr:row>
      <xdr:rowOff>19050</xdr:rowOff>
    </xdr:to>
    <xdr:sp macro="" textlink="">
      <xdr:nvSpPr>
        <xdr:cNvPr id="20" name="Rectangle 19">
          <a:extLst>
            <a:ext uri="{FF2B5EF4-FFF2-40B4-BE49-F238E27FC236}">
              <a16:creationId xmlns:a16="http://schemas.microsoft.com/office/drawing/2014/main" id="{04A45737-5353-4580-B140-00FC2F2E1C30}"/>
            </a:ext>
          </a:extLst>
        </xdr:cNvPr>
        <xdr:cNvSpPr/>
      </xdr:nvSpPr>
      <xdr:spPr>
        <a:xfrm>
          <a:off x="1809750" y="10242550"/>
          <a:ext cx="4578350" cy="190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21</xdr:row>
      <xdr:rowOff>25400</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22</xdr:row>
      <xdr:rowOff>239484</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20321" cy="5485118"/>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26671" cy="5485118"/>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18</xdr:row>
      <xdr:rowOff>421341</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895265" cy="5491615"/>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54</xdr:row>
      <xdr:rowOff>1</xdr:rowOff>
    </xdr:from>
    <xdr:to>
      <xdr:col>3</xdr:col>
      <xdr:colOff>1008528</xdr:colOff>
      <xdr:row>58</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54</xdr:row>
      <xdr:rowOff>1</xdr:rowOff>
    </xdr:from>
    <xdr:to>
      <xdr:col>3</xdr:col>
      <xdr:colOff>1008528</xdr:colOff>
      <xdr:row>58</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54</xdr:row>
      <xdr:rowOff>1</xdr:rowOff>
    </xdr:from>
    <xdr:to>
      <xdr:col>3</xdr:col>
      <xdr:colOff>1008528</xdr:colOff>
      <xdr:row>58</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53</xdr:row>
      <xdr:rowOff>81643</xdr:rowOff>
    </xdr:from>
    <xdr:to>
      <xdr:col>7</xdr:col>
      <xdr:colOff>562429</xdr:colOff>
      <xdr:row>56</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54</xdr:row>
      <xdr:rowOff>1</xdr:rowOff>
    </xdr:from>
    <xdr:to>
      <xdr:col>3</xdr:col>
      <xdr:colOff>1008528</xdr:colOff>
      <xdr:row>58</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54</xdr:row>
      <xdr:rowOff>1</xdr:rowOff>
    </xdr:from>
    <xdr:to>
      <xdr:col>3</xdr:col>
      <xdr:colOff>1008528</xdr:colOff>
      <xdr:row>58</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17</xdr:row>
      <xdr:rowOff>38099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H1" sqref="H1"/>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233</v>
      </c>
      <c r="C1" s="12"/>
      <c r="D1" s="12" t="s">
        <v>252</v>
      </c>
      <c r="F1" s="12" t="s">
        <v>309</v>
      </c>
      <c r="H1" t="s">
        <v>516</v>
      </c>
      <c r="J1" s="12" t="s">
        <v>352</v>
      </c>
      <c r="K1" s="84" t="s">
        <v>373</v>
      </c>
      <c r="L1" s="83"/>
    </row>
    <row r="2" spans="1:12" x14ac:dyDescent="0.35">
      <c r="A2" t="s">
        <v>155</v>
      </c>
      <c r="B2" t="s">
        <v>301</v>
      </c>
      <c r="D2" t="s">
        <v>253</v>
      </c>
      <c r="F2" t="s">
        <v>310</v>
      </c>
      <c r="H2" t="s">
        <v>306</v>
      </c>
      <c r="J2" t="s">
        <v>349</v>
      </c>
      <c r="K2" s="145" t="s">
        <v>377</v>
      </c>
      <c r="L2" s="145"/>
    </row>
    <row r="3" spans="1:12" x14ac:dyDescent="0.35">
      <c r="A3" t="s">
        <v>156</v>
      </c>
      <c r="B3" t="s">
        <v>302</v>
      </c>
      <c r="D3" t="s">
        <v>254</v>
      </c>
      <c r="F3" t="s">
        <v>311</v>
      </c>
      <c r="H3" t="s">
        <v>347</v>
      </c>
      <c r="J3" t="s">
        <v>350</v>
      </c>
      <c r="K3" s="82" t="s">
        <v>378</v>
      </c>
      <c r="L3" s="83"/>
    </row>
    <row r="4" spans="1:12" x14ac:dyDescent="0.35">
      <c r="A4" t="s">
        <v>157</v>
      </c>
      <c r="B4" t="s">
        <v>462</v>
      </c>
      <c r="F4" t="s">
        <v>462</v>
      </c>
      <c r="J4" t="s">
        <v>351</v>
      </c>
      <c r="K4" s="82" t="s">
        <v>379</v>
      </c>
      <c r="L4" s="83"/>
    </row>
    <row r="5" spans="1:12" x14ac:dyDescent="0.35">
      <c r="K5" t="s">
        <v>463</v>
      </c>
    </row>
  </sheetData>
  <mergeCells count="1">
    <mergeCell ref="K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F5" sqref="F5"/>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2</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51" t="s">
        <v>361</v>
      </c>
      <c r="E10" s="52"/>
      <c r="F10" s="52" t="s">
        <v>474</v>
      </c>
      <c r="G10" s="13"/>
      <c r="H10" s="13"/>
      <c r="I10" s="13"/>
      <c r="J10" s="13"/>
      <c r="K10" s="13"/>
      <c r="L10" s="13"/>
      <c r="M10" s="13"/>
      <c r="N10" s="13"/>
      <c r="O10" s="13"/>
      <c r="P10" s="13"/>
      <c r="Q10" s="13"/>
      <c r="R10" s="13"/>
    </row>
    <row r="11" spans="3:18" ht="27" customHeight="1" x14ac:dyDescent="0.35">
      <c r="C11" s="13"/>
      <c r="D11" s="51" t="s">
        <v>391</v>
      </c>
      <c r="E11" s="97">
        <v>45536</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46" t="s">
        <v>400</v>
      </c>
      <c r="E13" s="99" t="s">
        <v>454</v>
      </c>
      <c r="F13" s="13"/>
      <c r="G13" s="13"/>
      <c r="H13" s="13"/>
      <c r="I13" s="13"/>
      <c r="J13" s="13"/>
      <c r="K13" s="13"/>
      <c r="L13" s="13"/>
      <c r="M13" s="13"/>
      <c r="N13" s="13"/>
      <c r="O13" s="13"/>
      <c r="P13" s="13"/>
      <c r="Q13" s="13"/>
    </row>
    <row r="14" spans="3:18" ht="20.149999999999999" customHeight="1" x14ac:dyDescent="0.35">
      <c r="C14" s="13"/>
      <c r="D14" s="147"/>
      <c r="E14" s="98"/>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46" t="s">
        <v>399</v>
      </c>
      <c r="E17" s="148"/>
      <c r="F17" s="13"/>
      <c r="G17" s="13"/>
      <c r="H17" s="13"/>
      <c r="I17" s="13"/>
      <c r="J17" s="13"/>
      <c r="K17" s="13"/>
      <c r="L17" s="13"/>
      <c r="M17" s="13"/>
      <c r="N17" s="13"/>
      <c r="O17" s="13"/>
      <c r="P17" s="13"/>
      <c r="Q17" s="13"/>
    </row>
    <row r="18" spans="1:18" ht="13.75" customHeight="1" x14ac:dyDescent="0.35">
      <c r="C18" s="13"/>
      <c r="D18" s="147"/>
      <c r="E18" s="149"/>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17" priority="5">
      <formula>$P$7&lt;=1</formula>
    </cfRule>
    <cfRule type="expression" dxfId="16" priority="6">
      <formula>$P$7&gt;1</formula>
    </cfRule>
  </conditionalFormatting>
  <conditionalFormatting sqref="E17:E18">
    <cfRule type="expression" dxfId="15" priority="1">
      <formula>$P$1&lt;=1</formula>
    </cfRule>
    <cfRule type="expression" dxfId="14"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3"/>
  <sheetViews>
    <sheetView workbookViewId="0">
      <selection activeCell="C12" sqref="C12"/>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32.5" customHeight="1" thickBot="1" x14ac:dyDescent="0.4">
      <c r="C6" s="78" t="s">
        <v>500</v>
      </c>
      <c r="D6" s="154"/>
      <c r="E6" s="157"/>
      <c r="F6" s="17"/>
    </row>
    <row r="7" spans="3:6" ht="32.5" customHeight="1" thickBot="1" x14ac:dyDescent="0.4">
      <c r="C7" s="79" t="s">
        <v>304</v>
      </c>
      <c r="D7" s="154"/>
      <c r="E7" s="157"/>
      <c r="F7" s="17"/>
    </row>
    <row r="8" spans="3:6" ht="20.149999999999999" customHeight="1" thickBot="1" x14ac:dyDescent="0.4">
      <c r="C8" s="79" t="s">
        <v>346</v>
      </c>
      <c r="D8" s="150" t="s">
        <v>401</v>
      </c>
      <c r="E8" s="151"/>
      <c r="F8" s="17"/>
    </row>
    <row r="9" spans="3:6" ht="42" customHeight="1" thickBot="1" x14ac:dyDescent="0.4">
      <c r="C9" s="79" t="s">
        <v>305</v>
      </c>
      <c r="D9" s="154" t="s">
        <v>483</v>
      </c>
      <c r="E9" s="157"/>
    </row>
    <row r="10" spans="3:6" ht="31" customHeight="1" thickBot="1" x14ac:dyDescent="0.4">
      <c r="C10" s="141" t="s">
        <v>475</v>
      </c>
      <c r="D10" s="154" t="s">
        <v>476</v>
      </c>
      <c r="E10" s="151"/>
    </row>
    <row r="11" spans="3:6" ht="20.149999999999999" customHeight="1" thickBot="1" x14ac:dyDescent="0.4">
      <c r="C11" s="143" t="s">
        <v>479</v>
      </c>
      <c r="D11" s="152" t="s">
        <v>480</v>
      </c>
      <c r="E11" s="153"/>
    </row>
    <row r="12" spans="3:6" ht="88" customHeight="1" thickBot="1" x14ac:dyDescent="0.4">
      <c r="C12" s="141" t="s">
        <v>477</v>
      </c>
      <c r="D12" s="154" t="s">
        <v>481</v>
      </c>
      <c r="E12" s="151"/>
    </row>
    <row r="13" spans="3:6" ht="84.5" customHeight="1" thickBot="1" x14ac:dyDescent="0.4">
      <c r="C13" s="79" t="s">
        <v>464</v>
      </c>
      <c r="D13" s="155" t="s">
        <v>478</v>
      </c>
      <c r="E13" s="151"/>
    </row>
    <row r="14" spans="3:6" ht="85.5" customHeight="1" thickBot="1" x14ac:dyDescent="0.4">
      <c r="C14" s="79" t="s">
        <v>363</v>
      </c>
      <c r="D14" s="144" t="s">
        <v>484</v>
      </c>
      <c r="E14" s="144" t="s">
        <v>485</v>
      </c>
    </row>
    <row r="15" spans="3:6" ht="44" customHeight="1" thickBot="1" x14ac:dyDescent="0.4">
      <c r="C15" s="79" t="s">
        <v>370</v>
      </c>
      <c r="D15" s="156" t="s">
        <v>482</v>
      </c>
      <c r="E15" s="157"/>
    </row>
    <row r="16" spans="3:6" ht="30" customHeight="1" thickBot="1" x14ac:dyDescent="0.4">
      <c r="C16" s="80" t="s">
        <v>307</v>
      </c>
      <c r="D16" s="150" t="s">
        <v>402</v>
      </c>
      <c r="E16" s="151"/>
    </row>
    <row r="17" spans="3:5" ht="20.149999999999999" customHeight="1" thickBot="1" x14ac:dyDescent="0.4">
      <c r="C17" s="79" t="s">
        <v>345</v>
      </c>
      <c r="D17" s="150" t="s">
        <v>461</v>
      </c>
      <c r="E17" s="151"/>
    </row>
    <row r="18" spans="3:5" ht="20.149999999999999" customHeight="1" thickBot="1" x14ac:dyDescent="0.4">
      <c r="C18" s="120"/>
      <c r="D18" s="121"/>
      <c r="E18" s="121"/>
    </row>
    <row r="19" spans="3:5" ht="20.149999999999999" customHeight="1" thickBot="1" x14ac:dyDescent="0.4">
      <c r="C19" s="63" t="s">
        <v>365</v>
      </c>
      <c r="D19" s="129" t="s">
        <v>156</v>
      </c>
      <c r="E19" s="121"/>
    </row>
    <row r="20" spans="3:5" ht="20.149999999999999" customHeight="1" thickBot="1" x14ac:dyDescent="0.4">
      <c r="C20" s="54" t="s">
        <v>364</v>
      </c>
      <c r="D20" s="130" t="s">
        <v>155</v>
      </c>
      <c r="E20" s="121"/>
    </row>
    <row r="21" spans="3:5" ht="20.149999999999999" customHeight="1" thickBot="1" x14ac:dyDescent="0.4">
      <c r="C21" s="89" t="s">
        <v>398</v>
      </c>
      <c r="D21" s="131" t="s">
        <v>155</v>
      </c>
      <c r="E21" s="121"/>
    </row>
    <row r="22" spans="3:5" ht="20.149999999999999" customHeight="1" thickBot="1" x14ac:dyDescent="0.4">
      <c r="C22" s="90" t="s">
        <v>385</v>
      </c>
      <c r="D22" s="132" t="s">
        <v>403</v>
      </c>
      <c r="E22" s="121"/>
    </row>
    <row r="23" spans="3:5" ht="13.75" customHeight="1" thickBot="1" x14ac:dyDescent="0.4"/>
    <row r="24" spans="3:5" ht="13.75" customHeight="1" thickBot="1" x14ac:dyDescent="0.4">
      <c r="C24" s="63" t="s">
        <v>130</v>
      </c>
      <c r="D24" s="62" t="s">
        <v>131</v>
      </c>
      <c r="E24" s="62" t="s">
        <v>132</v>
      </c>
    </row>
    <row r="25" spans="3:5" ht="13.75" customHeight="1" thickBot="1" x14ac:dyDescent="0.4">
      <c r="C25" s="54"/>
      <c r="D25" s="55"/>
      <c r="E25" s="55"/>
    </row>
    <row r="26" spans="3:5" ht="13.75" customHeight="1" thickBot="1" x14ac:dyDescent="0.4">
      <c r="C26" s="54"/>
      <c r="D26" s="55"/>
      <c r="E26" s="55"/>
    </row>
    <row r="27" spans="3:5" ht="13.75" customHeight="1" thickBot="1" x14ac:dyDescent="0.4">
      <c r="C27" s="142" t="s">
        <v>495</v>
      </c>
      <c r="D27" s="142" t="s">
        <v>495</v>
      </c>
      <c r="E27" s="142" t="s">
        <v>495</v>
      </c>
    </row>
    <row r="28" spans="3:5" ht="13.75" customHeight="1" x14ac:dyDescent="0.35"/>
    <row r="29" spans="3:5" ht="13.75" customHeight="1" thickBot="1" x14ac:dyDescent="0.4">
      <c r="C29" s="20" t="s">
        <v>383</v>
      </c>
    </row>
    <row r="30" spans="3:5" ht="29.5" customHeight="1" thickBot="1" x14ac:dyDescent="0.4">
      <c r="C30" s="163" t="s">
        <v>494</v>
      </c>
      <c r="D30" s="164"/>
      <c r="E30" s="165"/>
    </row>
    <row r="31" spans="3:5" ht="13.75" customHeight="1" thickBot="1" x14ac:dyDescent="0.4">
      <c r="C31" s="160"/>
      <c r="D31" s="161"/>
      <c r="E31" s="162"/>
    </row>
    <row r="32" spans="3:5" ht="28" customHeight="1" thickBot="1" x14ac:dyDescent="0.4">
      <c r="C32" s="163" t="s">
        <v>465</v>
      </c>
      <c r="D32" s="164"/>
      <c r="E32" s="165"/>
    </row>
    <row r="33" spans="3:5" ht="80" customHeight="1" thickBot="1" x14ac:dyDescent="0.4">
      <c r="C33" s="166" t="s">
        <v>488</v>
      </c>
      <c r="D33" s="167"/>
      <c r="E33" s="168"/>
    </row>
    <row r="34" spans="3:5" ht="13.75" customHeight="1" thickBot="1" x14ac:dyDescent="0.4">
      <c r="C34" s="160" t="s">
        <v>456</v>
      </c>
      <c r="D34" s="161"/>
      <c r="E34" s="162"/>
    </row>
    <row r="35" spans="3:5" ht="13.75" customHeight="1" thickBot="1" x14ac:dyDescent="0.4">
      <c r="C35" s="160" t="s">
        <v>472</v>
      </c>
      <c r="D35" s="161"/>
      <c r="E35" s="162"/>
    </row>
    <row r="36" spans="3:5" ht="13.75" customHeight="1" thickBot="1" x14ac:dyDescent="0.4">
      <c r="C36" s="160" t="s">
        <v>457</v>
      </c>
      <c r="D36" s="161"/>
      <c r="E36" s="162"/>
    </row>
    <row r="37" spans="3:5" ht="13.75" customHeight="1" thickBot="1" x14ac:dyDescent="0.4">
      <c r="C37" s="160" t="s">
        <v>458</v>
      </c>
      <c r="D37" s="161"/>
      <c r="E37" s="162"/>
    </row>
    <row r="38" spans="3:5" ht="13.75" customHeight="1" x14ac:dyDescent="0.35"/>
    <row r="39" spans="3:5" x14ac:dyDescent="0.35">
      <c r="C39" s="122" t="s">
        <v>214</v>
      </c>
    </row>
    <row r="40" spans="3:5" x14ac:dyDescent="0.35">
      <c r="C40" s="124" t="s">
        <v>217</v>
      </c>
    </row>
    <row r="41" spans="3:5" x14ac:dyDescent="0.35">
      <c r="D41" s="123"/>
    </row>
    <row r="42" spans="3:5" x14ac:dyDescent="0.35">
      <c r="C42" s="122" t="s">
        <v>133</v>
      </c>
      <c r="D42" s="123"/>
    </row>
    <row r="43" spans="3:5" x14ac:dyDescent="0.35">
      <c r="C43" s="124" t="s">
        <v>216</v>
      </c>
      <c r="D43" s="123"/>
    </row>
    <row r="44" spans="3:5" x14ac:dyDescent="0.35">
      <c r="C44" s="124" t="s">
        <v>215</v>
      </c>
      <c r="D44" s="123"/>
    </row>
    <row r="45" spans="3:5" x14ac:dyDescent="0.35">
      <c r="D45" s="123"/>
    </row>
    <row r="46" spans="3:5" x14ac:dyDescent="0.35">
      <c r="C46" s="122"/>
      <c r="D46" s="123"/>
    </row>
    <row r="47" spans="3:5" ht="14.5" customHeight="1" x14ac:dyDescent="0.35">
      <c r="C47" s="122" t="s">
        <v>134</v>
      </c>
    </row>
    <row r="48" spans="3:5" ht="32.5" customHeight="1" x14ac:dyDescent="0.35">
      <c r="C48" s="159" t="s">
        <v>218</v>
      </c>
      <c r="D48" s="159"/>
      <c r="E48" s="159"/>
    </row>
    <row r="50" spans="3:5" ht="14.5" customHeight="1" x14ac:dyDescent="0.35">
      <c r="C50" s="85" t="s">
        <v>135</v>
      </c>
    </row>
    <row r="52" spans="3:5" ht="143.5" customHeight="1" x14ac:dyDescent="0.35">
      <c r="C52" s="158" t="s">
        <v>501</v>
      </c>
      <c r="D52" s="158"/>
      <c r="E52" s="158"/>
    </row>
    <row r="53" spans="3:5" ht="14.5" customHeight="1" x14ac:dyDescent="0.35">
      <c r="C53" s="120" t="s">
        <v>136</v>
      </c>
    </row>
    <row r="55" spans="3:5" ht="33" customHeight="1" x14ac:dyDescent="0.35">
      <c r="C55" s="158" t="s">
        <v>137</v>
      </c>
      <c r="D55" s="158"/>
      <c r="E55" s="158"/>
    </row>
    <row r="56" spans="3:5" ht="14.5" customHeight="1" x14ac:dyDescent="0.35">
      <c r="C56" s="125"/>
    </row>
    <row r="57" spans="3:5" ht="33" customHeight="1" x14ac:dyDescent="0.35">
      <c r="C57" s="158" t="s">
        <v>138</v>
      </c>
      <c r="D57" s="158"/>
      <c r="E57" s="158"/>
    </row>
    <row r="58" spans="3:5" ht="14.5" customHeight="1" x14ac:dyDescent="0.35">
      <c r="C58" s="125"/>
    </row>
    <row r="59" spans="3:5" ht="33" customHeight="1" x14ac:dyDescent="0.35">
      <c r="C59" s="158" t="s">
        <v>139</v>
      </c>
      <c r="D59" s="158"/>
      <c r="E59" s="158"/>
    </row>
    <row r="60" spans="3:5" ht="14.5" customHeight="1" x14ac:dyDescent="0.35">
      <c r="C60" s="125"/>
    </row>
    <row r="61" spans="3:5" ht="33" customHeight="1" x14ac:dyDescent="0.35">
      <c r="C61" s="158" t="s">
        <v>140</v>
      </c>
      <c r="D61" s="158"/>
      <c r="E61" s="158"/>
    </row>
    <row r="62" spans="3:5" ht="14.5" customHeight="1" x14ac:dyDescent="0.35">
      <c r="C62" s="125"/>
    </row>
    <row r="63" spans="3:5" ht="66" customHeight="1" x14ac:dyDescent="0.35">
      <c r="C63" s="158" t="s">
        <v>141</v>
      </c>
      <c r="D63" s="158"/>
      <c r="E63" s="158"/>
    </row>
  </sheetData>
  <sheetProtection selectLockedCells="1"/>
  <mergeCells count="26">
    <mergeCell ref="C37:E37"/>
    <mergeCell ref="C30:E30"/>
    <mergeCell ref="C32:E32"/>
    <mergeCell ref="C36:E36"/>
    <mergeCell ref="C31:E31"/>
    <mergeCell ref="C33:E33"/>
    <mergeCell ref="C34:E34"/>
    <mergeCell ref="C35:E35"/>
    <mergeCell ref="C61:E61"/>
    <mergeCell ref="C63:E63"/>
    <mergeCell ref="C48:E48"/>
    <mergeCell ref="C52:E52"/>
    <mergeCell ref="C55:E55"/>
    <mergeCell ref="C57:E57"/>
    <mergeCell ref="C59:E59"/>
    <mergeCell ref="D6:E6"/>
    <mergeCell ref="D7:E7"/>
    <mergeCell ref="D8:E8"/>
    <mergeCell ref="D9:E9"/>
    <mergeCell ref="D10:E10"/>
    <mergeCell ref="D16:E16"/>
    <mergeCell ref="D17:E17"/>
    <mergeCell ref="D11:E11"/>
    <mergeCell ref="D12:E12"/>
    <mergeCell ref="D13:E13"/>
    <mergeCell ref="D15:E15"/>
  </mergeCells>
  <conditionalFormatting sqref="D19">
    <cfRule type="cellIs" dxfId="13" priority="2" operator="equal">
      <formula>$H$20</formula>
    </cfRule>
  </conditionalFormatting>
  <conditionalFormatting sqref="D19 D21:D22">
    <cfRule type="cellIs" dxfId="12"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19" zoomScale="85" zoomScaleNormal="85" workbookViewId="0">
      <selection activeCell="H26" sqref="H26"/>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69" t="s">
        <v>142</v>
      </c>
      <c r="D8" s="170"/>
      <c r="E8" s="170"/>
      <c r="F8" s="170"/>
    </row>
    <row r="9" spans="3:6" ht="15" customHeight="1" x14ac:dyDescent="0.35">
      <c r="C9" s="61"/>
      <c r="D9" s="61"/>
      <c r="E9" s="15"/>
      <c r="F9"/>
    </row>
    <row r="10" spans="3:6" ht="15" customHeight="1" x14ac:dyDescent="0.35">
      <c r="C10" s="64" t="s">
        <v>213</v>
      </c>
      <c r="D10" s="61"/>
      <c r="E10" s="61"/>
      <c r="F10" s="61"/>
    </row>
    <row r="11" spans="3:6" ht="15" customHeight="1" thickBot="1" x14ac:dyDescent="0.4">
      <c r="C11" s="61"/>
      <c r="D11" s="61"/>
      <c r="E11" s="61"/>
      <c r="F11" s="61"/>
    </row>
    <row r="12" spans="3:6" ht="15" customHeight="1" thickBot="1" x14ac:dyDescent="0.4">
      <c r="C12" s="65" t="s">
        <v>143</v>
      </c>
      <c r="D12" s="171" t="s">
        <v>144</v>
      </c>
      <c r="E12" s="172"/>
      <c r="F12" s="173"/>
    </row>
    <row r="13" spans="3:6" ht="15" customHeight="1" thickBot="1" x14ac:dyDescent="0.4">
      <c r="C13" s="66" t="s">
        <v>145</v>
      </c>
      <c r="D13" s="171" t="s">
        <v>146</v>
      </c>
      <c r="E13" s="172" t="s">
        <v>146</v>
      </c>
      <c r="F13" s="173" t="s">
        <v>146</v>
      </c>
    </row>
    <row r="14" spans="3:6" ht="15" customHeight="1" thickBot="1" x14ac:dyDescent="0.4">
      <c r="C14" s="66" t="s">
        <v>147</v>
      </c>
      <c r="D14" s="171" t="s">
        <v>404</v>
      </c>
      <c r="E14" s="172" t="s">
        <v>148</v>
      </c>
      <c r="F14" s="173" t="s">
        <v>148</v>
      </c>
    </row>
    <row r="15" spans="3:6" ht="15" customHeight="1" thickBot="1" x14ac:dyDescent="0.4">
      <c r="C15" s="66" t="s">
        <v>149</v>
      </c>
      <c r="D15" s="171" t="s">
        <v>150</v>
      </c>
      <c r="E15" s="172" t="s">
        <v>150</v>
      </c>
      <c r="F15" s="173" t="s">
        <v>150</v>
      </c>
    </row>
    <row r="16" spans="3:6" ht="15" customHeight="1" x14ac:dyDescent="0.35">
      <c r="C16" s="61"/>
      <c r="D16" s="61"/>
      <c r="E16" s="61"/>
      <c r="F16" s="61"/>
    </row>
    <row r="17" spans="3:19" ht="15" customHeight="1" x14ac:dyDescent="0.35">
      <c r="C17" s="67" t="s">
        <v>151</v>
      </c>
      <c r="D17" s="61"/>
      <c r="E17" s="61"/>
      <c r="F17" s="61"/>
    </row>
    <row r="18" spans="3:19" ht="15" customHeight="1" thickBot="1" x14ac:dyDescent="0.4">
      <c r="C18" s="61"/>
      <c r="D18" s="61"/>
      <c r="E18" s="61"/>
      <c r="F18" s="61"/>
    </row>
    <row r="19" spans="3:19" ht="15" customHeight="1" thickBot="1" x14ac:dyDescent="0.4">
      <c r="C19" s="174" t="s">
        <v>152</v>
      </c>
      <c r="D19" s="175"/>
      <c r="E19" s="68" t="s">
        <v>153</v>
      </c>
      <c r="F19" s="69" t="s">
        <v>154</v>
      </c>
      <c r="I19" s="18"/>
      <c r="J19" s="18"/>
      <c r="K19" s="18"/>
      <c r="L19" s="18"/>
      <c r="M19" s="18"/>
      <c r="N19" s="18"/>
      <c r="O19" s="18"/>
      <c r="P19" s="18"/>
      <c r="Q19" s="18"/>
      <c r="R19" s="18"/>
      <c r="S19" s="18"/>
    </row>
    <row r="20" spans="3:19" ht="25" customHeight="1" thickBot="1" x14ac:dyDescent="0.4">
      <c r="C20" s="171" t="s">
        <v>393</v>
      </c>
      <c r="D20" s="172"/>
      <c r="E20" s="113" t="s">
        <v>155</v>
      </c>
      <c r="F20" s="53" t="s">
        <v>405</v>
      </c>
    </row>
    <row r="21" spans="3:19" ht="25" customHeight="1" thickBot="1" x14ac:dyDescent="0.4">
      <c r="C21" s="171" t="s">
        <v>394</v>
      </c>
      <c r="D21" s="172"/>
      <c r="E21" s="113" t="s">
        <v>155</v>
      </c>
      <c r="F21" s="53" t="s">
        <v>406</v>
      </c>
    </row>
    <row r="22" spans="3:19" ht="25" customHeight="1" thickBot="1" x14ac:dyDescent="0.4">
      <c r="C22" s="171" t="s">
        <v>395</v>
      </c>
      <c r="D22" s="172"/>
      <c r="E22" s="113" t="s">
        <v>155</v>
      </c>
      <c r="F22" s="53" t="s">
        <v>407</v>
      </c>
    </row>
    <row r="23" spans="3:19" ht="25" customHeight="1" thickBot="1" x14ac:dyDescent="0.4">
      <c r="C23" s="171" t="s">
        <v>396</v>
      </c>
      <c r="D23" s="172"/>
      <c r="E23" s="113" t="s">
        <v>155</v>
      </c>
      <c r="F23" s="53" t="s">
        <v>408</v>
      </c>
    </row>
    <row r="24" spans="3:19" ht="25" customHeight="1" thickBot="1" x14ac:dyDescent="0.4">
      <c r="C24" s="171" t="s">
        <v>397</v>
      </c>
      <c r="D24" s="172"/>
      <c r="E24" s="113" t="s">
        <v>155</v>
      </c>
      <c r="F24" s="53" t="s">
        <v>409</v>
      </c>
    </row>
    <row r="25" spans="3:19" ht="15" customHeight="1" thickBot="1" x14ac:dyDescent="0.4">
      <c r="C25" s="61"/>
      <c r="D25" s="61"/>
      <c r="E25" s="61"/>
      <c r="F25" s="61"/>
    </row>
    <row r="26" spans="3:19" ht="25" customHeight="1" thickBot="1" x14ac:dyDescent="0.4">
      <c r="C26" s="69" t="s">
        <v>158</v>
      </c>
      <c r="D26" s="171" t="str">
        <f>IF(COUNTIF($E$20:$E$24,"")=5,"",IF(COUNTIF($E$20:$E$24,"Yes")=5,"Contract exists between the parties","Contract does not exists between the parties"))</f>
        <v>Contract exists between the parties</v>
      </c>
      <c r="E26" s="172"/>
      <c r="F26" s="173"/>
    </row>
    <row r="27" spans="3:19" x14ac:dyDescent="0.35">
      <c r="C27" s="61"/>
      <c r="D27" s="61"/>
      <c r="E27" s="61"/>
      <c r="F27" s="61"/>
    </row>
    <row r="28" spans="3:19" x14ac:dyDescent="0.35">
      <c r="C28" s="61"/>
      <c r="D28" s="61"/>
      <c r="E28" s="61"/>
      <c r="F28" s="61"/>
    </row>
    <row r="29" spans="3:19" x14ac:dyDescent="0.35">
      <c r="C29" s="70" t="s">
        <v>159</v>
      </c>
      <c r="D29" s="61"/>
      <c r="E29" s="61"/>
      <c r="F29" s="61"/>
    </row>
    <row r="30" spans="3:19" x14ac:dyDescent="0.35">
      <c r="C30" s="61"/>
      <c r="D30" s="61"/>
      <c r="E30" s="61"/>
      <c r="F30" s="61"/>
    </row>
    <row r="31" spans="3:19" x14ac:dyDescent="0.35">
      <c r="C31" s="71" t="s">
        <v>160</v>
      </c>
      <c r="D31" s="61"/>
      <c r="E31" s="61"/>
      <c r="F31" s="61"/>
    </row>
    <row r="32" spans="3:19" x14ac:dyDescent="0.35">
      <c r="C32" s="71" t="s">
        <v>161</v>
      </c>
      <c r="D32" s="61"/>
      <c r="E32" s="61"/>
      <c r="F32" s="61"/>
    </row>
    <row r="33" spans="3:6" x14ac:dyDescent="0.35">
      <c r="C33" s="71" t="s">
        <v>162</v>
      </c>
      <c r="D33" s="61"/>
      <c r="E33" s="61"/>
      <c r="F33" s="61"/>
    </row>
    <row r="34" spans="3:6" x14ac:dyDescent="0.35">
      <c r="C34" s="71" t="s">
        <v>163</v>
      </c>
      <c r="D34" s="61"/>
      <c r="E34" s="61"/>
      <c r="F34" s="61"/>
    </row>
    <row r="35" spans="3:6" x14ac:dyDescent="0.35">
      <c r="C35" s="61"/>
      <c r="D35" s="61"/>
      <c r="E35" s="61"/>
      <c r="F35" s="61"/>
    </row>
    <row r="36" spans="3:6" x14ac:dyDescent="0.35">
      <c r="C36" s="15" t="s">
        <v>164</v>
      </c>
      <c r="D36" s="61"/>
      <c r="E36" s="61"/>
      <c r="F36" s="61"/>
    </row>
    <row r="37" spans="3:6" ht="14.5" customHeight="1" x14ac:dyDescent="0.35">
      <c r="C37" s="71" t="s">
        <v>165</v>
      </c>
      <c r="D37" s="61"/>
      <c r="E37" s="61"/>
      <c r="F37" s="61"/>
    </row>
    <row r="38" spans="3:6" ht="14.5" customHeight="1" thickBot="1" x14ac:dyDescent="0.4">
      <c r="C38" s="61"/>
      <c r="D38" s="61"/>
      <c r="E38" s="61"/>
      <c r="F38" s="61"/>
    </row>
    <row r="39" spans="3:6" ht="31.5" customHeight="1" thickBot="1" x14ac:dyDescent="0.4">
      <c r="C39" s="176" t="s">
        <v>166</v>
      </c>
      <c r="D39" s="178"/>
      <c r="E39" s="177"/>
      <c r="F39" s="53" t="s">
        <v>155</v>
      </c>
    </row>
    <row r="40" spans="3:6" ht="14.5" customHeight="1" thickBot="1" x14ac:dyDescent="0.4">
      <c r="C40" s="61"/>
      <c r="D40" s="61"/>
      <c r="E40" s="61"/>
      <c r="F40" s="61"/>
    </row>
    <row r="41" spans="3:6" ht="14.5" customHeight="1" thickBot="1" x14ac:dyDescent="0.4">
      <c r="C41" s="179" t="s">
        <v>219</v>
      </c>
      <c r="D41" s="180"/>
      <c r="E41" s="180"/>
      <c r="F41" s="181"/>
    </row>
    <row r="42" spans="3:6" ht="14.5" customHeight="1" thickBot="1" x14ac:dyDescent="0.4">
      <c r="C42" s="61"/>
      <c r="D42" s="61"/>
      <c r="E42" s="61"/>
      <c r="F42" s="61"/>
    </row>
    <row r="43" spans="3:6" ht="25" customHeight="1" thickBot="1" x14ac:dyDescent="0.4">
      <c r="C43" s="176" t="s">
        <v>167</v>
      </c>
      <c r="D43" s="178"/>
      <c r="E43" s="177" t="s">
        <v>156</v>
      </c>
      <c r="F43" s="53" t="s">
        <v>155</v>
      </c>
    </row>
    <row r="44" spans="3:6" ht="25" customHeight="1" thickBot="1" x14ac:dyDescent="0.4">
      <c r="C44" s="176" t="s">
        <v>168</v>
      </c>
      <c r="D44" s="178"/>
      <c r="E44" s="177" t="s">
        <v>156</v>
      </c>
      <c r="F44" s="53" t="s">
        <v>156</v>
      </c>
    </row>
    <row r="45" spans="3:6" ht="25" customHeight="1" thickBot="1" x14ac:dyDescent="0.4">
      <c r="C45" s="176" t="s">
        <v>220</v>
      </c>
      <c r="D45" s="178"/>
      <c r="E45" s="177" t="s">
        <v>156</v>
      </c>
      <c r="F45" s="53" t="s">
        <v>155</v>
      </c>
    </row>
    <row r="46" spans="3:6" ht="14.5" customHeight="1" thickBot="1" x14ac:dyDescent="0.4">
      <c r="C46" s="61"/>
      <c r="D46" s="61"/>
      <c r="E46" s="61"/>
      <c r="F46" s="61"/>
    </row>
    <row r="47" spans="3:6" ht="14.5" customHeight="1" thickBot="1" x14ac:dyDescent="0.4">
      <c r="C47" s="179" t="s">
        <v>221</v>
      </c>
      <c r="D47" s="180"/>
      <c r="E47" s="180"/>
      <c r="F47" s="181"/>
    </row>
    <row r="48" spans="3:6" ht="14.5" customHeight="1" thickBot="1" x14ac:dyDescent="0.4">
      <c r="C48" s="72"/>
      <c r="D48" s="61"/>
      <c r="E48" s="61"/>
      <c r="F48" s="61"/>
    </row>
    <row r="49" spans="3:6" ht="14.5" customHeight="1" thickBot="1" x14ac:dyDescent="0.4">
      <c r="C49" s="179" t="s">
        <v>169</v>
      </c>
      <c r="D49" s="180"/>
      <c r="E49" s="180"/>
      <c r="F49" s="181"/>
    </row>
    <row r="50" spans="3:6" ht="24" customHeight="1" thickBot="1" x14ac:dyDescent="0.4">
      <c r="C50" s="183" t="s">
        <v>410</v>
      </c>
      <c r="D50" s="184"/>
      <c r="E50" s="184"/>
      <c r="F50" s="185"/>
    </row>
    <row r="51" spans="3:6" ht="20.5" customHeight="1" thickBot="1" x14ac:dyDescent="0.4">
      <c r="C51" s="179" t="s">
        <v>366</v>
      </c>
      <c r="D51" s="180"/>
      <c r="E51" s="180"/>
      <c r="F51" s="181"/>
    </row>
    <row r="52" spans="3:6" ht="150" customHeight="1" thickBot="1" x14ac:dyDescent="0.4">
      <c r="C52" s="192" t="s">
        <v>487</v>
      </c>
      <c r="D52" s="193"/>
      <c r="E52" s="193"/>
      <c r="F52" s="194"/>
    </row>
    <row r="53" spans="3:6" ht="34.5" customHeight="1" thickBot="1" x14ac:dyDescent="0.4">
      <c r="C53" s="182" t="s">
        <v>212</v>
      </c>
      <c r="D53" s="182"/>
      <c r="E53" s="182"/>
      <c r="F53" s="61"/>
    </row>
    <row r="54" spans="3:6" ht="28" hidden="1" customHeight="1" thickBot="1" x14ac:dyDescent="0.4">
      <c r="C54" s="176" t="s">
        <v>208</v>
      </c>
      <c r="D54" s="177"/>
      <c r="E54" s="53"/>
      <c r="F54" s="61"/>
    </row>
    <row r="55" spans="3:6" ht="13.5" hidden="1" customHeight="1" thickBot="1" x14ac:dyDescent="0.4">
      <c r="C55" s="189" t="s">
        <v>169</v>
      </c>
      <c r="D55" s="190"/>
      <c r="E55" s="191"/>
      <c r="F55" s="61"/>
    </row>
    <row r="56" spans="3:6" ht="54" hidden="1" customHeight="1" thickBot="1" x14ac:dyDescent="0.4">
      <c r="C56" s="186"/>
      <c r="D56" s="187"/>
      <c r="E56" s="188"/>
      <c r="F56" s="61"/>
    </row>
    <row r="57" spans="3:6" ht="20.149999999999999" hidden="1" customHeight="1" thickBot="1" x14ac:dyDescent="0.4">
      <c r="C57" s="61"/>
      <c r="D57" s="61"/>
      <c r="E57" s="61"/>
      <c r="F57" s="61"/>
    </row>
    <row r="58" spans="3:6" ht="20.149999999999999" hidden="1" customHeight="1" thickBot="1" x14ac:dyDescent="0.4">
      <c r="C58" s="176" t="s">
        <v>209</v>
      </c>
      <c r="D58" s="177"/>
      <c r="E58" s="53"/>
      <c r="F58" s="61"/>
    </row>
    <row r="59" spans="3:6" ht="20.149999999999999" hidden="1" customHeight="1" thickBot="1" x14ac:dyDescent="0.4">
      <c r="C59" s="61"/>
      <c r="D59" s="61"/>
      <c r="E59" s="61"/>
      <c r="F59" s="61"/>
    </row>
    <row r="60" spans="3:6" ht="20.149999999999999" hidden="1" customHeight="1" thickBot="1" x14ac:dyDescent="0.4">
      <c r="C60" s="61"/>
      <c r="D60" s="61"/>
      <c r="E60" s="61"/>
      <c r="F60" s="61"/>
    </row>
    <row r="61" spans="3:6" ht="20.149999999999999" hidden="1" customHeight="1" thickBot="1" x14ac:dyDescent="0.4">
      <c r="C61" s="176" t="s">
        <v>210</v>
      </c>
      <c r="D61" s="177"/>
      <c r="E61" s="53"/>
      <c r="F61" s="61"/>
    </row>
    <row r="62" spans="3:6" ht="20.149999999999999" hidden="1" customHeight="1" x14ac:dyDescent="0.35">
      <c r="C62" s="61"/>
      <c r="D62" s="61"/>
      <c r="E62" s="61"/>
      <c r="F62" s="61"/>
    </row>
    <row r="63" spans="3:6" ht="20.149999999999999" hidden="1" customHeight="1" thickBot="1" x14ac:dyDescent="0.4">
      <c r="C63" s="61"/>
      <c r="D63" s="61"/>
      <c r="E63" s="61"/>
      <c r="F63" s="61"/>
    </row>
    <row r="64" spans="3:6" ht="20.149999999999999" hidden="1" customHeight="1" thickBot="1" x14ac:dyDescent="0.4">
      <c r="C64" s="176" t="s">
        <v>211</v>
      </c>
      <c r="D64" s="177"/>
      <c r="E64" s="53"/>
      <c r="F64" s="61"/>
    </row>
    <row r="65" spans="3:6" ht="20.149999999999999" hidden="1" customHeight="1" x14ac:dyDescent="0.35">
      <c r="C65" s="61"/>
      <c r="D65" s="61"/>
      <c r="E65" s="73"/>
      <c r="F65" s="61"/>
    </row>
    <row r="66" spans="3:6" ht="14.5" hidden="1" customHeight="1" x14ac:dyDescent="0.35">
      <c r="C66" s="61"/>
      <c r="D66" s="61"/>
      <c r="E66" s="61"/>
      <c r="F66" s="61"/>
    </row>
    <row r="67" spans="3:6" ht="14.5" hidden="1" customHeight="1" x14ac:dyDescent="0.35">
      <c r="C67" s="61"/>
      <c r="D67" s="61"/>
      <c r="E67" s="61"/>
      <c r="F67" s="61"/>
    </row>
    <row r="68" spans="3:6" ht="9.65" hidden="1" customHeight="1" thickBot="1" x14ac:dyDescent="0.4">
      <c r="C68" s="61"/>
      <c r="D68" s="61"/>
      <c r="E68" s="61"/>
      <c r="F68" s="61"/>
    </row>
    <row r="69" spans="3:6" ht="34" hidden="1" customHeight="1" thickBot="1" x14ac:dyDescent="0.4">
      <c r="C69" s="176" t="s">
        <v>348</v>
      </c>
      <c r="D69" s="177"/>
      <c r="E69" s="53"/>
      <c r="F69" s="61"/>
    </row>
    <row r="70" spans="3:6" ht="17.149999999999999" hidden="1" customHeight="1" thickBot="1" x14ac:dyDescent="0.4">
      <c r="C70" s="61"/>
      <c r="D70" s="61"/>
      <c r="E70" s="61"/>
      <c r="F70" s="61"/>
    </row>
    <row r="71" spans="3:6" ht="20.149999999999999" hidden="1" customHeight="1" thickBot="1" x14ac:dyDescent="0.4">
      <c r="C71" s="189" t="s">
        <v>169</v>
      </c>
      <c r="D71" s="190"/>
      <c r="E71" s="191"/>
      <c r="F71" s="61"/>
    </row>
    <row r="72" spans="3:6" ht="30" hidden="1" customHeight="1" thickBot="1" x14ac:dyDescent="0.4">
      <c r="C72" s="186" t="s">
        <v>411</v>
      </c>
      <c r="D72" s="187"/>
      <c r="E72" s="188"/>
      <c r="F72" s="61"/>
    </row>
    <row r="73" spans="3:6" ht="14.5" hidden="1" customHeight="1" thickBot="1" x14ac:dyDescent="0.4">
      <c r="C73" s="61"/>
      <c r="D73" s="61"/>
      <c r="E73" s="61"/>
      <c r="F73" s="61"/>
    </row>
    <row r="74" spans="3:6" ht="14.5" customHeight="1" thickBot="1" x14ac:dyDescent="0.4">
      <c r="C74" s="189" t="s">
        <v>367</v>
      </c>
      <c r="D74" s="190"/>
      <c r="E74" s="191"/>
      <c r="F74" s="61"/>
    </row>
    <row r="75" spans="3:6" ht="48" customHeight="1" thickBot="1" x14ac:dyDescent="0.4">
      <c r="C75" s="195" t="s">
        <v>493</v>
      </c>
      <c r="D75" s="196"/>
      <c r="E75" s="197"/>
      <c r="F75" s="61"/>
    </row>
  </sheetData>
  <sheetProtection algorithmName="SHA-512" hashValue="sfcmvbUyTr+m0qD5GI725yXt5NkVyom9Oriu/yZLWI0PpIPmsiomod1jCQ3J/K6h1Bmi7mj3108E/v7nSNJoDQ==" saltValue="MEW/F7zaW31VK8sLX414rw==" spinCount="100000" sheet="1" selectLockedCells="1"/>
  <mergeCells count="34">
    <mergeCell ref="C74:E74"/>
    <mergeCell ref="C75:E75"/>
    <mergeCell ref="C58:D58"/>
    <mergeCell ref="C61:D61"/>
    <mergeCell ref="C64:D64"/>
    <mergeCell ref="C56:E56"/>
    <mergeCell ref="C69:D69"/>
    <mergeCell ref="C71:E71"/>
    <mergeCell ref="C72:E72"/>
    <mergeCell ref="C45:E45"/>
    <mergeCell ref="C55:E55"/>
    <mergeCell ref="C51:F51"/>
    <mergeCell ref="C52:F52"/>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8:F8"/>
    <mergeCell ref="D12:F12"/>
    <mergeCell ref="D13:F13"/>
    <mergeCell ref="D14:F14"/>
    <mergeCell ref="D15:F15"/>
  </mergeCells>
  <conditionalFormatting sqref="E20:F24 D26:F26 F39 F43:F45 C50:F50 C52:F52 E54 C75:E75">
    <cfRule type="cellIs" dxfId="11"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topLeftCell="A49" zoomScale="70" zoomScaleNormal="70" workbookViewId="0">
      <selection activeCell="D22" sqref="D22"/>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201" t="s">
        <v>170</v>
      </c>
      <c r="E7" s="202"/>
      <c r="F7" s="202"/>
      <c r="G7" s="202"/>
      <c r="H7" s="203"/>
    </row>
    <row r="8" spans="4:9" ht="25" customHeight="1" thickBot="1" x14ac:dyDescent="0.4">
      <c r="D8" s="186" t="s">
        <v>171</v>
      </c>
      <c r="E8" s="187"/>
      <c r="F8" s="187"/>
      <c r="G8" s="187"/>
      <c r="H8" s="188"/>
    </row>
    <row r="9" spans="4:9" ht="15" customHeight="1" x14ac:dyDescent="0.35"/>
    <row r="10" spans="4:9" ht="15" customHeight="1" x14ac:dyDescent="0.35">
      <c r="D10" s="20" t="s">
        <v>172</v>
      </c>
    </row>
    <row r="11" spans="4:9" ht="15" customHeight="1" x14ac:dyDescent="0.35">
      <c r="D11" s="16" t="s">
        <v>173</v>
      </c>
    </row>
    <row r="12" spans="4:9" ht="25" customHeight="1" thickBot="1" x14ac:dyDescent="0.4">
      <c r="D12" s="23" t="s">
        <v>222</v>
      </c>
      <c r="I12" s="106"/>
    </row>
    <row r="13" spans="4:9" ht="15" customHeight="1" thickBot="1" x14ac:dyDescent="0.4">
      <c r="D13" s="186" t="s">
        <v>174</v>
      </c>
      <c r="E13" s="187"/>
      <c r="F13" s="187"/>
      <c r="G13" s="187"/>
      <c r="H13" s="188"/>
    </row>
    <row r="14" spans="4:9" s="21" customFormat="1" ht="55" customHeight="1" thickBot="1" x14ac:dyDescent="0.4">
      <c r="D14" s="204" t="s">
        <v>223</v>
      </c>
      <c r="E14" s="205"/>
      <c r="F14" s="205"/>
      <c r="G14" s="205"/>
      <c r="H14" s="206"/>
    </row>
    <row r="15" spans="4:9" ht="15" customHeight="1" thickBot="1" x14ac:dyDescent="0.4"/>
    <row r="16" spans="4:9" ht="25" customHeight="1" thickBot="1" x14ac:dyDescent="0.4">
      <c r="D16" s="201" t="s">
        <v>224</v>
      </c>
      <c r="E16" s="202"/>
      <c r="F16" s="202"/>
      <c r="G16" s="202"/>
      <c r="H16" s="203"/>
    </row>
    <row r="17" spans="4:8" ht="25" customHeight="1" thickBot="1" x14ac:dyDescent="0.4">
      <c r="D17" s="186" t="s">
        <v>176</v>
      </c>
      <c r="E17" s="187"/>
      <c r="F17" s="187"/>
      <c r="G17" s="187"/>
      <c r="H17" s="188"/>
    </row>
    <row r="18" spans="4:8" ht="25" customHeight="1" thickBot="1" x14ac:dyDescent="0.4">
      <c r="D18" s="186" t="s">
        <v>177</v>
      </c>
      <c r="E18" s="187"/>
      <c r="F18" s="187"/>
      <c r="G18" s="187"/>
      <c r="H18" s="188"/>
    </row>
    <row r="19" spans="4:8" ht="25" customHeight="1" thickBot="1" x14ac:dyDescent="0.4">
      <c r="D19" s="186" t="s">
        <v>178</v>
      </c>
      <c r="E19" s="187"/>
      <c r="F19" s="187"/>
      <c r="G19" s="187"/>
      <c r="H19" s="188"/>
    </row>
    <row r="20" spans="4:8" ht="15" customHeight="1" x14ac:dyDescent="0.35"/>
    <row r="21" spans="4:8" ht="15" customHeight="1" thickBot="1" x14ac:dyDescent="0.4">
      <c r="D21" s="20" t="s">
        <v>179</v>
      </c>
    </row>
    <row r="22" spans="4:8" ht="22" customHeight="1" thickBot="1" x14ac:dyDescent="0.4">
      <c r="D22" s="74" t="s">
        <v>180</v>
      </c>
      <c r="E22" s="74" t="s">
        <v>174</v>
      </c>
      <c r="F22" s="74" t="s">
        <v>175</v>
      </c>
      <c r="G22" s="74" t="s">
        <v>181</v>
      </c>
      <c r="H22" s="74" t="s">
        <v>182</v>
      </c>
    </row>
    <row r="23" spans="4:8" ht="97.5" customHeight="1" thickBot="1" x14ac:dyDescent="0.4">
      <c r="D23" s="115" t="s">
        <v>489</v>
      </c>
      <c r="E23" s="53" t="s">
        <v>155</v>
      </c>
      <c r="F23" s="53" t="s">
        <v>155</v>
      </c>
      <c r="G23" s="116" t="str">
        <f t="shared" ref="G23:G26" si="0">IF(OR(E23="",F23=""),"",IF(AND(E23="Yes",F23="Yes"),"Yes",IF(AND(E23="No",F23="No"),"No","Error")))</f>
        <v>Yes</v>
      </c>
      <c r="H23" s="53" t="s">
        <v>350</v>
      </c>
    </row>
    <row r="24" spans="4:8" ht="40" customHeight="1" thickBot="1" x14ac:dyDescent="0.4">
      <c r="D24" s="115" t="s">
        <v>413</v>
      </c>
      <c r="E24" s="53" t="s">
        <v>156</v>
      </c>
      <c r="F24" s="53" t="s">
        <v>156</v>
      </c>
      <c r="G24" s="116" t="str">
        <f t="shared" si="0"/>
        <v>No</v>
      </c>
      <c r="H24" s="53" t="s">
        <v>412</v>
      </c>
    </row>
    <row r="25" spans="4:8" ht="40" customHeight="1" thickBot="1" x14ac:dyDescent="0.4">
      <c r="D25" s="115" t="s">
        <v>414</v>
      </c>
      <c r="E25" s="53" t="s">
        <v>156</v>
      </c>
      <c r="F25" s="53" t="s">
        <v>156</v>
      </c>
      <c r="G25" s="116" t="str">
        <f t="shared" si="0"/>
        <v>No</v>
      </c>
      <c r="H25" s="53" t="s">
        <v>412</v>
      </c>
    </row>
    <row r="26" spans="4:8" ht="40" customHeight="1" thickBot="1" x14ac:dyDescent="0.4">
      <c r="D26" s="115"/>
      <c r="E26" s="53"/>
      <c r="F26" s="53"/>
      <c r="G26" s="116" t="str">
        <f t="shared" si="0"/>
        <v/>
      </c>
      <c r="H26" s="53"/>
    </row>
    <row r="27" spans="4:8" ht="15" thickBot="1" x14ac:dyDescent="0.4"/>
    <row r="28" spans="4:8" ht="15" thickBot="1" x14ac:dyDescent="0.4">
      <c r="D28" s="207" t="s">
        <v>169</v>
      </c>
      <c r="E28" s="208"/>
      <c r="F28" s="208"/>
      <c r="G28" s="208"/>
      <c r="H28" s="209"/>
    </row>
    <row r="29" spans="4:8" ht="71.150000000000006" customHeight="1" thickBot="1" x14ac:dyDescent="0.4">
      <c r="D29" s="198" t="s">
        <v>490</v>
      </c>
      <c r="E29" s="199"/>
      <c r="F29" s="199"/>
      <c r="G29" s="199"/>
      <c r="H29" s="200"/>
    </row>
    <row r="30" spans="4:8" x14ac:dyDescent="0.35"/>
    <row r="31" spans="4:8" x14ac:dyDescent="0.35"/>
    <row r="32" spans="4:8" x14ac:dyDescent="0.35"/>
  </sheetData>
  <sheetProtection algorithmName="SHA-512" hashValue="X0uQ3jScg36z4WOae8nCMqbzFgpTNBm8O0q7+GPDSOX5Wnuh5b17I3dq+j1yvxWRGcoQ/Q049DWXlAMJoghmOQ==" saltValue="eYa/03EucUADL73i0YVpwQ==" spinCount="100000" sheet="1" objects="1" scenarios="1" selectLockedCells="1"/>
  <mergeCells count="10">
    <mergeCell ref="D29:H29"/>
    <mergeCell ref="D16:H16"/>
    <mergeCell ref="D14:H14"/>
    <mergeCell ref="D13:H13"/>
    <mergeCell ref="D7:H7"/>
    <mergeCell ref="D8:H8"/>
    <mergeCell ref="D28:H28"/>
    <mergeCell ref="D17:H17"/>
    <mergeCell ref="D18:H18"/>
    <mergeCell ref="D19:H19"/>
  </mergeCells>
  <conditionalFormatting sqref="G23:G26">
    <cfRule type="containsText" dxfId="10" priority="2" operator="containsText" text="Error">
      <formula>NOT(ISERROR(SEARCH("Error",G23)))</formula>
    </cfRule>
  </conditionalFormatting>
  <conditionalFormatting sqref="D29:H29 D23:F26 H23:H26">
    <cfRule type="cellIs" dxfId="9"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topLeftCell="A31" zoomScale="70" zoomScaleNormal="85" workbookViewId="0">
      <selection activeCell="D38" sqref="D38:F38"/>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201" t="s">
        <v>234</v>
      </c>
      <c r="E6" s="202"/>
      <c r="F6" s="203"/>
    </row>
    <row r="7" spans="3:6" ht="50.15" customHeight="1" thickBot="1" x14ac:dyDescent="0.4">
      <c r="D7" s="186" t="s">
        <v>235</v>
      </c>
      <c r="E7" s="187"/>
      <c r="F7" s="188"/>
    </row>
    <row r="8" spans="3:6" ht="50.15" customHeight="1" thickBot="1" x14ac:dyDescent="0.4">
      <c r="D8" s="186" t="s">
        <v>236</v>
      </c>
      <c r="E8" s="187"/>
      <c r="F8" s="188"/>
    </row>
    <row r="9" spans="3:6" ht="14.15" customHeight="1" thickBot="1" x14ac:dyDescent="0.4">
      <c r="D9" s="186" t="s">
        <v>237</v>
      </c>
      <c r="E9" s="187"/>
      <c r="F9" s="188"/>
    </row>
    <row r="10" spans="3:6" ht="25" customHeight="1" thickBot="1" x14ac:dyDescent="0.4">
      <c r="C10" s="248" t="s">
        <v>353</v>
      </c>
      <c r="D10" s="245" t="s">
        <v>238</v>
      </c>
      <c r="E10" s="246"/>
      <c r="F10" s="247"/>
    </row>
    <row r="11" spans="3:6" ht="25" customHeight="1" thickBot="1" x14ac:dyDescent="0.4">
      <c r="C11" s="249"/>
      <c r="D11" s="243" t="s">
        <v>239</v>
      </c>
      <c r="E11" s="184"/>
      <c r="F11" s="244"/>
    </row>
    <row r="12" spans="3:6" ht="25" customHeight="1" thickBot="1" x14ac:dyDescent="0.4">
      <c r="C12" s="248" t="s">
        <v>240</v>
      </c>
      <c r="D12" s="245" t="s">
        <v>241</v>
      </c>
      <c r="E12" s="246"/>
      <c r="F12" s="247"/>
    </row>
    <row r="13" spans="3:6" ht="25" customHeight="1" thickBot="1" x14ac:dyDescent="0.4">
      <c r="C13" s="249"/>
      <c r="D13" s="243" t="s">
        <v>242</v>
      </c>
      <c r="E13" s="184"/>
      <c r="F13" s="244"/>
    </row>
    <row r="14" spans="3:6" ht="25" customHeight="1" thickBot="1" x14ac:dyDescent="0.4">
      <c r="C14" s="248" t="s">
        <v>243</v>
      </c>
      <c r="D14" s="245" t="s">
        <v>244</v>
      </c>
      <c r="E14" s="246"/>
      <c r="F14" s="247"/>
    </row>
    <row r="15" spans="3:6" ht="25" customHeight="1" thickBot="1" x14ac:dyDescent="0.4">
      <c r="C15" s="249"/>
      <c r="D15" s="243" t="s">
        <v>245</v>
      </c>
      <c r="E15" s="184"/>
      <c r="F15" s="244"/>
    </row>
    <row r="16" spans="3:6" ht="25" customHeight="1" thickBot="1" x14ac:dyDescent="0.4">
      <c r="C16" s="248" t="s">
        <v>246</v>
      </c>
      <c r="D16" s="245" t="s">
        <v>247</v>
      </c>
      <c r="E16" s="246"/>
      <c r="F16" s="247"/>
    </row>
    <row r="17" spans="3:6" ht="25" customHeight="1" thickBot="1" x14ac:dyDescent="0.4">
      <c r="C17" s="249"/>
      <c r="D17" s="243" t="s">
        <v>248</v>
      </c>
      <c r="E17" s="184"/>
      <c r="F17" s="244"/>
    </row>
    <row r="18" spans="3:6" ht="15" thickBot="1" x14ac:dyDescent="0.4"/>
    <row r="19" spans="3:6" ht="19.5" customHeight="1" thickBot="1" x14ac:dyDescent="0.4">
      <c r="D19" s="216" t="s">
        <v>249</v>
      </c>
      <c r="E19" s="217"/>
      <c r="F19" s="218"/>
    </row>
    <row r="20" spans="3:6" ht="31.5" customHeight="1" thickBot="1" x14ac:dyDescent="0.4">
      <c r="D20" s="198" t="s">
        <v>250</v>
      </c>
      <c r="E20" s="200"/>
      <c r="F20" s="56" t="s">
        <v>155</v>
      </c>
    </row>
    <row r="21" spans="3:6" ht="35.5" customHeight="1" thickBot="1" x14ac:dyDescent="0.4">
      <c r="D21" s="186" t="s">
        <v>251</v>
      </c>
      <c r="E21" s="188"/>
      <c r="F21" s="56" t="s">
        <v>155</v>
      </c>
    </row>
    <row r="22" spans="3:6" ht="15" thickBot="1" x14ac:dyDescent="0.4"/>
    <row r="23" spans="3:6" ht="24" customHeight="1" thickBot="1" x14ac:dyDescent="0.4">
      <c r="D23" s="216" t="s">
        <v>380</v>
      </c>
      <c r="E23" s="217"/>
      <c r="F23" s="218"/>
    </row>
    <row r="24" spans="3:6" ht="25" customHeight="1" thickBot="1" x14ac:dyDescent="0.4">
      <c r="D24" s="113" t="s">
        <v>448</v>
      </c>
      <c r="E24" s="116" t="str">
        <f t="shared" ref="E24:E27" si="0">IF(D24&lt;&gt;"","Refer Para no from Contract clauses","")</f>
        <v>Refer Para no from Contract clauses</v>
      </c>
      <c r="F24" s="81" t="s">
        <v>459</v>
      </c>
    </row>
    <row r="25" spans="3:6" ht="25" customHeight="1" thickBot="1" x14ac:dyDescent="0.4">
      <c r="D25" s="113" t="s">
        <v>466</v>
      </c>
      <c r="E25" s="116" t="str">
        <f t="shared" si="0"/>
        <v>Refer Para no from Contract clauses</v>
      </c>
      <c r="F25" s="81" t="s">
        <v>468</v>
      </c>
    </row>
    <row r="26" spans="3:6" ht="25" customHeight="1" thickBot="1" x14ac:dyDescent="0.4">
      <c r="D26" s="113"/>
      <c r="E26" s="116" t="str">
        <f t="shared" si="0"/>
        <v/>
      </c>
      <c r="F26" s="81"/>
    </row>
    <row r="27" spans="3:6" ht="25" customHeight="1" thickBot="1" x14ac:dyDescent="0.4">
      <c r="D27" s="113"/>
      <c r="E27" s="116" t="str">
        <f t="shared" si="0"/>
        <v/>
      </c>
      <c r="F27" s="81"/>
    </row>
    <row r="28" spans="3:6" ht="25" customHeight="1" thickBot="1" x14ac:dyDescent="0.4">
      <c r="D28" s="113"/>
      <c r="E28" s="116" t="str">
        <f t="shared" ref="E28:E32" si="1">IF(D28&lt;&gt;"","Refer Para no from Contract clauses","")</f>
        <v/>
      </c>
      <c r="F28" s="81"/>
    </row>
    <row r="29" spans="3:6" ht="25" customHeight="1" thickBot="1" x14ac:dyDescent="0.4">
      <c r="D29" s="113"/>
      <c r="E29" s="116" t="str">
        <f t="shared" si="1"/>
        <v/>
      </c>
      <c r="F29" s="81"/>
    </row>
    <row r="30" spans="3:6" ht="25" customHeight="1" thickBot="1" x14ac:dyDescent="0.4">
      <c r="D30" s="113"/>
      <c r="E30" s="116" t="str">
        <f t="shared" si="1"/>
        <v/>
      </c>
      <c r="F30" s="81"/>
    </row>
    <row r="31" spans="3:6" ht="25" customHeight="1" thickBot="1" x14ac:dyDescent="0.4">
      <c r="D31" s="113"/>
      <c r="E31" s="116" t="str">
        <f t="shared" si="1"/>
        <v/>
      </c>
      <c r="F31" s="81"/>
    </row>
    <row r="32" spans="3:6" ht="25" customHeight="1" thickBot="1" x14ac:dyDescent="0.4">
      <c r="D32" s="113"/>
      <c r="E32" s="116" t="str">
        <f t="shared" si="1"/>
        <v/>
      </c>
      <c r="F32" s="81"/>
    </row>
    <row r="33" spans="4:6" ht="15" thickBot="1" x14ac:dyDescent="0.4"/>
    <row r="34" spans="4:6" ht="25" customHeight="1" thickBot="1" x14ac:dyDescent="0.4">
      <c r="D34" s="198" t="s">
        <v>255</v>
      </c>
      <c r="E34" s="200" t="s">
        <v>156</v>
      </c>
      <c r="F34" s="81" t="s">
        <v>155</v>
      </c>
    </row>
    <row r="35" spans="4:6" ht="25" customHeight="1" thickBot="1" x14ac:dyDescent="0.4">
      <c r="D35" s="198" t="s">
        <v>256</v>
      </c>
      <c r="E35" s="200" t="s">
        <v>156</v>
      </c>
      <c r="F35" s="81" t="s">
        <v>156</v>
      </c>
    </row>
    <row r="36" spans="4:6" ht="15" thickBot="1" x14ac:dyDescent="0.4"/>
    <row r="37" spans="4:6" ht="32.15" customHeight="1" thickBot="1" x14ac:dyDescent="0.4">
      <c r="D37" s="224" t="s">
        <v>257</v>
      </c>
      <c r="E37" s="225"/>
      <c r="F37" s="226"/>
    </row>
    <row r="38" spans="4:6" ht="60.5" customHeight="1" thickBot="1" x14ac:dyDescent="0.4">
      <c r="D38" s="227" t="s">
        <v>518</v>
      </c>
      <c r="E38" s="228"/>
      <c r="F38" s="229"/>
    </row>
    <row r="39" spans="4:6" ht="15" thickBot="1" x14ac:dyDescent="0.4">
      <c r="D39" s="57"/>
    </row>
    <row r="40" spans="4:6" ht="24" customHeight="1" thickBot="1" x14ac:dyDescent="0.4">
      <c r="D40" s="224" t="s">
        <v>258</v>
      </c>
      <c r="E40" s="225"/>
      <c r="F40" s="226"/>
    </row>
    <row r="41" spans="4:6" ht="22.5" customHeight="1" thickBot="1" x14ac:dyDescent="0.4">
      <c r="D41" s="58" t="s">
        <v>354</v>
      </c>
      <c r="E41" s="59" t="s">
        <v>308</v>
      </c>
      <c r="F41" s="60" t="s">
        <v>316</v>
      </c>
    </row>
    <row r="42" spans="4:6" ht="25" customHeight="1" thickBot="1" x14ac:dyDescent="0.4">
      <c r="D42" s="126" t="str">
        <f t="shared" ref="D42:D45" si="2">D24</f>
        <v>Service Credits</v>
      </c>
      <c r="E42" s="53" t="s">
        <v>462</v>
      </c>
      <c r="F42" s="127" t="s">
        <v>471</v>
      </c>
    </row>
    <row r="43" spans="4:6" ht="25" customHeight="1" thickBot="1" x14ac:dyDescent="0.4">
      <c r="D43" s="126" t="str">
        <f t="shared" si="2"/>
        <v>COLA based on CPI</v>
      </c>
      <c r="E43" s="53" t="s">
        <v>462</v>
      </c>
      <c r="F43" s="127"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The Most-likely amount is an appropriate estimate of the amount of variable consideration as the contract has only two possible outcomes</v>
      </c>
    </row>
    <row r="44" spans="4:6" ht="25" customHeight="1" thickBot="1" x14ac:dyDescent="0.4">
      <c r="D44" s="126">
        <f t="shared" si="2"/>
        <v>0</v>
      </c>
      <c r="E44" s="53"/>
      <c r="F44" s="127" t="str">
        <f t="shared" si="3"/>
        <v/>
      </c>
    </row>
    <row r="45" spans="4:6" ht="24.65" customHeight="1" thickBot="1" x14ac:dyDescent="0.4">
      <c r="D45" s="126">
        <f t="shared" si="2"/>
        <v>0</v>
      </c>
      <c r="E45" s="53"/>
      <c r="F45" s="127" t="str">
        <f t="shared" si="3"/>
        <v/>
      </c>
    </row>
    <row r="46" spans="4:6" ht="24.65" customHeight="1" thickBot="1" x14ac:dyDescent="0.4">
      <c r="D46" s="126">
        <f t="shared" ref="D46:D50" si="4">D28</f>
        <v>0</v>
      </c>
      <c r="E46" s="53"/>
      <c r="F46" s="127" t="str">
        <f t="shared" si="3"/>
        <v/>
      </c>
    </row>
    <row r="47" spans="4:6" ht="24.65" customHeight="1" thickBot="1" x14ac:dyDescent="0.4">
      <c r="D47" s="126">
        <f t="shared" si="4"/>
        <v>0</v>
      </c>
      <c r="E47" s="53"/>
      <c r="F47" s="127" t="str">
        <f t="shared" si="3"/>
        <v/>
      </c>
    </row>
    <row r="48" spans="4:6" ht="24.65" customHeight="1" thickBot="1" x14ac:dyDescent="0.4">
      <c r="D48" s="126">
        <f t="shared" si="4"/>
        <v>0</v>
      </c>
      <c r="E48" s="53"/>
      <c r="F48" s="127" t="str">
        <f t="shared" si="3"/>
        <v/>
      </c>
    </row>
    <row r="49" spans="4:6" ht="24.65" customHeight="1" thickBot="1" x14ac:dyDescent="0.4">
      <c r="D49" s="126">
        <f t="shared" si="4"/>
        <v>0</v>
      </c>
      <c r="E49" s="53"/>
      <c r="F49" s="127" t="str">
        <f t="shared" si="3"/>
        <v/>
      </c>
    </row>
    <row r="50" spans="4:6" ht="24.65" customHeight="1" thickBot="1" x14ac:dyDescent="0.4">
      <c r="D50" s="126">
        <f t="shared" si="4"/>
        <v>0</v>
      </c>
      <c r="E50" s="53"/>
      <c r="F50" s="127" t="str">
        <f t="shared" si="3"/>
        <v/>
      </c>
    </row>
    <row r="51" spans="4:6" ht="25" customHeight="1" thickBot="1" x14ac:dyDescent="0.4"/>
    <row r="52" spans="4:6" ht="25" customHeight="1" thickBot="1" x14ac:dyDescent="0.4">
      <c r="D52" s="224" t="s">
        <v>315</v>
      </c>
      <c r="E52" s="225"/>
      <c r="F52" s="226"/>
    </row>
    <row r="53" spans="4:6" ht="67.5" customHeight="1" thickBot="1" x14ac:dyDescent="0.4">
      <c r="D53" s="210" t="s">
        <v>469</v>
      </c>
      <c r="E53" s="211"/>
      <c r="F53" s="212"/>
    </row>
    <row r="54" spans="4:6" ht="14.5" customHeight="1" thickBot="1" x14ac:dyDescent="0.4">
      <c r="D54" s="216" t="s">
        <v>259</v>
      </c>
      <c r="E54" s="217"/>
      <c r="F54" s="218"/>
    </row>
    <row r="55" spans="4:6" ht="30" customHeight="1" thickBot="1" x14ac:dyDescent="0.4">
      <c r="D55" s="198" t="s">
        <v>260</v>
      </c>
      <c r="E55" s="200" t="s">
        <v>156</v>
      </c>
      <c r="F55" s="81" t="s">
        <v>156</v>
      </c>
    </row>
    <row r="56" spans="4:6" ht="30" customHeight="1" thickBot="1" x14ac:dyDescent="0.4">
      <c r="D56" s="198" t="s">
        <v>261</v>
      </c>
      <c r="E56" s="200" t="s">
        <v>262</v>
      </c>
      <c r="F56" s="81" t="s">
        <v>156</v>
      </c>
    </row>
    <row r="57" spans="4:6" ht="30" customHeight="1" thickBot="1" x14ac:dyDescent="0.4">
      <c r="D57" s="198" t="s">
        <v>263</v>
      </c>
      <c r="E57" s="200" t="s">
        <v>156</v>
      </c>
      <c r="F57" s="81" t="s">
        <v>156</v>
      </c>
    </row>
    <row r="58" spans="4:6" ht="30" customHeight="1" thickBot="1" x14ac:dyDescent="0.4">
      <c r="D58" s="198" t="s">
        <v>264</v>
      </c>
      <c r="E58" s="200" t="s">
        <v>262</v>
      </c>
      <c r="F58" s="81" t="s">
        <v>156</v>
      </c>
    </row>
    <row r="59" spans="4:6" ht="30" customHeight="1" thickBot="1" x14ac:dyDescent="0.4">
      <c r="D59" s="198" t="s">
        <v>265</v>
      </c>
      <c r="E59" s="200" t="s">
        <v>262</v>
      </c>
      <c r="F59" s="81" t="s">
        <v>156</v>
      </c>
    </row>
    <row r="60" spans="4:6" ht="14.5" customHeight="1" thickBot="1" x14ac:dyDescent="0.4"/>
    <row r="61" spans="4:6" ht="31" hidden="1" customHeight="1" thickBot="1" x14ac:dyDescent="0.4">
      <c r="D61" s="227" t="s">
        <v>266</v>
      </c>
      <c r="E61" s="228"/>
      <c r="F61" s="229"/>
    </row>
    <row r="62" spans="4:6" ht="68.150000000000006" hidden="1" customHeight="1" thickBot="1" x14ac:dyDescent="0.4">
      <c r="D62" s="213"/>
      <c r="E62" s="214"/>
      <c r="F62" s="215"/>
    </row>
    <row r="63" spans="4:6" ht="25" customHeight="1" thickBot="1" x14ac:dyDescent="0.4">
      <c r="D63" s="219" t="s">
        <v>267</v>
      </c>
      <c r="E63" s="220" t="s">
        <v>155</v>
      </c>
      <c r="F63" s="81" t="s">
        <v>155</v>
      </c>
    </row>
    <row r="64" spans="4:6" ht="15" customHeight="1" thickBot="1" x14ac:dyDescent="0.4">
      <c r="D64" s="85" t="s">
        <v>382</v>
      </c>
    </row>
    <row r="65" spans="4:6" ht="96" customHeight="1" thickBot="1" x14ac:dyDescent="0.4">
      <c r="D65" s="210" t="s">
        <v>470</v>
      </c>
      <c r="E65" s="211"/>
      <c r="F65" s="212"/>
    </row>
    <row r="66" spans="4:6" ht="15" customHeight="1" x14ac:dyDescent="0.35"/>
    <row r="67" spans="4:6" ht="14.5" customHeight="1" x14ac:dyDescent="0.35">
      <c r="D67" s="230" t="s">
        <v>268</v>
      </c>
      <c r="E67" s="230"/>
      <c r="F67" s="230"/>
    </row>
    <row r="68" spans="4:6" ht="14.5" customHeight="1" thickBot="1" x14ac:dyDescent="0.4"/>
    <row r="69" spans="4:6" ht="25" customHeight="1" thickBot="1" x14ac:dyDescent="0.4">
      <c r="D69" s="219" t="s">
        <v>269</v>
      </c>
      <c r="E69" s="220" t="s">
        <v>262</v>
      </c>
      <c r="F69" s="81" t="s">
        <v>156</v>
      </c>
    </row>
    <row r="71" spans="4:6" ht="14.5" hidden="1" customHeight="1" thickBot="1" x14ac:dyDescent="0.4">
      <c r="D71" s="221" t="s">
        <v>312</v>
      </c>
      <c r="E71" s="222"/>
      <c r="F71" s="223"/>
    </row>
    <row r="72" spans="4:6" ht="42.65" hidden="1" customHeight="1" thickBot="1" x14ac:dyDescent="0.4">
      <c r="D72" s="210"/>
      <c r="E72" s="211"/>
      <c r="F72" s="212"/>
    </row>
    <row r="73" spans="4:6" ht="14.5" hidden="1" customHeight="1" thickBot="1" x14ac:dyDescent="0.4"/>
    <row r="74" spans="4:6" ht="33.65" hidden="1" customHeight="1" thickBot="1" x14ac:dyDescent="0.4">
      <c r="D74" s="224" t="s">
        <v>355</v>
      </c>
      <c r="E74" s="225"/>
      <c r="F74" s="226"/>
    </row>
    <row r="75" spans="4:6" ht="38.5" hidden="1" customHeight="1" thickBot="1" x14ac:dyDescent="0.4">
      <c r="D75" s="210"/>
      <c r="E75" s="211"/>
      <c r="F75" s="212"/>
    </row>
    <row r="76" spans="4:6" ht="14.5" hidden="1" customHeight="1" thickBot="1" x14ac:dyDescent="0.4"/>
    <row r="77" spans="4:6" ht="33" hidden="1" customHeight="1" thickBot="1" x14ac:dyDescent="0.4">
      <c r="D77" s="224" t="s">
        <v>313</v>
      </c>
      <c r="E77" s="225"/>
      <c r="F77" s="226"/>
    </row>
    <row r="78" spans="4:6" ht="38.5" hidden="1" customHeight="1" thickBot="1" x14ac:dyDescent="0.4">
      <c r="D78" s="198" t="s">
        <v>314</v>
      </c>
      <c r="E78" s="200"/>
      <c r="F78" s="81"/>
    </row>
    <row r="79" spans="4:6" ht="14.5" hidden="1" customHeight="1" thickBot="1" x14ac:dyDescent="0.4"/>
    <row r="80" spans="4:6" ht="29.15" hidden="1" customHeight="1" thickBot="1" x14ac:dyDescent="0.4">
      <c r="D80" s="224" t="s">
        <v>313</v>
      </c>
      <c r="E80" s="225"/>
      <c r="F80" s="226"/>
    </row>
    <row r="81" spans="4:6" ht="30" hidden="1" customHeight="1" thickBot="1" x14ac:dyDescent="0.4">
      <c r="D81" s="210"/>
      <c r="E81" s="211"/>
      <c r="F81" s="212"/>
    </row>
    <row r="82" spans="4:6" ht="25" hidden="1" customHeight="1" x14ac:dyDescent="0.35"/>
    <row r="83" spans="4:6" ht="14.5" customHeight="1" thickBot="1" x14ac:dyDescent="0.4"/>
    <row r="84" spans="4:6" ht="14.5" customHeight="1" thickBot="1" x14ac:dyDescent="0.4">
      <c r="D84" s="221" t="s">
        <v>282</v>
      </c>
      <c r="E84" s="222"/>
      <c r="F84" s="223"/>
    </row>
    <row r="85" spans="4:6" ht="14.5" customHeight="1" thickBot="1" x14ac:dyDescent="0.4">
      <c r="D85" s="216" t="s">
        <v>199</v>
      </c>
      <c r="E85" s="217"/>
      <c r="F85" s="218"/>
    </row>
    <row r="86" spans="4:6" ht="40" customHeight="1" thickBot="1" x14ac:dyDescent="0.4">
      <c r="D86" s="210" t="s">
        <v>270</v>
      </c>
      <c r="E86" s="211"/>
      <c r="F86" s="212"/>
    </row>
    <row r="87" spans="4:6" ht="14.5" customHeight="1" thickBot="1" x14ac:dyDescent="0.4"/>
    <row r="88" spans="4:6" ht="32.5" customHeight="1" thickBot="1" x14ac:dyDescent="0.4">
      <c r="D88" s="219" t="s">
        <v>271</v>
      </c>
      <c r="E88" s="220" t="s">
        <v>156</v>
      </c>
      <c r="F88" s="81" t="s">
        <v>155</v>
      </c>
    </row>
    <row r="89" spans="4:6" ht="14.5" customHeight="1" thickBot="1" x14ac:dyDescent="0.4"/>
    <row r="90" spans="4:6" ht="14.5" customHeight="1" thickBot="1" x14ac:dyDescent="0.4">
      <c r="D90" s="234" t="s">
        <v>173</v>
      </c>
      <c r="E90" s="235"/>
      <c r="F90" s="236"/>
    </row>
    <row r="91" spans="4:6" ht="42" customHeight="1" thickBot="1" x14ac:dyDescent="0.4">
      <c r="D91" s="237" t="s">
        <v>356</v>
      </c>
      <c r="E91" s="238"/>
      <c r="F91" s="239"/>
    </row>
    <row r="92" spans="4:6" ht="15" customHeight="1" thickBot="1" x14ac:dyDescent="0.4">
      <c r="D92" s="231" t="s">
        <v>381</v>
      </c>
      <c r="E92" s="232"/>
      <c r="F92" s="233"/>
    </row>
    <row r="93" spans="4:6" ht="15" customHeight="1" thickBot="1" x14ac:dyDescent="0.4">
      <c r="D93" s="240" t="s">
        <v>517</v>
      </c>
      <c r="E93" s="241"/>
      <c r="F93" s="242"/>
    </row>
    <row r="94" spans="4:6" ht="15" customHeight="1" thickBot="1" x14ac:dyDescent="0.4">
      <c r="D94" s="231"/>
      <c r="E94" s="232"/>
      <c r="F94" s="233"/>
    </row>
    <row r="95" spans="4:6" ht="15" customHeight="1" thickBot="1" x14ac:dyDescent="0.4">
      <c r="D95" s="231"/>
      <c r="E95" s="232"/>
      <c r="F95" s="233"/>
    </row>
    <row r="96" spans="4:6" ht="14.5" customHeight="1" thickBot="1" x14ac:dyDescent="0.4"/>
    <row r="97" spans="4:6" ht="28.5" customHeight="1" thickBot="1" x14ac:dyDescent="0.4">
      <c r="D97" s="207" t="s">
        <v>362</v>
      </c>
      <c r="E97" s="209"/>
      <c r="F97" s="56" t="s">
        <v>155</v>
      </c>
    </row>
    <row r="98" spans="4:6" ht="14.5" customHeight="1" thickBot="1" x14ac:dyDescent="0.4"/>
    <row r="99" spans="4:6" ht="25" customHeight="1" thickBot="1" x14ac:dyDescent="0.4">
      <c r="D99" s="221" t="s">
        <v>272</v>
      </c>
      <c r="E99" s="222"/>
      <c r="F99" s="223"/>
    </row>
    <row r="100" spans="4:6" ht="25" customHeight="1" thickBot="1" x14ac:dyDescent="0.4">
      <c r="D100" s="207" t="s">
        <v>357</v>
      </c>
      <c r="E100" s="209" t="s">
        <v>157</v>
      </c>
      <c r="F100" s="56" t="s">
        <v>155</v>
      </c>
    </row>
    <row r="101" spans="4:6" ht="25" customHeight="1" thickBot="1" x14ac:dyDescent="0.4">
      <c r="D101" s="207" t="s">
        <v>358</v>
      </c>
      <c r="E101" s="209" t="s">
        <v>157</v>
      </c>
      <c r="F101" s="56" t="s">
        <v>156</v>
      </c>
    </row>
    <row r="102" spans="4:6" ht="14.5" customHeight="1" thickBot="1" x14ac:dyDescent="0.4"/>
    <row r="103" spans="4:6" ht="14.5" customHeight="1" thickBot="1" x14ac:dyDescent="0.4">
      <c r="D103" s="216" t="s">
        <v>359</v>
      </c>
      <c r="E103" s="217"/>
      <c r="F103" s="218"/>
    </row>
    <row r="104" spans="4:6" ht="76.5" customHeight="1" thickBot="1" x14ac:dyDescent="0.4">
      <c r="D104" s="210" t="s">
        <v>499</v>
      </c>
      <c r="E104" s="211"/>
      <c r="F104" s="212"/>
    </row>
    <row r="107" spans="4:6" ht="14.5" customHeight="1" thickBot="1" x14ac:dyDescent="0.4"/>
    <row r="108" spans="4:6" ht="14.5" customHeight="1" thickBot="1" x14ac:dyDescent="0.4">
      <c r="D108" s="216" t="s">
        <v>273</v>
      </c>
      <c r="E108" s="217"/>
      <c r="F108" s="218"/>
    </row>
    <row r="109" spans="4:6" ht="41.5" customHeight="1" thickBot="1" x14ac:dyDescent="0.4">
      <c r="D109" s="207" t="s">
        <v>274</v>
      </c>
      <c r="E109" s="209" t="s">
        <v>155</v>
      </c>
      <c r="F109" s="81" t="s">
        <v>155</v>
      </c>
    </row>
    <row r="110" spans="4:6" ht="14.5" customHeight="1" thickBot="1" x14ac:dyDescent="0.4"/>
    <row r="111" spans="4:6" ht="25" customHeight="1" thickBot="1" x14ac:dyDescent="0.4">
      <c r="D111" s="221" t="s">
        <v>275</v>
      </c>
      <c r="E111" s="222"/>
      <c r="F111" s="223"/>
    </row>
    <row r="112" spans="4:6" ht="25" customHeight="1" thickBot="1" x14ac:dyDescent="0.4">
      <c r="D112" s="186" t="s">
        <v>276</v>
      </c>
      <c r="E112" s="188" t="s">
        <v>156</v>
      </c>
      <c r="F112" s="81" t="s">
        <v>156</v>
      </c>
    </row>
    <row r="113" spans="4:6" ht="25" customHeight="1" thickBot="1" x14ac:dyDescent="0.4">
      <c r="D113" s="186" t="s">
        <v>277</v>
      </c>
      <c r="E113" s="188" t="s">
        <v>262</v>
      </c>
      <c r="F113" s="81" t="s">
        <v>156</v>
      </c>
    </row>
    <row r="114" spans="4:6" ht="25" customHeight="1" thickBot="1" x14ac:dyDescent="0.4">
      <c r="D114" s="186" t="s">
        <v>278</v>
      </c>
      <c r="E114" s="188" t="s">
        <v>279</v>
      </c>
      <c r="F114" s="81" t="s">
        <v>156</v>
      </c>
    </row>
    <row r="115" spans="4:6" ht="14.5" customHeight="1" thickBot="1" x14ac:dyDescent="0.4"/>
    <row r="116" spans="4:6" ht="14.5" customHeight="1" thickBot="1" x14ac:dyDescent="0.4">
      <c r="D116" s="216" t="s">
        <v>280</v>
      </c>
      <c r="E116" s="217"/>
      <c r="F116" s="218"/>
    </row>
    <row r="117" spans="4:6" ht="54.5" customHeight="1" thickBot="1" x14ac:dyDescent="0.4">
      <c r="D117" s="210" t="s">
        <v>449</v>
      </c>
      <c r="E117" s="211"/>
      <c r="F117" s="212"/>
    </row>
    <row r="118" spans="4:6" ht="14.5" customHeight="1" thickBot="1" x14ac:dyDescent="0.4"/>
    <row r="119" spans="4:6" ht="26.5" customHeight="1" thickBot="1" x14ac:dyDescent="0.4">
      <c r="D119" s="207" t="s">
        <v>281</v>
      </c>
      <c r="E119" s="209"/>
      <c r="F119" s="81" t="s">
        <v>156</v>
      </c>
    </row>
  </sheetData>
  <sheetProtection selectLockedCells="1"/>
  <mergeCells count="72">
    <mergeCell ref="D38:F38"/>
    <mergeCell ref="D40:F40"/>
    <mergeCell ref="D23:F23"/>
    <mergeCell ref="D34:E34"/>
    <mergeCell ref="D35:E35"/>
    <mergeCell ref="C10:C11"/>
    <mergeCell ref="C12:C13"/>
    <mergeCell ref="C14:C15"/>
    <mergeCell ref="C16:C17"/>
    <mergeCell ref="D10:F10"/>
    <mergeCell ref="D11:F11"/>
    <mergeCell ref="D12:F12"/>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D55:E55"/>
    <mergeCell ref="D56:E56"/>
    <mergeCell ref="D57:E57"/>
    <mergeCell ref="D58:E58"/>
    <mergeCell ref="D59:E59"/>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104:F104"/>
    <mergeCell ref="D108:F108"/>
    <mergeCell ref="D71:F71"/>
    <mergeCell ref="D72:F72"/>
    <mergeCell ref="D74:F74"/>
    <mergeCell ref="D75:F75"/>
    <mergeCell ref="D77:F77"/>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s>
  <conditionalFormatting sqref="F20:F21 F34:F35 D38:F38 F55:F59 F63 D65:F65 F69 F88 D104:F104 F109 F112:F114 D117:F117 F119 D24:F32 D42:F50">
    <cfRule type="cellIs" dxfId="8"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Mapping!$A$2:$A$4</xm:f>
          </x14:formula1>
          <xm:sqref>F69 F97 F106 F78 F100:F101 F112:F114 F65 F63</xm:sqref>
        </x14:dataValidation>
        <x14:dataValidation type="list" allowBlank="1" showInputMessage="1" showErrorMessage="1" xr:uid="{00000000-0002-0000-0500-000002000000}">
          <x14:formula1>
            <xm:f>Mapping!$F$2:$F$3</xm:f>
          </x14:formula1>
          <xm:sqref>E51</xm:sqref>
        </x14:dataValidation>
        <x14:dataValidation type="list" allowBlank="1" showInputMessage="1" showErrorMessage="1" xr:uid="{292E142A-2D56-438D-9ABF-1F142FC2D7D1}">
          <x14:formula1>
            <xm:f>Mapping!$F$2:$F$4</xm:f>
          </x14:formula1>
          <xm:sqref>E42:E50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zoomScale="85" zoomScaleNormal="85" workbookViewId="0">
      <selection activeCell="D20" sqref="D20:D21"/>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53" t="s">
        <v>183</v>
      </c>
      <c r="E7" s="254"/>
      <c r="F7" s="255"/>
    </row>
    <row r="8" spans="4:6" ht="25" customHeight="1" thickBot="1" x14ac:dyDescent="0.4">
      <c r="D8" s="250" t="s">
        <v>184</v>
      </c>
      <c r="E8" s="251"/>
      <c r="F8" s="252"/>
    </row>
    <row r="9" spans="4:6" ht="25" customHeight="1" thickBot="1" x14ac:dyDescent="0.4">
      <c r="D9" s="210" t="s">
        <v>185</v>
      </c>
      <c r="E9" s="211"/>
      <c r="F9" s="212"/>
    </row>
    <row r="10" spans="4:6" x14ac:dyDescent="0.35">
      <c r="D10" s="19"/>
      <c r="E10" s="19"/>
      <c r="F10" s="19"/>
    </row>
    <row r="11" spans="4:6" x14ac:dyDescent="0.35">
      <c r="D11" s="19" t="s">
        <v>186</v>
      </c>
      <c r="E11" s="19"/>
      <c r="F11" s="19"/>
    </row>
    <row r="12" spans="4:6" ht="14.5" customHeight="1" x14ac:dyDescent="0.35">
      <c r="D12" s="19" t="s">
        <v>368</v>
      </c>
      <c r="E12" s="19"/>
      <c r="F12" s="19"/>
    </row>
    <row r="13" spans="4:6" ht="14.5" customHeight="1" thickBot="1" x14ac:dyDescent="0.4">
      <c r="D13" s="19" t="s">
        <v>369</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60" t="s">
        <v>183</v>
      </c>
      <c r="E20" s="19"/>
      <c r="F20" s="19"/>
    </row>
    <row r="21" spans="4:8" ht="20.149999999999999" customHeight="1" thickBot="1" x14ac:dyDescent="0.4">
      <c r="D21" s="261"/>
      <c r="E21" s="187">
        <f>IF('Step 2'!H23="","",IF('Step 2'!H23="Promise is a distinct performance obligation",COUNTIF('Step 2'!$G$23:$G$26,"Yes"),1))</f>
        <v>1</v>
      </c>
      <c r="F21" s="188"/>
    </row>
    <row r="22" spans="4:8" ht="27.65" customHeight="1" thickBot="1" x14ac:dyDescent="0.4">
      <c r="D22" s="75" t="s">
        <v>187</v>
      </c>
      <c r="E22" s="258" t="s">
        <v>156</v>
      </c>
      <c r="F22" s="259"/>
    </row>
    <row r="23" spans="4:8" ht="57.65" customHeight="1" thickBot="1" x14ac:dyDescent="0.4">
      <c r="D23" s="210" t="s">
        <v>450</v>
      </c>
      <c r="E23" s="251"/>
      <c r="F23" s="252"/>
    </row>
    <row r="24" spans="4:8" ht="28.5" hidden="1" customHeight="1" x14ac:dyDescent="0.35">
      <c r="D24" s="76"/>
      <c r="E24" s="76"/>
      <c r="F24" s="76"/>
    </row>
    <row r="25" spans="4:8" ht="28.5" hidden="1" customHeight="1" thickBot="1" x14ac:dyDescent="0.4">
      <c r="D25" s="262" t="s">
        <v>371</v>
      </c>
      <c r="E25" s="263"/>
      <c r="F25" s="263"/>
      <c r="G25" s="263"/>
      <c r="H25" s="264"/>
    </row>
    <row r="26" spans="4:8" ht="28.5" hidden="1" customHeight="1" thickBot="1" x14ac:dyDescent="0.4">
      <c r="D26" s="77" t="s">
        <v>372</v>
      </c>
      <c r="E26" s="77" t="s">
        <v>373</v>
      </c>
      <c r="F26" s="77" t="s">
        <v>374</v>
      </c>
      <c r="G26" s="77" t="s">
        <v>375</v>
      </c>
      <c r="H26" s="77" t="s">
        <v>376</v>
      </c>
    </row>
    <row r="27" spans="4:8" ht="28.5" hidden="1" customHeight="1" thickBot="1" x14ac:dyDescent="0.4">
      <c r="D27" s="80" t="str">
        <f>IFERROR(IF('Step 2'!G23="Yes",'Step 2'!D23,""),"")</f>
        <v>Data Entry
Procurement
Skin Audit
One time background check</v>
      </c>
      <c r="E27" s="117"/>
      <c r="F27" s="117"/>
      <c r="G27" s="117"/>
      <c r="H27" s="117"/>
    </row>
    <row r="28" spans="4:8" ht="28.5" hidden="1" customHeight="1" thickBot="1" x14ac:dyDescent="0.4">
      <c r="D28" s="80" t="str">
        <f>IFERROR(IF('Step 2'!G24="Yes",'Step 2'!D24,""),"")</f>
        <v/>
      </c>
      <c r="E28" s="117"/>
      <c r="F28" s="117"/>
      <c r="G28" s="117"/>
      <c r="H28" s="117"/>
    </row>
    <row r="29" spans="4:8" ht="28.5" hidden="1" customHeight="1" thickBot="1" x14ac:dyDescent="0.4">
      <c r="D29" s="80" t="str">
        <f>IFERROR(IF('Step 2'!G25="Yes",'Step 2'!D25,""),"")</f>
        <v/>
      </c>
      <c r="E29" s="117"/>
      <c r="F29" s="117"/>
      <c r="G29" s="117"/>
      <c r="H29" s="117"/>
    </row>
    <row r="30" spans="4:8" ht="28.5" customHeight="1" x14ac:dyDescent="0.35">
      <c r="D30" s="76"/>
      <c r="E30" s="76"/>
      <c r="F30" s="76"/>
    </row>
    <row r="31" spans="4:8" ht="28.5" hidden="1" customHeight="1" x14ac:dyDescent="0.35">
      <c r="D31" s="76"/>
      <c r="E31" s="76"/>
      <c r="F31" s="76"/>
    </row>
    <row r="32" spans="4:8" ht="28.5" hidden="1" customHeight="1" x14ac:dyDescent="0.35">
      <c r="D32" s="76"/>
      <c r="E32" s="76"/>
      <c r="F32" s="76"/>
    </row>
    <row r="33" spans="4:6" ht="28.5" hidden="1" customHeight="1" x14ac:dyDescent="0.35">
      <c r="D33" s="76"/>
      <c r="E33" s="76"/>
      <c r="F33" s="76"/>
    </row>
    <row r="34" spans="4:6" ht="28.5" hidden="1" customHeight="1" x14ac:dyDescent="0.35">
      <c r="D34" s="76"/>
      <c r="E34" s="76"/>
      <c r="F34" s="76"/>
    </row>
    <row r="35" spans="4:6" ht="13.75" customHeight="1" x14ac:dyDescent="0.35">
      <c r="D35" s="19"/>
      <c r="E35" s="76"/>
      <c r="F35" s="76"/>
    </row>
    <row r="36" spans="4:6" ht="13.75" customHeight="1" thickBot="1" x14ac:dyDescent="0.4">
      <c r="E36" s="19"/>
      <c r="F36" s="19"/>
    </row>
    <row r="37" spans="4:6" ht="13.75" customHeight="1" thickBot="1" x14ac:dyDescent="0.4">
      <c r="D37" s="253" t="s">
        <v>188</v>
      </c>
      <c r="E37" s="254"/>
      <c r="F37" s="255"/>
    </row>
    <row r="38" spans="4:6" ht="36" customHeight="1" thickBot="1" x14ac:dyDescent="0.4">
      <c r="D38" s="77" t="s">
        <v>225</v>
      </c>
      <c r="E38" s="256" t="s">
        <v>156</v>
      </c>
      <c r="F38" s="257"/>
    </row>
    <row r="39" spans="4:6" ht="48" customHeight="1" thickBot="1" x14ac:dyDescent="0.4">
      <c r="D39" s="250" t="s">
        <v>451</v>
      </c>
      <c r="E39" s="251"/>
      <c r="F39" s="252"/>
    </row>
    <row r="40" spans="4:6" ht="13.75" customHeight="1" x14ac:dyDescent="0.35"/>
    <row r="41" spans="4:6" x14ac:dyDescent="0.35"/>
    <row r="42" spans="4:6" x14ac:dyDescent="0.35"/>
    <row r="43" spans="4:6" x14ac:dyDescent="0.35"/>
    <row r="44" spans="4:6" x14ac:dyDescent="0.35"/>
  </sheetData>
  <sheetProtection algorithmName="SHA-512" hashValue="0s0eJTunRwUWto85iJNqjMjol/yJ9Rc4XpVCnN18w+yy01BU4vKc7MgPWP6aLweRQH4M5J6JvGyWsn42jz5A5g==" saltValue="QmcDbPjEuSQImjtaPUTjcA==" spinCount="100000" sheet="1" objects="1" scenarios="1"/>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7"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Mapping!$K$2:$K$4</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topLeftCell="A28" zoomScale="85" zoomScaleNormal="85" workbookViewId="0">
      <selection activeCell="F34" sqref="F34:H34"/>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77" t="s">
        <v>189</v>
      </c>
      <c r="E7" s="278"/>
      <c r="F7" s="278"/>
      <c r="G7" s="278"/>
      <c r="H7" s="279"/>
    </row>
    <row r="8" spans="4:8" ht="39" customHeight="1" thickBot="1" x14ac:dyDescent="0.4">
      <c r="D8" s="265" t="s">
        <v>190</v>
      </c>
      <c r="E8" s="266"/>
      <c r="F8" s="266"/>
      <c r="G8" s="266"/>
      <c r="H8" s="267"/>
    </row>
    <row r="9" spans="4:8" ht="15" thickBot="1" x14ac:dyDescent="0.4">
      <c r="D9" s="277" t="s">
        <v>191</v>
      </c>
      <c r="E9" s="278"/>
      <c r="F9" s="278"/>
      <c r="G9" s="278"/>
      <c r="H9" s="279"/>
    </row>
    <row r="10" spans="4:8" ht="33.65" customHeight="1" thickBot="1" x14ac:dyDescent="0.4">
      <c r="D10" s="277" t="s">
        <v>192</v>
      </c>
      <c r="E10" s="278"/>
      <c r="F10" s="278"/>
      <c r="G10" s="278"/>
      <c r="H10" s="279"/>
    </row>
    <row r="11" spans="4:8" ht="30" customHeight="1" thickBot="1" x14ac:dyDescent="0.4">
      <c r="D11" s="45" t="s">
        <v>226</v>
      </c>
      <c r="E11" s="265" t="s">
        <v>193</v>
      </c>
      <c r="F11" s="266"/>
      <c r="G11" s="266"/>
      <c r="H11" s="267"/>
    </row>
    <row r="12" spans="4:8" ht="30" customHeight="1" thickBot="1" x14ac:dyDescent="0.4">
      <c r="D12" s="45" t="s">
        <v>227</v>
      </c>
      <c r="E12" s="280" t="s">
        <v>194</v>
      </c>
      <c r="F12" s="280"/>
      <c r="G12" s="280"/>
      <c r="H12" s="281"/>
    </row>
    <row r="13" spans="4:8" ht="30" customHeight="1" thickBot="1" x14ac:dyDescent="0.4">
      <c r="D13" s="45" t="s">
        <v>228</v>
      </c>
      <c r="E13" s="266" t="s">
        <v>195</v>
      </c>
      <c r="F13" s="266"/>
      <c r="G13" s="266"/>
      <c r="H13" s="267"/>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43" t="s">
        <v>197</v>
      </c>
      <c r="E16" s="45" t="s">
        <v>174</v>
      </c>
      <c r="F16" s="45" t="s">
        <v>175</v>
      </c>
      <c r="G16" s="45" t="s">
        <v>196</v>
      </c>
      <c r="H16" s="45" t="s">
        <v>182</v>
      </c>
    </row>
    <row r="17" spans="4:9" ht="50.15" customHeight="1" thickBot="1" x14ac:dyDescent="0.4">
      <c r="D17" s="44" t="s">
        <v>433</v>
      </c>
      <c r="E17" s="44" t="s">
        <v>155</v>
      </c>
      <c r="F17" s="44" t="s">
        <v>157</v>
      </c>
      <c r="G17" s="44" t="s">
        <v>157</v>
      </c>
      <c r="H17" s="128"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44"/>
      <c r="E18" s="44"/>
      <c r="F18" s="44"/>
      <c r="G18" s="44"/>
      <c r="H18" s="128" t="str">
        <f t="shared" ref="H18:H20" si="0">IF(COUNTA(E18:G18)&gt;=3,IF(OR(E18="Yes",F18="Yes",G18="Yes")=TRUE,"Performance obligation is satisfied over time",IF(COUNTA(E18:G18)=0,"","Performance obligation is satisfied at a point in time.")),"")</f>
        <v/>
      </c>
    </row>
    <row r="19" spans="4:9" ht="50.15" customHeight="1" thickBot="1" x14ac:dyDescent="0.4">
      <c r="D19" s="44"/>
      <c r="F19" s="44"/>
      <c r="G19" s="44"/>
      <c r="H19" s="128" t="str">
        <f t="shared" si="0"/>
        <v/>
      </c>
    </row>
    <row r="20" spans="4:9" ht="50.15" customHeight="1" thickBot="1" x14ac:dyDescent="0.4">
      <c r="D20" s="44"/>
      <c r="E20" s="44"/>
      <c r="F20" s="44"/>
      <c r="G20" s="44"/>
      <c r="H20" s="128" t="str">
        <f t="shared" si="0"/>
        <v/>
      </c>
    </row>
    <row r="21" spans="4:9" ht="20.149999999999999" customHeight="1" thickBot="1" x14ac:dyDescent="0.4">
      <c r="D21" s="27"/>
      <c r="E21" s="25"/>
      <c r="F21" s="25"/>
      <c r="G21" s="25"/>
      <c r="H21" s="26"/>
    </row>
    <row r="22" spans="4:9" ht="33.65" customHeight="1" thickBot="1" x14ac:dyDescent="0.4">
      <c r="D22" s="282" t="s">
        <v>229</v>
      </c>
      <c r="E22" s="283"/>
      <c r="F22" s="283"/>
      <c r="G22" s="283"/>
      <c r="H22" s="284"/>
      <c r="I22" s="101" t="str">
        <f>IF(COUNTIF($E$17:$G$20,"Yes")&gt;0,"Yes","")</f>
        <v>Yes</v>
      </c>
    </row>
    <row r="23" spans="4:9" ht="20.149999999999999" customHeight="1" thickBot="1" x14ac:dyDescent="0.4"/>
    <row r="24" spans="4:9" ht="37" customHeight="1" thickBot="1" x14ac:dyDescent="0.4">
      <c r="D24" s="282" t="s">
        <v>230</v>
      </c>
      <c r="E24" s="283"/>
      <c r="F24" s="283"/>
      <c r="G24" s="283"/>
      <c r="H24" s="284"/>
      <c r="I24" s="101" t="s">
        <v>157</v>
      </c>
    </row>
    <row r="25" spans="4:9" ht="20.149999999999999" customHeight="1" thickBot="1" x14ac:dyDescent="0.4">
      <c r="D25" s="19"/>
      <c r="E25" s="19"/>
      <c r="F25" s="19"/>
      <c r="G25" s="19"/>
      <c r="H25" s="19"/>
    </row>
    <row r="26" spans="4:9" ht="25" customHeight="1" thickBot="1" x14ac:dyDescent="0.4">
      <c r="D26" s="277" t="s">
        <v>198</v>
      </c>
      <c r="E26" s="278"/>
      <c r="F26" s="278"/>
      <c r="G26" s="278"/>
      <c r="H26" s="279"/>
    </row>
    <row r="27" spans="4:9" ht="25" customHeight="1" thickBot="1" x14ac:dyDescent="0.4">
      <c r="D27" s="277" t="s">
        <v>231</v>
      </c>
      <c r="E27" s="278"/>
      <c r="F27" s="278"/>
      <c r="G27" s="278"/>
      <c r="H27" s="279"/>
    </row>
    <row r="28" spans="4:9" ht="25" customHeight="1" thickBot="1" x14ac:dyDescent="0.4">
      <c r="D28" s="268" t="s">
        <v>232</v>
      </c>
      <c r="E28" s="269"/>
      <c r="F28" s="269"/>
      <c r="G28" s="269"/>
      <c r="H28" s="270"/>
    </row>
    <row r="29" spans="4:9" ht="30" customHeight="1" thickBot="1" x14ac:dyDescent="0.4">
      <c r="D29" s="45" t="s">
        <v>200</v>
      </c>
      <c r="E29" s="280" t="s">
        <v>202</v>
      </c>
      <c r="F29" s="280"/>
      <c r="G29" s="280"/>
      <c r="H29" s="281"/>
    </row>
    <row r="30" spans="4:9" ht="30" customHeight="1" thickBot="1" x14ac:dyDescent="0.4">
      <c r="D30" s="45" t="s">
        <v>201</v>
      </c>
      <c r="E30" s="265" t="s">
        <v>203</v>
      </c>
      <c r="F30" s="266"/>
      <c r="G30" s="266"/>
      <c r="H30" s="267"/>
    </row>
    <row r="31" spans="4:9" x14ac:dyDescent="0.35">
      <c r="D31" s="19"/>
      <c r="E31" s="19"/>
      <c r="F31" s="19"/>
      <c r="G31" s="19"/>
      <c r="H31" s="19"/>
    </row>
    <row r="32" spans="4:9" ht="15" thickBot="1" x14ac:dyDescent="0.4">
      <c r="D32" s="19"/>
      <c r="E32" s="19"/>
      <c r="F32" s="19"/>
      <c r="G32" s="19"/>
      <c r="H32" s="19"/>
    </row>
    <row r="33" spans="4:8" ht="15" thickBot="1" x14ac:dyDescent="0.4">
      <c r="D33" s="45" t="s">
        <v>204</v>
      </c>
      <c r="E33" s="45" t="s">
        <v>205</v>
      </c>
      <c r="F33" s="274" t="s">
        <v>152</v>
      </c>
      <c r="G33" s="275"/>
      <c r="H33" s="276"/>
    </row>
    <row r="34" spans="4:8" s="100" customFormat="1" ht="50.15" customHeight="1" thickBot="1" x14ac:dyDescent="0.4">
      <c r="D34" s="133" t="s">
        <v>433</v>
      </c>
      <c r="E34" s="134" t="s">
        <v>462</v>
      </c>
      <c r="F34" s="271" t="s">
        <v>519</v>
      </c>
      <c r="G34" s="272"/>
      <c r="H34" s="273"/>
    </row>
    <row r="35" spans="4:8" ht="50.15" customHeight="1" thickBot="1" x14ac:dyDescent="0.4">
      <c r="D35" s="133"/>
      <c r="E35" s="133"/>
      <c r="F35" s="265"/>
      <c r="G35" s="266"/>
      <c r="H35" s="267"/>
    </row>
    <row r="36" spans="4:8" ht="50.15" customHeight="1" thickBot="1" x14ac:dyDescent="0.4">
      <c r="D36" s="133"/>
      <c r="E36" s="133"/>
      <c r="F36" s="265"/>
      <c r="G36" s="266"/>
      <c r="H36" s="267"/>
    </row>
    <row r="37" spans="4:8" ht="50.15" customHeight="1" thickBot="1" x14ac:dyDescent="0.4">
      <c r="D37" s="133"/>
      <c r="E37" s="133"/>
      <c r="F37" s="265"/>
      <c r="G37" s="266"/>
      <c r="H37" s="267"/>
    </row>
    <row r="38" spans="4:8" ht="50.15" customHeight="1" thickBot="1" x14ac:dyDescent="0.4">
      <c r="D38" s="133"/>
      <c r="E38" s="133"/>
      <c r="F38" s="265"/>
      <c r="G38" s="266"/>
      <c r="H38" s="267"/>
    </row>
    <row r="39" spans="4:8" ht="13.5" customHeight="1" x14ac:dyDescent="0.35">
      <c r="D39" s="24"/>
      <c r="E39" s="24"/>
      <c r="F39" s="24"/>
      <c r="G39" s="19"/>
      <c r="H39" s="19"/>
    </row>
    <row r="40" spans="4:8" ht="15" thickBot="1" x14ac:dyDescent="0.4">
      <c r="D40" s="22"/>
      <c r="E40" s="46"/>
      <c r="F40" s="19"/>
      <c r="G40" s="19"/>
      <c r="H40" s="19"/>
    </row>
    <row r="41" spans="4:8" ht="20.5" customHeight="1" thickBot="1" x14ac:dyDescent="0.4">
      <c r="D41" s="268" t="s">
        <v>206</v>
      </c>
      <c r="E41" s="269"/>
      <c r="F41" s="269"/>
      <c r="G41" s="269"/>
      <c r="H41" s="270"/>
    </row>
    <row r="42" spans="4:8" ht="60.65" customHeight="1" thickBot="1" x14ac:dyDescent="0.4">
      <c r="D42" s="271" t="s">
        <v>207</v>
      </c>
      <c r="E42" s="272"/>
      <c r="F42" s="272"/>
      <c r="G42" s="272"/>
      <c r="H42" s="273"/>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selectLockedCells="1"/>
  <mergeCells count="22">
    <mergeCell ref="D28:H28"/>
    <mergeCell ref="E29:H29"/>
    <mergeCell ref="E30:H30"/>
    <mergeCell ref="E12:H12"/>
    <mergeCell ref="E13:H13"/>
    <mergeCell ref="D26:H26"/>
    <mergeCell ref="D27:H27"/>
    <mergeCell ref="D22:H22"/>
    <mergeCell ref="D24:H24"/>
    <mergeCell ref="D7:H7"/>
    <mergeCell ref="D8:H8"/>
    <mergeCell ref="D9:H9"/>
    <mergeCell ref="D10:H10"/>
    <mergeCell ref="E11:H11"/>
    <mergeCell ref="F38:H38"/>
    <mergeCell ref="D41:H41"/>
    <mergeCell ref="D42:H42"/>
    <mergeCell ref="F34:H34"/>
    <mergeCell ref="F33:H33"/>
    <mergeCell ref="F35:H35"/>
    <mergeCell ref="F36:H36"/>
    <mergeCell ref="F37:H37"/>
  </mergeCells>
  <conditionalFormatting sqref="D17:H20 I22 I24 D34:H38">
    <cfRule type="cellIs" dxfId="6"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Mapping!$B$2:$B$4</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topLeftCell="B46" zoomScale="104" zoomScaleNormal="85" workbookViewId="0">
      <selection activeCell="D51" sqref="D51:F51"/>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98" t="s">
        <v>283</v>
      </c>
      <c r="E8" s="299"/>
      <c r="F8" s="300"/>
    </row>
    <row r="9" spans="4:6" hidden="1" x14ac:dyDescent="0.35">
      <c r="D9" s="107"/>
      <c r="E9" s="47"/>
      <c r="F9" s="47"/>
    </row>
    <row r="10" spans="4:6" ht="15" hidden="1" thickBot="1" x14ac:dyDescent="0.4">
      <c r="D10" s="108"/>
      <c r="E10" s="47"/>
      <c r="F10" s="47"/>
    </row>
    <row r="11" spans="4:6" ht="57" hidden="1" customHeight="1" thickBot="1" x14ac:dyDescent="0.4">
      <c r="D11" s="186"/>
      <c r="E11" s="187"/>
      <c r="F11" s="118"/>
    </row>
    <row r="12" spans="4:6" ht="15" hidden="1" thickBot="1" x14ac:dyDescent="0.4">
      <c r="D12" s="39"/>
      <c r="E12" s="47"/>
      <c r="F12" s="47"/>
    </row>
    <row r="13" spans="4:6" ht="20.25" hidden="1" customHeight="1" thickBot="1" x14ac:dyDescent="0.4">
      <c r="D13" s="237"/>
      <c r="E13" s="238"/>
      <c r="F13" s="239"/>
    </row>
    <row r="14" spans="4:6" ht="60" hidden="1" customHeight="1" thickBot="1" x14ac:dyDescent="0.4">
      <c r="D14" s="183"/>
      <c r="E14" s="184"/>
      <c r="F14" s="185"/>
    </row>
    <row r="15" spans="4:6" ht="13.75" hidden="1" customHeight="1" thickBot="1" x14ac:dyDescent="0.4">
      <c r="D15" s="39"/>
      <c r="E15" s="47"/>
      <c r="F15" s="47"/>
    </row>
    <row r="16" spans="4:6" ht="39" hidden="1" customHeight="1" thickBot="1" x14ac:dyDescent="0.4">
      <c r="D16" s="296"/>
      <c r="E16" s="297"/>
      <c r="F16" s="119"/>
    </row>
    <row r="17" spans="4:6" ht="13.75" hidden="1" customHeight="1" thickBot="1" x14ac:dyDescent="0.4">
      <c r="D17" s="237"/>
      <c r="E17" s="238"/>
      <c r="F17" s="239"/>
    </row>
    <row r="18" spans="4:6" ht="61" hidden="1" customHeight="1" thickBot="1" x14ac:dyDescent="0.4">
      <c r="D18" s="192"/>
      <c r="E18" s="193"/>
      <c r="F18" s="194"/>
    </row>
    <row r="19" spans="4:6" ht="13.75" hidden="1" customHeight="1" x14ac:dyDescent="0.35">
      <c r="D19" s="107"/>
      <c r="E19" s="47"/>
      <c r="F19" s="47"/>
    </row>
    <row r="20" spans="4:6" ht="13.75" customHeight="1" x14ac:dyDescent="0.35">
      <c r="D20" s="108" t="s">
        <v>284</v>
      </c>
      <c r="E20" s="47"/>
      <c r="F20" s="47"/>
    </row>
    <row r="21" spans="4:6" ht="13.75" customHeight="1" thickBot="1" x14ac:dyDescent="0.4">
      <c r="D21" s="108"/>
      <c r="E21" s="47"/>
      <c r="F21" s="47"/>
    </row>
    <row r="22" spans="4:6" ht="45.65" customHeight="1" thickBot="1" x14ac:dyDescent="0.4">
      <c r="D22" s="237" t="s">
        <v>285</v>
      </c>
      <c r="E22" s="238" t="s">
        <v>155</v>
      </c>
      <c r="F22" s="118" t="s">
        <v>155</v>
      </c>
    </row>
    <row r="23" spans="4:6" ht="13.75" customHeight="1" thickBot="1" x14ac:dyDescent="0.4">
      <c r="D23" s="39"/>
      <c r="E23" s="47"/>
      <c r="F23" s="47"/>
    </row>
    <row r="24" spans="4:6" ht="47.5" customHeight="1" thickBot="1" x14ac:dyDescent="0.4">
      <c r="D24" s="237" t="s">
        <v>286</v>
      </c>
      <c r="E24" s="238"/>
      <c r="F24" s="239"/>
    </row>
    <row r="25" spans="4:6" ht="13.75" customHeight="1" thickBot="1" x14ac:dyDescent="0.4">
      <c r="D25" s="288" t="s">
        <v>287</v>
      </c>
      <c r="E25" s="289"/>
      <c r="F25" s="290"/>
    </row>
    <row r="26" spans="4:6" ht="15" thickBot="1" x14ac:dyDescent="0.4">
      <c r="D26" s="39"/>
      <c r="E26" s="47"/>
      <c r="F26" s="47"/>
    </row>
    <row r="27" spans="4:6" ht="45" customHeight="1" thickBot="1" x14ac:dyDescent="0.4">
      <c r="D27" s="40" t="s">
        <v>288</v>
      </c>
      <c r="E27" s="56" t="s">
        <v>289</v>
      </c>
      <c r="F27" s="81" t="s">
        <v>155</v>
      </c>
    </row>
    <row r="28" spans="4:6" ht="45" customHeight="1" thickBot="1" x14ac:dyDescent="0.4">
      <c r="D28" s="41" t="s">
        <v>290</v>
      </c>
      <c r="E28" s="42" t="s">
        <v>291</v>
      </c>
      <c r="F28" s="81" t="s">
        <v>155</v>
      </c>
    </row>
    <row r="29" spans="4:6" ht="45" customHeight="1" thickBot="1" x14ac:dyDescent="0.4">
      <c r="D29" s="41" t="s">
        <v>292</v>
      </c>
      <c r="E29" s="42" t="s">
        <v>293</v>
      </c>
      <c r="F29" s="81" t="s">
        <v>155</v>
      </c>
    </row>
    <row r="30" spans="4:6" ht="15" thickBot="1" x14ac:dyDescent="0.4">
      <c r="D30" s="39"/>
      <c r="E30" s="47"/>
      <c r="F30" s="47"/>
    </row>
    <row r="31" spans="4:6" ht="15" thickBot="1" x14ac:dyDescent="0.4">
      <c r="D31" s="237" t="s">
        <v>169</v>
      </c>
      <c r="E31" s="238"/>
      <c r="F31" s="239"/>
    </row>
    <row r="32" spans="4:6" ht="66.650000000000006" customHeight="1" thickBot="1" x14ac:dyDescent="0.4">
      <c r="D32" s="285" t="s">
        <v>496</v>
      </c>
      <c r="E32" s="286"/>
      <c r="F32" s="287"/>
    </row>
    <row r="33" spans="4:6" ht="15" thickBot="1" x14ac:dyDescent="0.4">
      <c r="D33" s="39"/>
      <c r="E33" s="47"/>
      <c r="F33" s="47"/>
    </row>
    <row r="34" spans="4:6" ht="25" customHeight="1" thickBot="1" x14ac:dyDescent="0.4">
      <c r="D34" s="237" t="s">
        <v>294</v>
      </c>
      <c r="E34" s="238"/>
      <c r="F34" s="239"/>
    </row>
    <row r="35" spans="4:6" ht="57" customHeight="1" thickBot="1" x14ac:dyDescent="0.4">
      <c r="D35" s="285" t="s">
        <v>452</v>
      </c>
      <c r="E35" s="286"/>
      <c r="F35" s="287"/>
    </row>
    <row r="36" spans="4:6" ht="15" thickBot="1" x14ac:dyDescent="0.4">
      <c r="D36" s="109"/>
      <c r="E36" s="47"/>
      <c r="F36" s="47"/>
    </row>
    <row r="37" spans="4:6" ht="30" customHeight="1" thickBot="1" x14ac:dyDescent="0.4">
      <c r="D37" s="291" t="s">
        <v>295</v>
      </c>
      <c r="E37" s="292"/>
      <c r="F37" s="293"/>
    </row>
    <row r="38" spans="4:6" ht="30" customHeight="1" thickBot="1" x14ac:dyDescent="0.4">
      <c r="D38" s="107"/>
      <c r="E38" s="47"/>
      <c r="F38" s="47"/>
    </row>
    <row r="39" spans="4:6" ht="44.15" customHeight="1" thickBot="1" x14ac:dyDescent="0.4">
      <c r="D39" s="294" t="s">
        <v>296</v>
      </c>
      <c r="E39" s="295"/>
      <c r="F39" s="114" t="s">
        <v>155</v>
      </c>
    </row>
    <row r="40" spans="4:6" ht="25" customHeight="1" thickBot="1" x14ac:dyDescent="0.4">
      <c r="D40" s="183" t="s">
        <v>297</v>
      </c>
      <c r="E40" s="184"/>
      <c r="F40" s="185"/>
    </row>
    <row r="41" spans="4:6" ht="26.15" customHeight="1" thickBot="1" x14ac:dyDescent="0.4">
      <c r="D41" s="183" t="s">
        <v>453</v>
      </c>
      <c r="E41" s="184"/>
      <c r="F41" s="185"/>
    </row>
    <row r="42" spans="4:6" ht="26.15" customHeight="1" x14ac:dyDescent="0.35">
      <c r="D42" s="111"/>
      <c r="E42" s="111"/>
      <c r="F42" s="111"/>
    </row>
    <row r="43" spans="4:6" ht="14.5" customHeight="1" thickBot="1" x14ac:dyDescent="0.4">
      <c r="D43" s="39"/>
      <c r="E43" s="47"/>
      <c r="F43" s="47"/>
    </row>
    <row r="44" spans="4:6" ht="14.5" customHeight="1" thickBot="1" x14ac:dyDescent="0.4">
      <c r="D44" s="296" t="s">
        <v>298</v>
      </c>
      <c r="E44" s="297"/>
      <c r="F44" s="110" t="s">
        <v>156</v>
      </c>
    </row>
    <row r="45" spans="4:6" ht="33.65" customHeight="1" thickBot="1" x14ac:dyDescent="0.4">
      <c r="D45" s="183" t="s">
        <v>299</v>
      </c>
      <c r="E45" s="184"/>
      <c r="F45" s="185"/>
    </row>
    <row r="46" spans="4:6" ht="26.15" customHeight="1" thickBot="1" x14ac:dyDescent="0.4">
      <c r="D46" s="183" t="s">
        <v>157</v>
      </c>
      <c r="E46" s="184"/>
      <c r="F46" s="185"/>
    </row>
    <row r="47" spans="4:6" ht="26.15" customHeight="1" thickBot="1" x14ac:dyDescent="0.4">
      <c r="D47" s="19"/>
      <c r="E47" s="19"/>
      <c r="F47" s="19"/>
    </row>
    <row r="48" spans="4:6" ht="14.5" customHeight="1" thickBot="1" x14ac:dyDescent="0.4">
      <c r="D48" s="237" t="s">
        <v>300</v>
      </c>
      <c r="E48" s="239" t="s">
        <v>155</v>
      </c>
      <c r="F48" s="112" t="s">
        <v>155</v>
      </c>
    </row>
    <row r="49" spans="4:6" ht="14.5" customHeight="1" thickBot="1" x14ac:dyDescent="0.4">
      <c r="D49" s="39"/>
      <c r="E49" s="47"/>
      <c r="F49" s="47"/>
    </row>
    <row r="50" spans="4:6" ht="14.5" customHeight="1" thickBot="1" x14ac:dyDescent="0.4">
      <c r="D50" s="237" t="s">
        <v>169</v>
      </c>
      <c r="E50" s="238"/>
      <c r="F50" s="239"/>
    </row>
    <row r="51" spans="4:6" ht="69.650000000000006" customHeight="1" thickBot="1" x14ac:dyDescent="0.4">
      <c r="D51" s="285" t="s">
        <v>520</v>
      </c>
      <c r="E51" s="286"/>
      <c r="F51" s="287"/>
    </row>
  </sheetData>
  <mergeCells count="24">
    <mergeCell ref="D41:F41"/>
    <mergeCell ref="D44:E44"/>
    <mergeCell ref="D45:F45"/>
    <mergeCell ref="D8:F8"/>
    <mergeCell ref="D14:F14"/>
    <mergeCell ref="D16:E16"/>
    <mergeCell ref="D17:F17"/>
    <mergeCell ref="D18:F18"/>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s>
  <conditionalFormatting sqref="F11 D14:F14 F16 D18:F18 F22 F27:F29 D32:F32 D35:F35 F39 D41:F41 F44 D46:F46 F48 D51:F51">
    <cfRule type="cellIs" dxfId="5"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53"/>
  <sheetViews>
    <sheetView topLeftCell="A92" zoomScale="70" zoomScaleNormal="70" workbookViewId="0">
      <selection activeCell="G102" sqref="G102"/>
    </sheetView>
  </sheetViews>
  <sheetFormatPr defaultColWidth="9.1796875" defaultRowHeight="14.5" customHeight="1" x14ac:dyDescent="0.35"/>
  <cols>
    <col min="1" max="3" width="9.1796875" style="16" customWidth="1"/>
    <col min="4" max="4" width="22.81640625" style="16" customWidth="1"/>
    <col min="5" max="5" width="71.7265625" style="16"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7"/>
      <c r="F5" s="17"/>
    </row>
    <row r="6" spans="4:8" ht="15" thickBot="1" x14ac:dyDescent="0.4">
      <c r="D6" s="319" t="s">
        <v>317</v>
      </c>
      <c r="E6" s="320"/>
      <c r="F6" s="320"/>
      <c r="G6" s="320"/>
      <c r="H6" s="321"/>
    </row>
    <row r="7" spans="4:8" x14ac:dyDescent="0.35">
      <c r="D7" s="19"/>
      <c r="E7" s="31"/>
      <c r="F7" s="17"/>
    </row>
    <row r="8" spans="4:8" x14ac:dyDescent="0.35">
      <c r="D8" s="17"/>
    </row>
    <row r="9" spans="4:8" ht="15" thickBot="1" x14ac:dyDescent="0.4"/>
    <row r="10" spans="4:8" ht="15" thickBot="1" x14ac:dyDescent="0.4">
      <c r="D10" s="32" t="s">
        <v>318</v>
      </c>
      <c r="E10" s="33" t="s">
        <v>152</v>
      </c>
      <c r="F10" s="34" t="s">
        <v>319</v>
      </c>
      <c r="G10" s="330" t="s">
        <v>320</v>
      </c>
      <c r="H10" s="331"/>
    </row>
    <row r="11" spans="4:8" ht="25" customHeight="1" x14ac:dyDescent="0.35">
      <c r="D11" s="303" t="s">
        <v>321</v>
      </c>
      <c r="E11" s="35" t="s">
        <v>322</v>
      </c>
      <c r="F11" s="305" t="s">
        <v>155</v>
      </c>
      <c r="G11" s="326" t="s">
        <v>511</v>
      </c>
      <c r="H11" s="327"/>
    </row>
    <row r="12" spans="4:8" ht="25" customHeight="1" thickBot="1" x14ac:dyDescent="0.4">
      <c r="D12" s="304"/>
      <c r="E12" s="36" t="s">
        <v>323</v>
      </c>
      <c r="F12" s="306"/>
      <c r="G12" s="328"/>
      <c r="H12" s="329"/>
    </row>
    <row r="13" spans="4:8" ht="25" customHeight="1" x14ac:dyDescent="0.35">
      <c r="D13" s="311" t="s">
        <v>324</v>
      </c>
      <c r="E13" s="30" t="s">
        <v>325</v>
      </c>
      <c r="F13" s="305" t="s">
        <v>155</v>
      </c>
      <c r="G13" s="326" t="s">
        <v>512</v>
      </c>
      <c r="H13" s="327"/>
    </row>
    <row r="14" spans="4:8" ht="25" customHeight="1" thickBot="1" x14ac:dyDescent="0.4">
      <c r="D14" s="312"/>
      <c r="E14" s="29" t="s">
        <v>326</v>
      </c>
      <c r="F14" s="306"/>
      <c r="G14" s="328"/>
      <c r="H14" s="329"/>
    </row>
    <row r="15" spans="4:8" ht="25" customHeight="1" x14ac:dyDescent="0.35">
      <c r="D15" s="311" t="s">
        <v>324</v>
      </c>
      <c r="E15" s="30" t="s">
        <v>327</v>
      </c>
      <c r="F15" s="305" t="s">
        <v>157</v>
      </c>
      <c r="G15" s="326" t="s">
        <v>473</v>
      </c>
      <c r="H15" s="327"/>
    </row>
    <row r="16" spans="4:8" ht="25" customHeight="1" x14ac:dyDescent="0.35">
      <c r="D16" s="313"/>
      <c r="E16" s="30" t="s">
        <v>328</v>
      </c>
      <c r="F16" s="314"/>
      <c r="G16" s="332"/>
      <c r="H16" s="333"/>
    </row>
    <row r="17" spans="4:8" ht="25" customHeight="1" thickBot="1" x14ac:dyDescent="0.4">
      <c r="D17" s="312"/>
      <c r="E17" s="29" t="s">
        <v>329</v>
      </c>
      <c r="F17" s="306"/>
      <c r="G17" s="328"/>
      <c r="H17" s="329"/>
    </row>
    <row r="18" spans="4:8" ht="46.5" customHeight="1" thickBot="1" x14ac:dyDescent="0.4">
      <c r="D18" s="104" t="s">
        <v>324</v>
      </c>
      <c r="E18" s="30" t="s">
        <v>330</v>
      </c>
      <c r="F18" s="135" t="s">
        <v>155</v>
      </c>
      <c r="G18" s="307" t="s">
        <v>513</v>
      </c>
      <c r="H18" s="308"/>
    </row>
    <row r="19" spans="4:8" ht="47.15" customHeight="1" thickBot="1" x14ac:dyDescent="0.4">
      <c r="D19" s="48"/>
      <c r="E19" s="49" t="s">
        <v>360</v>
      </c>
      <c r="F19" s="136"/>
      <c r="G19" s="307" t="s">
        <v>460</v>
      </c>
      <c r="H19" s="308"/>
    </row>
    <row r="20" spans="4:8" ht="13.75" customHeight="1" x14ac:dyDescent="0.35"/>
    <row r="21" spans="4:8" ht="13.75" customHeight="1" x14ac:dyDescent="0.35"/>
    <row r="22" spans="4:8" ht="13.75" customHeight="1" thickBot="1" x14ac:dyDescent="0.4">
      <c r="D22" s="15" t="s">
        <v>331</v>
      </c>
      <c r="E22"/>
      <c r="F22"/>
      <c r="G22"/>
    </row>
    <row r="23" spans="4:8" ht="13.75" customHeight="1" thickBot="1" x14ac:dyDescent="0.4">
      <c r="D23" s="32" t="s">
        <v>318</v>
      </c>
      <c r="E23" s="33" t="s">
        <v>152</v>
      </c>
      <c r="F23" s="50" t="s">
        <v>319</v>
      </c>
      <c r="G23" s="309" t="s">
        <v>320</v>
      </c>
      <c r="H23" s="310"/>
    </row>
    <row r="24" spans="4:8" ht="41.5" customHeight="1" thickBot="1" x14ac:dyDescent="0.4">
      <c r="D24" s="66" t="s">
        <v>332</v>
      </c>
      <c r="E24" s="36" t="s">
        <v>333</v>
      </c>
      <c r="F24" s="135" t="s">
        <v>156</v>
      </c>
      <c r="G24" s="307" t="s">
        <v>455</v>
      </c>
      <c r="H24" s="308"/>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334</v>
      </c>
      <c r="E33"/>
      <c r="F33"/>
      <c r="G33"/>
    </row>
    <row r="34" spans="4:8" ht="27.65" customHeight="1" thickBot="1" x14ac:dyDescent="0.4">
      <c r="D34" s="32" t="s">
        <v>318</v>
      </c>
      <c r="E34" s="33" t="s">
        <v>152</v>
      </c>
      <c r="F34" s="50" t="s">
        <v>319</v>
      </c>
      <c r="G34" s="309" t="s">
        <v>320</v>
      </c>
      <c r="H34" s="310"/>
    </row>
    <row r="35" spans="4:8" ht="37.5" customHeight="1" x14ac:dyDescent="0.35">
      <c r="D35" s="37" t="s">
        <v>335</v>
      </c>
      <c r="E35" s="35" t="s">
        <v>514</v>
      </c>
      <c r="F35" s="301" t="s">
        <v>155</v>
      </c>
      <c r="G35" s="322" t="s">
        <v>515</v>
      </c>
      <c r="H35" s="323"/>
    </row>
    <row r="36" spans="4:8" ht="14.5" customHeight="1" thickBot="1" x14ac:dyDescent="0.4">
      <c r="D36" s="38"/>
      <c r="E36" s="36" t="s">
        <v>336</v>
      </c>
      <c r="F36" s="302"/>
      <c r="G36" s="324"/>
      <c r="H36" s="325"/>
    </row>
    <row r="37" spans="4:8" ht="25" customHeight="1" x14ac:dyDescent="0.35">
      <c r="D37" s="37" t="s">
        <v>337</v>
      </c>
      <c r="E37" s="35" t="s">
        <v>338</v>
      </c>
      <c r="F37" s="301" t="s">
        <v>156</v>
      </c>
      <c r="G37" s="322" t="s">
        <v>486</v>
      </c>
      <c r="H37" s="323"/>
    </row>
    <row r="38" spans="4:8" ht="25" customHeight="1" thickBot="1" x14ac:dyDescent="0.4">
      <c r="D38" s="38"/>
      <c r="E38" s="36" t="s">
        <v>339</v>
      </c>
      <c r="F38" s="302"/>
      <c r="G38" s="324"/>
      <c r="H38" s="325"/>
    </row>
    <row r="39" spans="4:8" ht="25" customHeight="1" x14ac:dyDescent="0.35">
      <c r="D39" s="37" t="s">
        <v>340</v>
      </c>
      <c r="E39" s="35" t="s">
        <v>341</v>
      </c>
      <c r="F39" s="301" t="s">
        <v>156</v>
      </c>
      <c r="G39" s="322" t="s">
        <v>486</v>
      </c>
      <c r="H39" s="323"/>
    </row>
    <row r="40" spans="4:8" ht="25" customHeight="1" thickBot="1" x14ac:dyDescent="0.4">
      <c r="D40" s="38"/>
      <c r="E40" s="36" t="s">
        <v>342</v>
      </c>
      <c r="F40" s="302"/>
      <c r="G40" s="324"/>
      <c r="H40" s="325"/>
    </row>
    <row r="41" spans="4:8" ht="25" customHeight="1" x14ac:dyDescent="0.35"/>
    <row r="42" spans="4:8" ht="25" hidden="1" customHeight="1" thickBot="1" x14ac:dyDescent="0.4">
      <c r="D42" s="15" t="s">
        <v>384</v>
      </c>
      <c r="E42"/>
      <c r="F42"/>
      <c r="G42"/>
    </row>
    <row r="43" spans="4:8" ht="25" hidden="1" customHeight="1" thickBot="1" x14ac:dyDescent="0.4">
      <c r="D43" s="86" t="s">
        <v>318</v>
      </c>
      <c r="E43" s="87" t="s">
        <v>152</v>
      </c>
      <c r="F43" s="88" t="s">
        <v>303</v>
      </c>
      <c r="G43" s="334" t="s">
        <v>320</v>
      </c>
      <c r="H43" s="335"/>
    </row>
    <row r="44" spans="4:8" ht="35.15" hidden="1" customHeight="1" x14ac:dyDescent="0.35">
      <c r="D44" s="336"/>
      <c r="E44" s="338" t="s">
        <v>514</v>
      </c>
      <c r="F44" s="336"/>
      <c r="G44" s="340"/>
      <c r="H44" s="341"/>
    </row>
    <row r="45" spans="4:8" ht="14.5" hidden="1" customHeight="1" thickBot="1" x14ac:dyDescent="0.4">
      <c r="D45" s="337"/>
      <c r="E45" s="339"/>
      <c r="F45" s="337"/>
      <c r="G45" s="342"/>
      <c r="H45" s="343"/>
    </row>
    <row r="46" spans="4:8" ht="14.5" hidden="1" customHeight="1" thickBot="1" x14ac:dyDescent="0.4">
      <c r="D46" s="85"/>
    </row>
    <row r="47" spans="4:8" ht="14.5" hidden="1" customHeight="1" thickBot="1" x14ac:dyDescent="0.4">
      <c r="D47" s="32"/>
      <c r="E47" s="34"/>
      <c r="F47" s="50"/>
      <c r="G47" s="309"/>
      <c r="H47" s="310"/>
    </row>
    <row r="48" spans="4:8" ht="25" hidden="1" customHeight="1" thickBot="1" x14ac:dyDescent="0.4">
      <c r="D48" s="28"/>
      <c r="E48" s="29"/>
      <c r="F48" s="137"/>
      <c r="G48" s="315"/>
      <c r="H48" s="316"/>
    </row>
    <row r="49" spans="4:8" ht="25" hidden="1" customHeight="1" thickBot="1" x14ac:dyDescent="0.4">
      <c r="D49" s="28"/>
      <c r="E49" s="29"/>
      <c r="F49" s="137"/>
      <c r="G49" s="315"/>
      <c r="H49" s="316"/>
    </row>
    <row r="50" spans="4:8" ht="25" hidden="1" customHeight="1" thickBot="1" x14ac:dyDescent="0.4">
      <c r="D50" s="28"/>
      <c r="E50" s="29"/>
      <c r="F50" s="137"/>
      <c r="G50" s="315"/>
      <c r="H50" s="316"/>
    </row>
    <row r="51" spans="4:8" ht="25" hidden="1" customHeight="1" thickBot="1" x14ac:dyDescent="0.4">
      <c r="D51" s="28"/>
      <c r="E51" s="29"/>
      <c r="F51" s="137"/>
      <c r="G51" s="315"/>
      <c r="H51" s="316"/>
    </row>
    <row r="52" spans="4:8" ht="21.5" hidden="1" customHeight="1" thickBot="1" x14ac:dyDescent="0.4">
      <c r="D52" s="28"/>
      <c r="E52" s="29"/>
      <c r="F52" s="137"/>
      <c r="G52" s="315"/>
      <c r="H52" s="316"/>
    </row>
    <row r="53" spans="4:8" ht="20.149999999999999" hidden="1" customHeight="1" thickBot="1" x14ac:dyDescent="0.4">
      <c r="D53" s="28" t="s">
        <v>343</v>
      </c>
      <c r="E53" s="29" t="s">
        <v>344</v>
      </c>
      <c r="F53" s="29"/>
      <c r="G53" s="317"/>
      <c r="H53" s="318"/>
    </row>
  </sheetData>
  <mergeCells count="34">
    <mergeCell ref="G43:H43"/>
    <mergeCell ref="F44:F45"/>
    <mergeCell ref="E44:E45"/>
    <mergeCell ref="D44:D45"/>
    <mergeCell ref="G44:H45"/>
    <mergeCell ref="G52:H52"/>
    <mergeCell ref="G53:H53"/>
    <mergeCell ref="D6:H6"/>
    <mergeCell ref="G48:H48"/>
    <mergeCell ref="G47:H47"/>
    <mergeCell ref="G49:H49"/>
    <mergeCell ref="G50:H50"/>
    <mergeCell ref="G51:H51"/>
    <mergeCell ref="G34:H34"/>
    <mergeCell ref="G35:H36"/>
    <mergeCell ref="G37:H38"/>
    <mergeCell ref="G39:H40"/>
    <mergeCell ref="G11:H12"/>
    <mergeCell ref="G13:H14"/>
    <mergeCell ref="G10:H10"/>
    <mergeCell ref="G15:H17"/>
    <mergeCell ref="F39:F40"/>
    <mergeCell ref="D11:D12"/>
    <mergeCell ref="F11:F12"/>
    <mergeCell ref="G24:H24"/>
    <mergeCell ref="G23:H23"/>
    <mergeCell ref="G18:H18"/>
    <mergeCell ref="F35:F36"/>
    <mergeCell ref="F37:F38"/>
    <mergeCell ref="D13:D14"/>
    <mergeCell ref="F13:F14"/>
    <mergeCell ref="D15:D17"/>
    <mergeCell ref="F15:F17"/>
    <mergeCell ref="G19:H19"/>
  </mergeCells>
  <conditionalFormatting sqref="F24:H24 F11:H11 F35:H35 G36:H40 F15:H15 G12:H14 G16:H19 F13 F37 F39 F48:H53">
    <cfRule type="cellIs" dxfId="4" priority="2" operator="equal">
      <formula>$C$4</formula>
    </cfRule>
  </conditionalFormatting>
  <conditionalFormatting sqref="F18">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 F24 F35:F40 F48:F52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O65"/>
  <sheetViews>
    <sheetView showGridLines="0" tabSelected="1" workbookViewId="0">
      <selection activeCell="B1" sqref="B1"/>
    </sheetView>
  </sheetViews>
  <sheetFormatPr defaultColWidth="9.1796875" defaultRowHeight="14.5" customHeight="1" x14ac:dyDescent="0.3"/>
  <cols>
    <col min="1" max="1" width="9.1796875" style="19" customWidth="1"/>
    <col min="2" max="11" width="9.1796875" style="138" customWidth="1"/>
    <col min="12" max="12" width="11.81640625" style="138" customWidth="1"/>
    <col min="13" max="13" width="5.81640625" style="138" customWidth="1"/>
    <col min="14" max="14" width="51.7265625" style="138" customWidth="1"/>
    <col min="15" max="15" width="12.26953125" style="138" customWidth="1"/>
    <col min="16" max="16" width="12.81640625" style="19" customWidth="1"/>
    <col min="17" max="19" width="9.1796875" style="19" customWidth="1"/>
    <col min="20" max="16384" width="9.1796875" style="19"/>
  </cols>
  <sheetData>
    <row r="1" spans="1:13" ht="13" x14ac:dyDescent="0.3"/>
    <row r="2" spans="1:13" ht="13" x14ac:dyDescent="0.3">
      <c r="B2" s="350" t="s">
        <v>415</v>
      </c>
      <c r="C2" s="350"/>
      <c r="D2" s="350"/>
      <c r="E2" s="350"/>
      <c r="F2" s="350"/>
      <c r="G2" s="350"/>
      <c r="H2" s="350"/>
      <c r="I2" s="350"/>
      <c r="J2" s="350"/>
      <c r="K2" s="350"/>
      <c r="L2" s="350"/>
      <c r="M2" s="350"/>
    </row>
    <row r="3" spans="1:13" ht="13" x14ac:dyDescent="0.3">
      <c r="B3" s="346"/>
      <c r="C3" s="346"/>
      <c r="D3" s="346"/>
      <c r="E3" s="346"/>
      <c r="F3" s="346"/>
      <c r="G3" s="346"/>
      <c r="H3" s="346"/>
      <c r="I3" s="346"/>
      <c r="J3" s="346"/>
      <c r="K3" s="346"/>
      <c r="L3" s="346"/>
      <c r="M3" s="346"/>
    </row>
    <row r="4" spans="1:13" ht="13" x14ac:dyDescent="0.3">
      <c r="A4" s="19">
        <v>1</v>
      </c>
      <c r="B4" s="344" t="s">
        <v>416</v>
      </c>
      <c r="C4" s="344"/>
      <c r="D4" s="344"/>
      <c r="E4" s="344"/>
      <c r="F4" s="344"/>
      <c r="G4" s="344"/>
      <c r="H4" s="344"/>
      <c r="I4" s="344"/>
      <c r="J4" s="344"/>
      <c r="K4" s="344"/>
      <c r="L4" s="344"/>
      <c r="M4" s="344"/>
    </row>
    <row r="5" spans="1:13" ht="50.5" customHeight="1" x14ac:dyDescent="0.3">
      <c r="B5" s="345" t="s">
        <v>502</v>
      </c>
      <c r="C5" s="346"/>
      <c r="D5" s="346"/>
      <c r="E5" s="346"/>
      <c r="F5" s="346"/>
      <c r="G5" s="346"/>
      <c r="H5" s="346"/>
      <c r="I5" s="346"/>
      <c r="J5" s="346"/>
      <c r="K5" s="346"/>
      <c r="L5" s="346"/>
      <c r="M5" s="346"/>
    </row>
    <row r="6" spans="1:13" ht="57.5" customHeight="1" x14ac:dyDescent="0.3">
      <c r="B6" s="345" t="s">
        <v>417</v>
      </c>
      <c r="C6" s="346"/>
      <c r="D6" s="346"/>
      <c r="E6" s="346"/>
      <c r="F6" s="346"/>
      <c r="G6" s="346"/>
      <c r="H6" s="346"/>
      <c r="I6" s="346"/>
      <c r="J6" s="346"/>
      <c r="K6" s="346"/>
      <c r="L6" s="346"/>
      <c r="M6" s="346"/>
    </row>
    <row r="7" spans="1:13" ht="13" x14ac:dyDescent="0.3">
      <c r="B7" s="344" t="s">
        <v>418</v>
      </c>
      <c r="C7" s="344"/>
      <c r="D7" s="344"/>
      <c r="E7" s="344"/>
      <c r="F7" s="344"/>
      <c r="G7" s="344"/>
      <c r="H7" s="344"/>
      <c r="I7" s="344"/>
      <c r="J7" s="344"/>
      <c r="K7" s="344"/>
      <c r="L7" s="344"/>
      <c r="M7" s="344"/>
    </row>
    <row r="8" spans="1:13" ht="33.5" customHeight="1" x14ac:dyDescent="0.3">
      <c r="B8" s="345" t="s">
        <v>419</v>
      </c>
      <c r="C8" s="346"/>
      <c r="D8" s="346"/>
      <c r="E8" s="346"/>
      <c r="F8" s="346"/>
      <c r="G8" s="346"/>
      <c r="H8" s="346"/>
      <c r="I8" s="346"/>
      <c r="J8" s="346"/>
      <c r="K8" s="346"/>
      <c r="L8" s="346"/>
      <c r="M8" s="346"/>
    </row>
    <row r="9" spans="1:13" ht="13" x14ac:dyDescent="0.3">
      <c r="B9" s="346"/>
      <c r="C9" s="346"/>
      <c r="D9" s="346"/>
      <c r="E9" s="346"/>
      <c r="F9" s="346"/>
      <c r="G9" s="346"/>
      <c r="H9" s="346"/>
      <c r="I9" s="346"/>
      <c r="J9" s="346"/>
      <c r="K9" s="346"/>
      <c r="L9" s="346"/>
      <c r="M9" s="346"/>
    </row>
    <row r="10" spans="1:13" ht="13" x14ac:dyDescent="0.3">
      <c r="A10" s="19">
        <v>2</v>
      </c>
      <c r="B10" s="344" t="s">
        <v>420</v>
      </c>
      <c r="C10" s="344"/>
      <c r="D10" s="344"/>
      <c r="E10" s="344"/>
      <c r="F10" s="344"/>
      <c r="G10" s="344"/>
      <c r="H10" s="344"/>
      <c r="I10" s="344"/>
      <c r="J10" s="344"/>
      <c r="K10" s="344"/>
      <c r="L10" s="344"/>
      <c r="M10" s="344"/>
    </row>
    <row r="11" spans="1:13" ht="13" x14ac:dyDescent="0.3">
      <c r="B11" s="346" t="s">
        <v>421</v>
      </c>
      <c r="C11" s="346"/>
      <c r="D11" s="346"/>
      <c r="E11" s="346"/>
      <c r="F11" s="346"/>
      <c r="G11" s="346"/>
      <c r="H11" s="346"/>
      <c r="I11" s="346"/>
      <c r="J11" s="346"/>
      <c r="K11" s="346"/>
      <c r="L11" s="346"/>
      <c r="M11" s="346"/>
    </row>
    <row r="12" spans="1:13" ht="27" customHeight="1" x14ac:dyDescent="0.3">
      <c r="B12" s="345" t="s">
        <v>422</v>
      </c>
      <c r="C12" s="345"/>
      <c r="D12" s="345"/>
      <c r="E12" s="345"/>
      <c r="F12" s="345"/>
      <c r="G12" s="345"/>
      <c r="H12" s="345"/>
      <c r="I12" s="345"/>
      <c r="J12" s="345"/>
      <c r="K12" s="345"/>
      <c r="L12" s="345"/>
      <c r="M12" s="345"/>
    </row>
    <row r="13" spans="1:13" ht="7" customHeight="1" x14ac:dyDescent="0.3">
      <c r="B13" s="344"/>
      <c r="C13" s="344"/>
      <c r="D13" s="344"/>
      <c r="E13" s="344"/>
      <c r="F13" s="344"/>
      <c r="G13" s="344"/>
      <c r="H13" s="344"/>
      <c r="I13" s="344"/>
      <c r="J13" s="344"/>
      <c r="K13" s="344"/>
      <c r="L13" s="344"/>
      <c r="M13" s="344"/>
    </row>
    <row r="14" spans="1:13" ht="13" x14ac:dyDescent="0.3">
      <c r="B14" s="344" t="s">
        <v>169</v>
      </c>
      <c r="C14" s="344"/>
      <c r="D14" s="344"/>
      <c r="E14" s="344"/>
      <c r="F14" s="344"/>
      <c r="G14" s="344"/>
      <c r="H14" s="344"/>
      <c r="I14" s="344"/>
      <c r="J14" s="344"/>
      <c r="K14" s="344"/>
      <c r="L14" s="344"/>
      <c r="M14" s="344"/>
    </row>
    <row r="15" spans="1:13" ht="13.75" customHeight="1" x14ac:dyDescent="0.3">
      <c r="B15" s="346" t="s">
        <v>426</v>
      </c>
      <c r="C15" s="346"/>
      <c r="D15" s="346"/>
      <c r="E15" s="346"/>
      <c r="F15" s="346"/>
      <c r="G15" s="346"/>
      <c r="H15" s="346"/>
      <c r="I15" s="346"/>
      <c r="J15" s="346"/>
      <c r="K15" s="346"/>
      <c r="L15" s="346"/>
      <c r="M15" s="346"/>
    </row>
    <row r="16" spans="1:13" ht="28.5" customHeight="1" x14ac:dyDescent="0.3">
      <c r="B16" s="345" t="s">
        <v>423</v>
      </c>
      <c r="C16" s="345"/>
      <c r="D16" s="345"/>
      <c r="E16" s="345"/>
      <c r="F16" s="345"/>
      <c r="G16" s="345"/>
      <c r="H16" s="345"/>
      <c r="I16" s="345"/>
      <c r="J16" s="345"/>
      <c r="K16" s="345"/>
      <c r="L16" s="345"/>
      <c r="M16" s="345"/>
    </row>
    <row r="17" spans="1:13" ht="13.75" customHeight="1" x14ac:dyDescent="0.3">
      <c r="B17" s="346"/>
      <c r="C17" s="346"/>
      <c r="D17" s="346"/>
      <c r="E17" s="346"/>
      <c r="F17" s="346"/>
      <c r="G17" s="346"/>
      <c r="H17" s="346"/>
      <c r="I17" s="346"/>
      <c r="J17" s="346"/>
      <c r="K17" s="346"/>
      <c r="L17" s="346"/>
      <c r="M17" s="346"/>
    </row>
    <row r="18" spans="1:13" ht="13.75" customHeight="1" x14ac:dyDescent="0.3">
      <c r="A18" s="19">
        <v>3</v>
      </c>
      <c r="B18" s="344" t="s">
        <v>424</v>
      </c>
      <c r="C18" s="344"/>
      <c r="D18" s="344"/>
      <c r="E18" s="344"/>
      <c r="F18" s="344"/>
      <c r="G18" s="344"/>
      <c r="H18" s="344"/>
      <c r="I18" s="344"/>
      <c r="J18" s="344"/>
      <c r="K18" s="344"/>
      <c r="L18" s="344"/>
      <c r="M18" s="344"/>
    </row>
    <row r="19" spans="1:13" ht="13.75" customHeight="1" x14ac:dyDescent="0.3">
      <c r="B19" s="346" t="s">
        <v>425</v>
      </c>
      <c r="C19" s="346"/>
      <c r="D19" s="346"/>
      <c r="E19" s="346"/>
      <c r="F19" s="346"/>
      <c r="G19" s="346"/>
      <c r="H19" s="346"/>
      <c r="I19" s="346"/>
      <c r="J19" s="346"/>
      <c r="K19" s="346"/>
      <c r="L19" s="346"/>
      <c r="M19" s="346"/>
    </row>
    <row r="20" spans="1:13" ht="13.75" customHeight="1" x14ac:dyDescent="0.3">
      <c r="B20" s="346" t="s">
        <v>427</v>
      </c>
      <c r="C20" s="346"/>
      <c r="D20" s="346"/>
      <c r="E20" s="346"/>
      <c r="F20" s="346"/>
      <c r="G20" s="346"/>
      <c r="H20" s="346"/>
      <c r="I20" s="346"/>
      <c r="J20" s="346"/>
      <c r="K20" s="346"/>
      <c r="L20" s="346"/>
      <c r="M20" s="346"/>
    </row>
    <row r="21" spans="1:13" ht="13.75" customHeight="1" x14ac:dyDescent="0.3">
      <c r="B21" s="346"/>
      <c r="C21" s="346"/>
      <c r="D21" s="346"/>
      <c r="E21" s="346"/>
      <c r="F21" s="346"/>
      <c r="G21" s="346"/>
      <c r="H21" s="346"/>
      <c r="I21" s="346"/>
      <c r="J21" s="346"/>
      <c r="K21" s="346"/>
      <c r="L21" s="346"/>
      <c r="M21" s="346"/>
    </row>
    <row r="22" spans="1:13" ht="13.75" customHeight="1" x14ac:dyDescent="0.3">
      <c r="A22" s="19">
        <v>4</v>
      </c>
      <c r="B22" s="20" t="s">
        <v>428</v>
      </c>
      <c r="C22" s="19"/>
      <c r="D22" s="19"/>
      <c r="E22" s="19"/>
      <c r="F22" s="19"/>
      <c r="G22" s="19"/>
      <c r="H22" s="19"/>
      <c r="I22" s="19"/>
      <c r="J22" s="19"/>
      <c r="K22" s="19"/>
      <c r="L22" s="19"/>
      <c r="M22" s="19"/>
    </row>
    <row r="23" spans="1:13" ht="38.5" customHeight="1" x14ac:dyDescent="0.3">
      <c r="B23" s="345" t="s">
        <v>503</v>
      </c>
      <c r="C23" s="345"/>
      <c r="D23" s="345"/>
      <c r="E23" s="345"/>
      <c r="F23" s="345"/>
      <c r="G23" s="345"/>
      <c r="H23" s="345"/>
      <c r="I23" s="345"/>
      <c r="J23" s="345"/>
      <c r="K23" s="345"/>
      <c r="L23" s="345"/>
      <c r="M23" s="345"/>
    </row>
    <row r="24" spans="1:13" ht="35.5" customHeight="1" x14ac:dyDescent="0.3">
      <c r="B24" s="345" t="s">
        <v>497</v>
      </c>
      <c r="C24" s="345"/>
      <c r="D24" s="345"/>
      <c r="E24" s="345"/>
      <c r="F24" s="345"/>
      <c r="G24" s="345"/>
      <c r="H24" s="345"/>
      <c r="I24" s="345"/>
      <c r="J24" s="345"/>
      <c r="K24" s="345"/>
      <c r="L24" s="345"/>
      <c r="M24" s="345"/>
    </row>
    <row r="25" spans="1:13" ht="13" x14ac:dyDescent="0.3">
      <c r="B25" s="344" t="s">
        <v>169</v>
      </c>
      <c r="C25" s="344"/>
      <c r="D25" s="344"/>
      <c r="E25" s="344"/>
      <c r="F25" s="344"/>
      <c r="G25" s="344"/>
      <c r="H25" s="344"/>
      <c r="I25" s="344"/>
      <c r="J25" s="344"/>
      <c r="K25" s="344"/>
      <c r="L25" s="344"/>
      <c r="M25" s="344"/>
    </row>
    <row r="26" spans="1:13" ht="31.5" customHeight="1" x14ac:dyDescent="0.3">
      <c r="B26" s="345" t="s">
        <v>498</v>
      </c>
      <c r="C26" s="345"/>
      <c r="D26" s="345"/>
      <c r="E26" s="345"/>
      <c r="F26" s="345"/>
      <c r="G26" s="345"/>
      <c r="H26" s="345"/>
      <c r="I26" s="345"/>
      <c r="J26" s="345"/>
      <c r="K26" s="345"/>
      <c r="L26" s="345"/>
      <c r="M26" s="345"/>
    </row>
    <row r="27" spans="1:13" ht="45" customHeight="1" x14ac:dyDescent="0.3">
      <c r="B27" s="345" t="s">
        <v>442</v>
      </c>
      <c r="C27" s="345"/>
      <c r="D27" s="345"/>
      <c r="E27" s="345"/>
      <c r="F27" s="345"/>
      <c r="G27" s="345"/>
      <c r="H27" s="345"/>
      <c r="I27" s="345"/>
      <c r="J27" s="345"/>
      <c r="K27" s="345"/>
      <c r="L27" s="345"/>
      <c r="M27" s="345"/>
    </row>
    <row r="28" spans="1:13" ht="162" customHeight="1" x14ac:dyDescent="0.3">
      <c r="B28" s="345" t="s">
        <v>467</v>
      </c>
      <c r="C28" s="345"/>
      <c r="D28" s="345"/>
      <c r="E28" s="345"/>
      <c r="F28" s="345"/>
      <c r="G28" s="345"/>
      <c r="H28" s="345"/>
      <c r="I28" s="345"/>
      <c r="J28" s="345"/>
      <c r="K28" s="345"/>
      <c r="L28" s="345"/>
      <c r="M28" s="345"/>
    </row>
    <row r="29" spans="1:13" ht="26.5" customHeight="1" x14ac:dyDescent="0.3">
      <c r="B29" s="345" t="s">
        <v>504</v>
      </c>
      <c r="C29" s="345"/>
      <c r="D29" s="345"/>
      <c r="E29" s="345"/>
      <c r="F29" s="345"/>
      <c r="G29" s="345"/>
      <c r="H29" s="345"/>
      <c r="I29" s="345"/>
      <c r="J29" s="345"/>
      <c r="K29" s="345"/>
      <c r="L29" s="345"/>
      <c r="M29" s="345"/>
    </row>
    <row r="30" spans="1:13" ht="13" x14ac:dyDescent="0.3">
      <c r="A30" s="19">
        <v>5</v>
      </c>
      <c r="B30" s="344" t="s">
        <v>429</v>
      </c>
      <c r="C30" s="344"/>
      <c r="D30" s="344"/>
      <c r="E30" s="344"/>
      <c r="F30" s="344"/>
      <c r="G30" s="344"/>
      <c r="H30" s="344"/>
      <c r="I30" s="344"/>
      <c r="J30" s="344"/>
      <c r="K30" s="344"/>
      <c r="L30" s="344"/>
      <c r="M30" s="344"/>
    </row>
    <row r="31" spans="1:13" ht="13" x14ac:dyDescent="0.3">
      <c r="B31" s="344" t="s">
        <v>169</v>
      </c>
      <c r="C31" s="344"/>
      <c r="D31" s="344"/>
      <c r="E31" s="344"/>
      <c r="F31" s="344"/>
      <c r="G31" s="344"/>
      <c r="H31" s="344"/>
      <c r="I31" s="344"/>
      <c r="J31" s="344"/>
      <c r="K31" s="344"/>
      <c r="L31" s="344"/>
      <c r="M31" s="344"/>
    </row>
    <row r="32" spans="1:13" ht="31" customHeight="1" x14ac:dyDescent="0.3">
      <c r="B32" s="345" t="s">
        <v>430</v>
      </c>
      <c r="C32" s="345"/>
      <c r="D32" s="345"/>
      <c r="E32" s="345"/>
      <c r="F32" s="345"/>
      <c r="G32" s="345"/>
      <c r="H32" s="345"/>
      <c r="I32" s="345"/>
      <c r="J32" s="345"/>
      <c r="K32" s="345"/>
      <c r="L32" s="345"/>
      <c r="M32" s="345"/>
    </row>
    <row r="33" spans="1:13" ht="31.5" customHeight="1" x14ac:dyDescent="0.3">
      <c r="B33" s="345" t="s">
        <v>443</v>
      </c>
      <c r="C33" s="345"/>
      <c r="D33" s="345"/>
      <c r="E33" s="345"/>
      <c r="F33" s="345"/>
      <c r="G33" s="345"/>
      <c r="H33" s="345"/>
      <c r="I33" s="345"/>
      <c r="J33" s="345"/>
      <c r="K33" s="345"/>
      <c r="L33" s="345"/>
      <c r="M33" s="345"/>
    </row>
    <row r="34" spans="1:13" ht="19.5" customHeight="1" x14ac:dyDescent="0.3">
      <c r="B34" s="345" t="s">
        <v>505</v>
      </c>
      <c r="C34" s="345"/>
      <c r="D34" s="345"/>
      <c r="E34" s="345"/>
      <c r="F34" s="345"/>
      <c r="G34" s="345"/>
      <c r="H34" s="345"/>
      <c r="I34" s="345"/>
      <c r="J34" s="345"/>
      <c r="K34" s="345"/>
      <c r="L34" s="345"/>
      <c r="M34" s="345"/>
    </row>
    <row r="35" spans="1:13" ht="13" x14ac:dyDescent="0.3">
      <c r="B35" s="139"/>
      <c r="C35" s="139"/>
      <c r="D35" s="139"/>
      <c r="E35" s="139"/>
      <c r="F35" s="139"/>
      <c r="G35" s="139"/>
      <c r="H35" s="139"/>
      <c r="I35" s="139"/>
      <c r="J35" s="139"/>
      <c r="K35" s="139"/>
      <c r="L35" s="139"/>
      <c r="M35" s="139"/>
    </row>
    <row r="36" spans="1:13" ht="13" x14ac:dyDescent="0.3">
      <c r="A36" s="19">
        <v>6</v>
      </c>
      <c r="B36" s="344" t="s">
        <v>431</v>
      </c>
      <c r="C36" s="344"/>
      <c r="D36" s="344"/>
      <c r="E36" s="344"/>
      <c r="F36" s="344"/>
      <c r="G36" s="344"/>
      <c r="H36" s="344"/>
      <c r="I36" s="344"/>
      <c r="J36" s="344"/>
      <c r="K36" s="344"/>
      <c r="L36" s="344"/>
      <c r="M36" s="344"/>
    </row>
    <row r="37" spans="1:13" ht="14.5" customHeight="1" x14ac:dyDescent="0.3">
      <c r="B37" s="344" t="s">
        <v>169</v>
      </c>
      <c r="C37" s="344"/>
      <c r="D37" s="344"/>
      <c r="E37" s="344"/>
      <c r="F37" s="344"/>
      <c r="G37" s="344"/>
      <c r="H37" s="344"/>
      <c r="I37" s="344"/>
      <c r="J37" s="344"/>
      <c r="K37" s="344"/>
      <c r="L37" s="344"/>
      <c r="M37" s="344"/>
    </row>
    <row r="38" spans="1:13" ht="13" x14ac:dyDescent="0.3">
      <c r="B38" s="345" t="s">
        <v>432</v>
      </c>
      <c r="C38" s="345"/>
      <c r="D38" s="345"/>
      <c r="E38" s="345"/>
      <c r="F38" s="345"/>
      <c r="G38" s="345"/>
      <c r="H38" s="345"/>
      <c r="I38" s="345"/>
      <c r="J38" s="345"/>
      <c r="K38" s="345"/>
      <c r="L38" s="345"/>
      <c r="M38" s="345"/>
    </row>
    <row r="39" spans="1:13" ht="13" x14ac:dyDescent="0.3">
      <c r="B39" s="346"/>
      <c r="C39" s="346"/>
      <c r="D39" s="346"/>
      <c r="E39" s="346"/>
      <c r="F39" s="346"/>
      <c r="G39" s="346"/>
      <c r="H39" s="346"/>
      <c r="I39" s="346"/>
      <c r="J39" s="346"/>
      <c r="K39" s="346"/>
      <c r="L39" s="346"/>
      <c r="M39" s="346"/>
    </row>
    <row r="40" spans="1:13" ht="13" x14ac:dyDescent="0.3">
      <c r="A40" s="19">
        <v>7</v>
      </c>
      <c r="B40" s="344" t="s">
        <v>491</v>
      </c>
      <c r="C40" s="344"/>
      <c r="D40" s="344"/>
      <c r="E40" s="344"/>
      <c r="F40" s="344"/>
      <c r="G40" s="344"/>
      <c r="H40" s="344"/>
      <c r="I40" s="344"/>
      <c r="J40" s="344"/>
      <c r="K40" s="344"/>
      <c r="L40" s="344"/>
      <c r="M40" s="344"/>
    </row>
    <row r="41" spans="1:13" ht="17" customHeight="1" x14ac:dyDescent="0.3">
      <c r="B41" s="345" t="s">
        <v>492</v>
      </c>
      <c r="C41" s="345"/>
      <c r="D41" s="345"/>
      <c r="E41" s="345"/>
      <c r="F41" s="345"/>
      <c r="G41" s="345"/>
      <c r="H41" s="345"/>
      <c r="I41" s="345"/>
      <c r="J41" s="345"/>
      <c r="K41" s="345"/>
      <c r="L41" s="345"/>
      <c r="M41" s="345"/>
    </row>
    <row r="42" spans="1:13" ht="13" x14ac:dyDescent="0.3"/>
    <row r="43" spans="1:13" ht="14.5" customHeight="1" x14ac:dyDescent="0.3">
      <c r="A43" s="19">
        <v>8</v>
      </c>
      <c r="B43" s="344" t="s">
        <v>506</v>
      </c>
      <c r="C43" s="344"/>
      <c r="D43" s="344"/>
      <c r="E43" s="344"/>
      <c r="F43" s="344"/>
      <c r="G43" s="344"/>
      <c r="H43" s="344"/>
      <c r="I43" s="344"/>
      <c r="J43" s="344"/>
      <c r="K43" s="344"/>
      <c r="L43" s="344"/>
      <c r="M43" s="344"/>
    </row>
    <row r="44" spans="1:13" ht="150" customHeight="1" x14ac:dyDescent="0.3">
      <c r="B44" s="345" t="s">
        <v>507</v>
      </c>
      <c r="C44" s="345"/>
      <c r="D44" s="345"/>
      <c r="E44" s="345"/>
      <c r="F44" s="345"/>
      <c r="G44" s="345"/>
      <c r="H44" s="345"/>
      <c r="I44" s="345"/>
      <c r="J44" s="345"/>
      <c r="K44" s="345"/>
      <c r="L44" s="345"/>
      <c r="M44" s="345"/>
    </row>
    <row r="45" spans="1:13" ht="113" customHeight="1" x14ac:dyDescent="0.3">
      <c r="B45" s="345" t="s">
        <v>508</v>
      </c>
      <c r="C45" s="345"/>
      <c r="D45" s="345"/>
      <c r="E45" s="345"/>
      <c r="F45" s="345"/>
      <c r="G45" s="345"/>
      <c r="H45" s="345"/>
      <c r="I45" s="345"/>
      <c r="J45" s="345"/>
      <c r="K45" s="345"/>
      <c r="L45" s="345"/>
      <c r="M45" s="345"/>
    </row>
    <row r="46" spans="1:13" ht="14.5" customHeight="1" x14ac:dyDescent="0.3">
      <c r="B46" s="344" t="s">
        <v>169</v>
      </c>
      <c r="C46" s="344"/>
      <c r="D46" s="344"/>
      <c r="E46" s="344"/>
      <c r="F46" s="344"/>
      <c r="G46" s="344"/>
      <c r="H46" s="344"/>
      <c r="I46" s="344"/>
      <c r="J46" s="344"/>
      <c r="K46" s="344"/>
      <c r="L46" s="344"/>
      <c r="M46" s="344"/>
    </row>
    <row r="47" spans="1:13" ht="65.5" customHeight="1" x14ac:dyDescent="0.3">
      <c r="B47" s="345" t="s">
        <v>509</v>
      </c>
      <c r="C47" s="345"/>
      <c r="D47" s="345"/>
      <c r="E47" s="345"/>
      <c r="F47" s="345"/>
      <c r="G47" s="345"/>
      <c r="H47" s="345"/>
      <c r="I47" s="345"/>
      <c r="J47" s="345"/>
      <c r="K47" s="345"/>
      <c r="L47" s="345"/>
      <c r="M47" s="345"/>
    </row>
    <row r="48" spans="1:13" ht="13" x14ac:dyDescent="0.3">
      <c r="B48" s="346"/>
      <c r="C48" s="346"/>
      <c r="D48" s="346"/>
      <c r="E48" s="346"/>
      <c r="F48" s="346"/>
      <c r="G48" s="346"/>
      <c r="H48" s="346"/>
      <c r="I48" s="346"/>
      <c r="J48" s="346"/>
      <c r="K48" s="346"/>
      <c r="L48" s="346"/>
      <c r="M48" s="346"/>
    </row>
    <row r="49" spans="1:13" ht="14.5" customHeight="1" x14ac:dyDescent="0.3">
      <c r="A49" s="19">
        <v>9</v>
      </c>
      <c r="B49" s="344" t="s">
        <v>444</v>
      </c>
      <c r="C49" s="344"/>
      <c r="D49" s="344"/>
      <c r="E49" s="344"/>
      <c r="F49" s="344"/>
      <c r="G49" s="344"/>
      <c r="H49" s="344"/>
      <c r="I49" s="344"/>
      <c r="J49" s="344"/>
      <c r="K49" s="344"/>
      <c r="L49" s="344"/>
      <c r="M49" s="344"/>
    </row>
    <row r="50" spans="1:13" ht="85.5" customHeight="1" x14ac:dyDescent="0.3">
      <c r="B50" s="345" t="s">
        <v>446</v>
      </c>
      <c r="C50" s="346"/>
      <c r="D50" s="346"/>
      <c r="E50" s="346"/>
      <c r="F50" s="346"/>
      <c r="G50" s="346"/>
      <c r="H50" s="346"/>
      <c r="I50" s="346"/>
      <c r="J50" s="346"/>
      <c r="K50" s="346"/>
      <c r="L50" s="346"/>
      <c r="M50" s="346"/>
    </row>
    <row r="51" spans="1:13" ht="13" x14ac:dyDescent="0.3">
      <c r="B51" s="344" t="s">
        <v>169</v>
      </c>
      <c r="C51" s="344"/>
      <c r="D51" s="344"/>
      <c r="E51" s="344"/>
      <c r="F51" s="344"/>
      <c r="G51" s="344"/>
      <c r="H51" s="344"/>
      <c r="I51" s="344"/>
      <c r="J51" s="344"/>
      <c r="K51" s="344"/>
      <c r="L51" s="344"/>
      <c r="M51" s="344"/>
    </row>
    <row r="52" spans="1:13" ht="44" customHeight="1" x14ac:dyDescent="0.3">
      <c r="B52" s="345" t="s">
        <v>447</v>
      </c>
      <c r="C52" s="346"/>
      <c r="D52" s="346"/>
      <c r="E52" s="346"/>
      <c r="F52" s="346"/>
      <c r="G52" s="346"/>
      <c r="H52" s="346"/>
      <c r="I52" s="346"/>
      <c r="J52" s="346"/>
      <c r="K52" s="346"/>
      <c r="L52" s="346"/>
      <c r="M52" s="346"/>
    </row>
    <row r="53" spans="1:13" ht="14.5" customHeight="1" x14ac:dyDescent="0.3">
      <c r="B53" s="346"/>
      <c r="C53" s="346"/>
      <c r="D53" s="346"/>
      <c r="E53" s="346"/>
      <c r="F53" s="346"/>
      <c r="G53" s="346"/>
      <c r="H53" s="346"/>
      <c r="I53" s="346"/>
      <c r="J53" s="346"/>
      <c r="K53" s="346"/>
      <c r="L53" s="346"/>
      <c r="M53" s="346"/>
    </row>
    <row r="54" spans="1:13" ht="14.5" customHeight="1" x14ac:dyDescent="0.3">
      <c r="A54" s="19">
        <v>10</v>
      </c>
      <c r="B54" s="344" t="s">
        <v>445</v>
      </c>
      <c r="C54" s="344"/>
      <c r="D54" s="344"/>
      <c r="E54" s="344"/>
      <c r="F54" s="344"/>
      <c r="G54" s="344"/>
      <c r="H54" s="344"/>
      <c r="I54" s="344"/>
      <c r="J54" s="344"/>
      <c r="K54" s="344"/>
      <c r="L54" s="344"/>
      <c r="M54" s="344"/>
    </row>
    <row r="55" spans="1:13" ht="119.5" customHeight="1" x14ac:dyDescent="0.3">
      <c r="B55" s="345" t="s">
        <v>510</v>
      </c>
      <c r="C55" s="346"/>
      <c r="D55" s="346"/>
      <c r="E55" s="346"/>
      <c r="F55" s="346"/>
      <c r="G55" s="346"/>
      <c r="H55" s="346"/>
      <c r="I55" s="346"/>
      <c r="J55" s="346"/>
      <c r="K55" s="346"/>
      <c r="L55" s="346"/>
      <c r="M55" s="346"/>
    </row>
    <row r="56" spans="1:13" ht="14.5" customHeight="1" x14ac:dyDescent="0.3">
      <c r="B56" s="346"/>
      <c r="C56" s="346"/>
      <c r="D56" s="346"/>
      <c r="E56" s="346"/>
      <c r="F56" s="346"/>
      <c r="G56" s="346"/>
      <c r="H56" s="346"/>
      <c r="I56" s="346"/>
      <c r="J56" s="346"/>
      <c r="K56" s="346"/>
      <c r="L56" s="346"/>
      <c r="M56" s="346"/>
    </row>
    <row r="57" spans="1:13" ht="14.5" customHeight="1" x14ac:dyDescent="0.3">
      <c r="B57" s="348" t="s">
        <v>434</v>
      </c>
      <c r="C57" s="348"/>
      <c r="D57" s="348"/>
      <c r="E57" s="348"/>
      <c r="F57" s="348"/>
      <c r="G57" s="348"/>
      <c r="H57" s="348"/>
      <c r="I57" s="348"/>
      <c r="J57" s="348"/>
      <c r="K57" s="348"/>
      <c r="L57" s="348"/>
      <c r="M57" s="348"/>
    </row>
    <row r="58" spans="1:13" ht="14.5" customHeight="1" x14ac:dyDescent="0.3">
      <c r="B58" s="349" t="s">
        <v>435</v>
      </c>
      <c r="C58" s="349"/>
      <c r="D58" s="349"/>
      <c r="E58" s="349"/>
      <c r="F58" s="349"/>
      <c r="G58" s="349"/>
      <c r="H58" s="349"/>
      <c r="I58" s="349"/>
      <c r="J58" s="349"/>
      <c r="K58" s="349"/>
      <c r="L58" s="349"/>
      <c r="M58" s="349"/>
    </row>
    <row r="59" spans="1:13" ht="14.5" customHeight="1" x14ac:dyDescent="0.3">
      <c r="B59" s="140"/>
    </row>
    <row r="60" spans="1:13" ht="45.5" customHeight="1" x14ac:dyDescent="0.3">
      <c r="B60" s="347" t="s">
        <v>438</v>
      </c>
      <c r="C60" s="347"/>
      <c r="D60" s="347"/>
      <c r="E60" s="347"/>
      <c r="F60" s="347"/>
      <c r="G60" s="347"/>
      <c r="H60" s="347"/>
      <c r="I60" s="347"/>
      <c r="J60" s="347"/>
      <c r="K60" s="347"/>
      <c r="L60" s="347"/>
      <c r="M60" s="347"/>
    </row>
    <row r="61" spans="1:13" ht="55" customHeight="1" x14ac:dyDescent="0.3">
      <c r="B61" s="347" t="s">
        <v>439</v>
      </c>
      <c r="C61" s="347"/>
      <c r="D61" s="347"/>
      <c r="E61" s="347"/>
      <c r="F61" s="347"/>
      <c r="G61" s="347"/>
      <c r="H61" s="347"/>
      <c r="I61" s="347"/>
      <c r="J61" s="347"/>
      <c r="K61" s="347"/>
      <c r="L61" s="347"/>
      <c r="M61" s="347"/>
    </row>
    <row r="62" spans="1:13" ht="14" customHeight="1" x14ac:dyDescent="0.3">
      <c r="B62" s="347" t="s">
        <v>440</v>
      </c>
      <c r="C62" s="347"/>
      <c r="D62" s="347"/>
      <c r="E62" s="347"/>
      <c r="F62" s="347"/>
      <c r="G62" s="347"/>
      <c r="H62" s="347"/>
      <c r="I62" s="347"/>
      <c r="J62" s="347"/>
      <c r="K62" s="347"/>
      <c r="L62" s="347"/>
      <c r="M62" s="347"/>
    </row>
    <row r="63" spans="1:13" ht="27.5" customHeight="1" x14ac:dyDescent="0.3">
      <c r="B63" s="347" t="s">
        <v>436</v>
      </c>
      <c r="C63" s="347"/>
      <c r="D63" s="347"/>
      <c r="E63" s="347"/>
      <c r="F63" s="347"/>
      <c r="G63" s="347"/>
      <c r="H63" s="347"/>
      <c r="I63" s="347"/>
      <c r="J63" s="347"/>
      <c r="K63" s="347"/>
      <c r="L63" s="347"/>
      <c r="M63" s="347"/>
    </row>
    <row r="64" spans="1:13" ht="27.5" customHeight="1" x14ac:dyDescent="0.3">
      <c r="B64" s="347" t="s">
        <v>437</v>
      </c>
      <c r="C64" s="347"/>
      <c r="D64" s="347"/>
      <c r="E64" s="347"/>
      <c r="F64" s="347"/>
      <c r="G64" s="347"/>
      <c r="H64" s="347"/>
      <c r="I64" s="347"/>
      <c r="J64" s="347"/>
      <c r="K64" s="347"/>
      <c r="L64" s="347"/>
      <c r="M64" s="347"/>
    </row>
    <row r="65" spans="2:13" ht="48" customHeight="1" x14ac:dyDescent="0.3">
      <c r="B65" s="347" t="s">
        <v>441</v>
      </c>
      <c r="C65" s="347"/>
      <c r="D65" s="347"/>
      <c r="E65" s="347"/>
      <c r="F65" s="347"/>
      <c r="G65" s="347"/>
      <c r="H65" s="347"/>
      <c r="I65" s="347"/>
      <c r="J65" s="347"/>
      <c r="K65" s="347"/>
      <c r="L65" s="347"/>
      <c r="M65" s="347"/>
    </row>
  </sheetData>
  <mergeCells count="60">
    <mergeCell ref="B7:M7"/>
    <mergeCell ref="B2:M2"/>
    <mergeCell ref="B3:M3"/>
    <mergeCell ref="B4:M4"/>
    <mergeCell ref="B5:M5"/>
    <mergeCell ref="B6:M6"/>
    <mergeCell ref="B8:M8"/>
    <mergeCell ref="B9:M9"/>
    <mergeCell ref="B10:M10"/>
    <mergeCell ref="B11:M11"/>
    <mergeCell ref="B12:M12"/>
    <mergeCell ref="B43:M43"/>
    <mergeCell ref="B34:M34"/>
    <mergeCell ref="B45:M45"/>
    <mergeCell ref="B44:M44"/>
    <mergeCell ref="B13:M13"/>
    <mergeCell ref="B15:M15"/>
    <mergeCell ref="B16:M16"/>
    <mergeCell ref="B17:M17"/>
    <mergeCell ref="B18:M18"/>
    <mergeCell ref="B14:M14"/>
    <mergeCell ref="B28:M28"/>
    <mergeCell ref="B33:M33"/>
    <mergeCell ref="B36:M36"/>
    <mergeCell ref="B37:M37"/>
    <mergeCell ref="B38:M38"/>
    <mergeCell ref="B39:M39"/>
    <mergeCell ref="B51:M51"/>
    <mergeCell ref="B52:M52"/>
    <mergeCell ref="B46:M46"/>
    <mergeCell ref="B47:M47"/>
    <mergeCell ref="B48:M48"/>
    <mergeCell ref="B49:M49"/>
    <mergeCell ref="B19:M19"/>
    <mergeCell ref="B20:M20"/>
    <mergeCell ref="B21:M21"/>
    <mergeCell ref="B65:M65"/>
    <mergeCell ref="B62:M62"/>
    <mergeCell ref="B63:M63"/>
    <mergeCell ref="B64:M64"/>
    <mergeCell ref="B57:M57"/>
    <mergeCell ref="B58:M58"/>
    <mergeCell ref="B60:M60"/>
    <mergeCell ref="B61:M61"/>
    <mergeCell ref="B50:M50"/>
    <mergeCell ref="B53:M53"/>
    <mergeCell ref="B54:M54"/>
    <mergeCell ref="B55:M55"/>
    <mergeCell ref="B56:M56"/>
    <mergeCell ref="B40:M40"/>
    <mergeCell ref="B41:M41"/>
    <mergeCell ref="B32:M32"/>
    <mergeCell ref="B24:M24"/>
    <mergeCell ref="B23:M23"/>
    <mergeCell ref="B31:M31"/>
    <mergeCell ref="B27:M27"/>
    <mergeCell ref="B25:M25"/>
    <mergeCell ref="B26:M26"/>
    <mergeCell ref="B29:M29"/>
    <mergeCell ref="B30:M30"/>
  </mergeCells>
  <dataValidations disablePrompts="1" count="1">
    <dataValidation type="list" allowBlank="1" showInputMessage="1" showErrorMessage="1" sqref="O13" xr:uid="{00000000-0002-0000-0B00-000000000000}">
      <formula1>"High,Medium,Low"</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workbookViewId="0">
      <selection activeCell="E2" sqref="E2"/>
    </sheetView>
  </sheetViews>
  <sheetFormatPr defaultRowHeight="14.5" x14ac:dyDescent="0.35"/>
  <cols>
    <col min="5" max="5" width="112.54296875" customWidth="1"/>
    <col min="6" max="7" width="8.7265625" style="92"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91" t="s">
        <v>386</v>
      </c>
      <c r="E3" s="91" t="s">
        <v>387</v>
      </c>
      <c r="F3" s="95"/>
      <c r="G3" s="96"/>
    </row>
    <row r="4" spans="4:9" ht="30" customHeight="1" thickBot="1" x14ac:dyDescent="0.4">
      <c r="E4" s="103" t="str" cm="1">
        <f t="array" ref="E4:G4">'Step 1'!C75:E75</f>
        <v xml:space="preserve">
CR#06 is entered to extend Fixed price billing arrangement and the baselining period along with addition in scope of services "Skin Audit". Since there is addition in scope of service with increase in the price of the contract. This should be considered as seperate contract and the accounting of modification will be done prospectively. </v>
      </c>
      <c r="F4" s="93">
        <v>0</v>
      </c>
      <c r="G4" s="94">
        <v>0</v>
      </c>
    </row>
    <row r="5" spans="4:9" ht="15" thickBot="1" x14ac:dyDescent="0.4"/>
    <row r="6" spans="4:9" ht="15" thickBot="1" x14ac:dyDescent="0.4">
      <c r="D6" s="91" t="s">
        <v>388</v>
      </c>
      <c r="E6" s="91" t="s">
        <v>387</v>
      </c>
      <c r="F6" s="95"/>
      <c r="G6" s="96"/>
    </row>
    <row r="7" spans="4:9" ht="85.5" customHeight="1" thickBot="1" x14ac:dyDescent="0.4">
      <c r="E7" s="102" t="str" cm="1">
        <f t="array" ref="E7:I7">'Step 2'!D29:H29</f>
        <v>“Data Entry &amp; Procurement services &amp; Skin Audit&amp; One time background check" are single performance obligation in the contract by applying series guidance. 
 Transition services / IT Setup of Technology does not provide any incremental benefit to the Customer. As per Customer, they have entered into the contract for support services and these activities cannot benefit the Customer on standalone basis. Hence, these are considered as setup activities and hence are inputs to the overall combined output of the contract.</v>
      </c>
      <c r="F7" s="93">
        <v>0</v>
      </c>
      <c r="G7" s="94">
        <v>0</v>
      </c>
      <c r="H7">
        <v>0</v>
      </c>
      <c r="I7">
        <v>0</v>
      </c>
    </row>
    <row r="8" spans="4:9" ht="15" thickBot="1" x14ac:dyDescent="0.4"/>
    <row r="9" spans="4:9" ht="15" thickBot="1" x14ac:dyDescent="0.4">
      <c r="D9" s="91" t="s">
        <v>389</v>
      </c>
      <c r="E9" s="91" t="s">
        <v>387</v>
      </c>
      <c r="F9" s="95"/>
      <c r="G9" s="96"/>
    </row>
    <row r="10" spans="4:9" ht="30" customHeight="1" thickBot="1" x14ac:dyDescent="0.4">
      <c r="E10" s="102" t="str" cm="1">
        <f t="array" ref="E10:G10">'Step 3'!D65:F65</f>
        <v>Service credit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Service credit would be applicable from after the baselining measurement period as stated in the contract. The frequency of service level measurement is monthly however the service credit would be applied in subsequent month’s invoice.
COLA - As we are using practical expedient of 'As invoiced', COLA will be applied prospectively.</v>
      </c>
      <c r="F10" s="93">
        <v>0</v>
      </c>
      <c r="G10" s="94">
        <v>0</v>
      </c>
    </row>
    <row r="11" spans="4:9" ht="30" customHeight="1" thickBot="1" x14ac:dyDescent="0.4">
      <c r="E11" s="102" cm="1">
        <f t="array" ref="E11:G11">'Step 3'!D81:F81</f>
        <v>0</v>
      </c>
      <c r="F11" s="93">
        <v>0</v>
      </c>
      <c r="G11" s="94">
        <v>0</v>
      </c>
    </row>
    <row r="12" spans="4:9" ht="30" customHeight="1" thickBot="1" x14ac:dyDescent="0.4">
      <c r="E12" s="102" t="str" cm="1">
        <f t="array" ref="E12:G12">'Step 3'!D104:F104</f>
        <v>Consideration payable is accounted for as a purchase from customers</v>
      </c>
      <c r="F12" s="93">
        <v>0</v>
      </c>
      <c r="G12" s="94">
        <v>0</v>
      </c>
    </row>
    <row r="13" spans="4:9" ht="30" customHeight="1" thickBot="1" x14ac:dyDescent="0.4">
      <c r="E13" s="102" t="str" cm="1">
        <f t="array" ref="E13:G13">'Step 3'!D117:F117</f>
        <v>No financing component</v>
      </c>
      <c r="F13" s="93">
        <v>0</v>
      </c>
      <c r="G13" s="94">
        <v>0</v>
      </c>
    </row>
    <row r="14" spans="4:9" ht="15" thickBot="1" x14ac:dyDescent="0.4"/>
    <row r="15" spans="4:9" ht="15" thickBot="1" x14ac:dyDescent="0.4">
      <c r="D15" s="91" t="s">
        <v>390</v>
      </c>
      <c r="E15" s="91" t="s">
        <v>387</v>
      </c>
      <c r="F15" s="95"/>
      <c r="G15" s="96"/>
    </row>
    <row r="16" spans="4:9" ht="30" customHeight="1" thickBot="1" x14ac:dyDescent="0.4">
      <c r="E16" s="103" t="str" cm="1">
        <f t="array" ref="E16:G16">'Step 4'!D23:F23</f>
        <v>Since there is only 1 performance obligation, allocation of transaction price is not required</v>
      </c>
      <c r="F16" s="93">
        <v>0</v>
      </c>
      <c r="G16" s="94">
        <v>0</v>
      </c>
    </row>
    <row r="17" spans="4:7" ht="30" customHeight="1" thickBot="1" x14ac:dyDescent="0.4">
      <c r="E17" s="103" t="str" cm="1">
        <f t="array" ref="E17:G17">'Step 4'!D39:F39</f>
        <v>Not required to be allocated as only 1 performance obligation has been identified in the contract.</v>
      </c>
      <c r="F17" s="105">
        <v>0</v>
      </c>
      <c r="G17" s="105">
        <v>0</v>
      </c>
    </row>
    <row r="18" spans="4:7" ht="15" thickBot="1" x14ac:dyDescent="0.4"/>
    <row r="19" spans="4:7" ht="15" thickBot="1" x14ac:dyDescent="0.4">
      <c r="D19" s="91" t="s">
        <v>392</v>
      </c>
      <c r="E19" s="91" t="s">
        <v>387</v>
      </c>
    </row>
    <row r="20" spans="4:7" ht="15" thickBot="1" x14ac:dyDescent="0.4">
      <c r="E20" s="103" t="str">
        <f>'Step 5'!H17</f>
        <v>Performance obligation is satisfied over time</v>
      </c>
    </row>
    <row r="21" spans="4:7" ht="15" thickBot="1" x14ac:dyDescent="0.4">
      <c r="E21" s="103" t="str">
        <f>'Step 5'!H18</f>
        <v/>
      </c>
    </row>
    <row r="22" spans="4:7" ht="15" thickBot="1" x14ac:dyDescent="0.4">
      <c r="E22" s="103" t="str">
        <f>'Step 5'!H19</f>
        <v/>
      </c>
    </row>
    <row r="23" spans="4:7" ht="15" thickBot="1" x14ac:dyDescent="0.4">
      <c r="E23" s="103" t="str">
        <f>'Step 5'!H20</f>
        <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activeCell="F6" sqref="F6"/>
      <selection pane="bottomLeft" activeCell="F6" sqref="F6"/>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11</v>
      </c>
      <c r="B1" s="2" t="s">
        <v>12</v>
      </c>
      <c r="C1" s="2" t="s">
        <v>122</v>
      </c>
      <c r="D1" s="2" t="s">
        <v>123</v>
      </c>
      <c r="E1" s="2" t="s">
        <v>124</v>
      </c>
      <c r="F1" s="2" t="s">
        <v>0</v>
      </c>
      <c r="G1" s="2" t="s">
        <v>13</v>
      </c>
      <c r="H1" s="2" t="s">
        <v>14</v>
      </c>
      <c r="I1" s="2" t="s">
        <v>15</v>
      </c>
      <c r="J1" s="11" t="s">
        <v>126</v>
      </c>
    </row>
    <row r="2" spans="1:10" ht="15" customHeight="1" x14ac:dyDescent="0.35">
      <c r="A2" s="1" t="s">
        <v>1</v>
      </c>
      <c r="B2" s="1" t="s">
        <v>42</v>
      </c>
      <c r="C2" s="1"/>
      <c r="D2" s="1"/>
      <c r="E2" s="1"/>
      <c r="F2" s="3">
        <v>43466</v>
      </c>
      <c r="G2" s="3">
        <v>43471</v>
      </c>
      <c r="H2" s="1" t="s">
        <v>17</v>
      </c>
      <c r="I2" s="4">
        <v>0.2</v>
      </c>
      <c r="J2" s="10" t="str">
        <f ca="1">IF(H2="Completed","G",IF(H2="In Progress",IF(TODAY()&gt;G2,"A","G"),IF(H2="Pending",IF(TODAY()&gt;F2,"R",""),"")))</f>
        <v>G</v>
      </c>
    </row>
    <row r="3" spans="1:10" ht="15" customHeight="1" x14ac:dyDescent="0.35">
      <c r="A3" s="1" t="s">
        <v>2</v>
      </c>
      <c r="B3" s="1" t="s">
        <v>42</v>
      </c>
      <c r="C3" s="1"/>
      <c r="D3" s="1"/>
      <c r="E3" s="1"/>
      <c r="F3" s="3">
        <v>43469</v>
      </c>
      <c r="G3" s="3">
        <v>43474</v>
      </c>
      <c r="H3" s="1" t="s">
        <v>17</v>
      </c>
      <c r="I3" s="4">
        <v>0.62</v>
      </c>
      <c r="J3" s="10" t="str">
        <f t="shared" ref="J3:J66" ca="1" si="0">IF(H3="Completed","G",IF(H3="In Progress",IF(TODAY()&gt;G3,"A","G"),IF(H3="Pending",IF(TODAY()&gt;F3,"R",""),"")))</f>
        <v>G</v>
      </c>
    </row>
    <row r="4" spans="1:10" ht="15" customHeight="1" x14ac:dyDescent="0.35">
      <c r="A4" s="1" t="s">
        <v>3</v>
      </c>
      <c r="B4" s="1" t="s">
        <v>55</v>
      </c>
      <c r="C4" s="1"/>
      <c r="D4" s="1"/>
      <c r="E4" s="1"/>
      <c r="F4" s="3">
        <v>43472</v>
      </c>
      <c r="G4" s="3">
        <v>43476</v>
      </c>
      <c r="H4" s="1" t="s">
        <v>17</v>
      </c>
      <c r="I4" s="4">
        <v>0</v>
      </c>
      <c r="J4" s="10" t="str">
        <f t="shared" ca="1" si="0"/>
        <v>G</v>
      </c>
    </row>
    <row r="5" spans="1:10" ht="15" customHeight="1" x14ac:dyDescent="0.35">
      <c r="A5" s="1" t="s">
        <v>4</v>
      </c>
      <c r="B5" s="1" t="s">
        <v>54</v>
      </c>
      <c r="C5" s="1"/>
      <c r="D5" s="1"/>
      <c r="E5" s="1"/>
      <c r="F5" s="3">
        <v>43475</v>
      </c>
      <c r="G5" s="3">
        <v>43477</v>
      </c>
      <c r="H5" s="1" t="s">
        <v>118</v>
      </c>
      <c r="I5" s="4">
        <v>0.42</v>
      </c>
      <c r="J5" s="10" t="str">
        <f t="shared" ca="1" si="0"/>
        <v>A</v>
      </c>
    </row>
    <row r="6" spans="1:10" ht="15" customHeight="1" x14ac:dyDescent="0.35">
      <c r="A6" s="1" t="s">
        <v>5</v>
      </c>
      <c r="B6" s="1" t="s">
        <v>54</v>
      </c>
      <c r="C6" s="1"/>
      <c r="D6" s="1"/>
      <c r="E6" s="1"/>
      <c r="F6" s="3">
        <v>43476</v>
      </c>
      <c r="G6" s="3">
        <v>43485</v>
      </c>
      <c r="H6" s="1" t="s">
        <v>17</v>
      </c>
      <c r="I6" s="4">
        <v>0.33</v>
      </c>
      <c r="J6" s="10" t="str">
        <f t="shared" ca="1" si="0"/>
        <v>G</v>
      </c>
    </row>
    <row r="7" spans="1:10" ht="15" customHeight="1" x14ac:dyDescent="0.35">
      <c r="A7" s="1" t="s">
        <v>6</v>
      </c>
      <c r="B7" s="1" t="s">
        <v>44</v>
      </c>
      <c r="C7" s="1"/>
      <c r="D7" s="1"/>
      <c r="E7" s="1"/>
      <c r="F7" s="3">
        <v>43486</v>
      </c>
      <c r="G7" s="3">
        <v>43490</v>
      </c>
      <c r="H7" s="1" t="s">
        <v>17</v>
      </c>
      <c r="I7" s="4">
        <v>0.78</v>
      </c>
      <c r="J7" s="10" t="str">
        <f t="shared" ca="1" si="0"/>
        <v>G</v>
      </c>
    </row>
    <row r="8" spans="1:10" ht="15" customHeight="1" x14ac:dyDescent="0.35">
      <c r="A8" s="1" t="s">
        <v>7</v>
      </c>
      <c r="B8" s="1" t="s">
        <v>20</v>
      </c>
      <c r="C8" s="1"/>
      <c r="D8" s="1"/>
      <c r="E8" s="1"/>
      <c r="F8" s="3">
        <v>43489</v>
      </c>
      <c r="G8" s="3">
        <v>43495</v>
      </c>
      <c r="H8" s="1" t="s">
        <v>17</v>
      </c>
      <c r="I8" s="4">
        <v>1</v>
      </c>
      <c r="J8" s="10" t="str">
        <f t="shared" ca="1" si="0"/>
        <v>G</v>
      </c>
    </row>
    <row r="9" spans="1:10" ht="15" customHeight="1" x14ac:dyDescent="0.35">
      <c r="A9" s="1" t="s">
        <v>8</v>
      </c>
      <c r="B9" s="1" t="s">
        <v>19</v>
      </c>
      <c r="C9" s="1"/>
      <c r="D9" s="1"/>
      <c r="E9" s="1"/>
      <c r="F9" s="3">
        <v>43495</v>
      </c>
      <c r="G9" s="3">
        <v>43499</v>
      </c>
      <c r="H9" s="1" t="s">
        <v>17</v>
      </c>
      <c r="I9" s="4">
        <v>0</v>
      </c>
      <c r="J9" s="10" t="str">
        <f t="shared" ca="1" si="0"/>
        <v>G</v>
      </c>
    </row>
    <row r="10" spans="1:10" ht="15" customHeight="1" x14ac:dyDescent="0.35">
      <c r="A10" s="1" t="s">
        <v>9</v>
      </c>
      <c r="B10" s="1" t="s">
        <v>45</v>
      </c>
      <c r="C10" s="1"/>
      <c r="D10" s="1"/>
      <c r="E10" s="1"/>
      <c r="F10" s="3">
        <v>43504</v>
      </c>
      <c r="G10" s="3">
        <v>43508</v>
      </c>
      <c r="H10" s="1" t="s">
        <v>17</v>
      </c>
      <c r="I10" s="4">
        <v>0</v>
      </c>
      <c r="J10" s="10" t="str">
        <f t="shared" ca="1" si="0"/>
        <v>G</v>
      </c>
    </row>
    <row r="11" spans="1:10" ht="15" customHeight="1" x14ac:dyDescent="0.35">
      <c r="A11" s="1" t="s">
        <v>10</v>
      </c>
      <c r="B11" s="1" t="s">
        <v>48</v>
      </c>
      <c r="C11" s="1"/>
      <c r="D11" s="1"/>
      <c r="E11" s="1"/>
      <c r="F11" s="3">
        <v>43506</v>
      </c>
      <c r="G11" s="3">
        <v>43513</v>
      </c>
      <c r="H11" s="1" t="s">
        <v>17</v>
      </c>
      <c r="I11" s="4">
        <v>0</v>
      </c>
      <c r="J11" s="10" t="str">
        <f t="shared" ca="1" si="0"/>
        <v>G</v>
      </c>
    </row>
    <row r="12" spans="1:10" ht="15" customHeight="1" x14ac:dyDescent="0.35">
      <c r="A12" s="1" t="s">
        <v>56</v>
      </c>
      <c r="B12" s="1" t="s">
        <v>55</v>
      </c>
      <c r="C12" s="1"/>
      <c r="D12" s="1"/>
      <c r="E12" s="1"/>
      <c r="F12" s="3">
        <v>43512</v>
      </c>
      <c r="G12" s="3">
        <v>43520</v>
      </c>
      <c r="H12" s="1" t="s">
        <v>118</v>
      </c>
      <c r="I12" s="4">
        <v>1</v>
      </c>
      <c r="J12" s="10" t="str">
        <f t="shared" ca="1" si="0"/>
        <v>A</v>
      </c>
    </row>
    <row r="13" spans="1:10" ht="15" customHeight="1" x14ac:dyDescent="0.35">
      <c r="A13" s="1" t="s">
        <v>57</v>
      </c>
      <c r="B13" s="1" t="s">
        <v>18</v>
      </c>
      <c r="C13" s="1"/>
      <c r="D13" s="1"/>
      <c r="E13" s="1"/>
      <c r="F13" s="3">
        <v>43519</v>
      </c>
      <c r="G13" s="3">
        <v>43529</v>
      </c>
      <c r="H13" s="1" t="s">
        <v>118</v>
      </c>
      <c r="I13" s="4">
        <v>0</v>
      </c>
      <c r="J13" s="10" t="str">
        <f t="shared" ca="1" si="0"/>
        <v>A</v>
      </c>
    </row>
    <row r="14" spans="1:10" ht="15" customHeight="1" x14ac:dyDescent="0.35">
      <c r="A14" s="1" t="s">
        <v>58</v>
      </c>
      <c r="B14" s="1" t="s">
        <v>50</v>
      </c>
      <c r="C14" s="1"/>
      <c r="D14" s="1"/>
      <c r="E14" s="1"/>
      <c r="F14" s="3">
        <v>43530</v>
      </c>
      <c r="G14" s="3">
        <v>43533</v>
      </c>
      <c r="H14" s="1" t="s">
        <v>118</v>
      </c>
      <c r="I14" s="4">
        <v>0</v>
      </c>
      <c r="J14" s="10" t="str">
        <f t="shared" ca="1" si="0"/>
        <v>A</v>
      </c>
    </row>
    <row r="15" spans="1:10" ht="15" customHeight="1" x14ac:dyDescent="0.35">
      <c r="A15" s="1" t="s">
        <v>59</v>
      </c>
      <c r="B15" s="1" t="s">
        <v>20</v>
      </c>
      <c r="C15" s="1"/>
      <c r="D15" s="1"/>
      <c r="E15" s="1"/>
      <c r="F15" s="3">
        <v>43531</v>
      </c>
      <c r="G15" s="3">
        <v>43536</v>
      </c>
      <c r="H15" s="1" t="s">
        <v>118</v>
      </c>
      <c r="I15" s="4">
        <v>0</v>
      </c>
      <c r="J15" s="10" t="str">
        <f t="shared" ca="1" si="0"/>
        <v>A</v>
      </c>
    </row>
    <row r="16" spans="1:10" ht="15" customHeight="1" x14ac:dyDescent="0.35">
      <c r="A16" s="1" t="s">
        <v>60</v>
      </c>
      <c r="B16" s="1" t="s">
        <v>52</v>
      </c>
      <c r="C16" s="1"/>
      <c r="D16" s="1"/>
      <c r="E16" s="1"/>
      <c r="F16" s="3">
        <v>43537</v>
      </c>
      <c r="G16" s="3">
        <v>43540</v>
      </c>
      <c r="H16" s="1" t="s">
        <v>118</v>
      </c>
      <c r="I16" s="4">
        <v>1</v>
      </c>
      <c r="J16" s="10" t="str">
        <f t="shared" ca="1" si="0"/>
        <v>A</v>
      </c>
    </row>
    <row r="17" spans="1:10" ht="15" customHeight="1" x14ac:dyDescent="0.35">
      <c r="A17" s="1" t="s">
        <v>61</v>
      </c>
      <c r="B17" s="1" t="s">
        <v>41</v>
      </c>
      <c r="C17" s="1"/>
      <c r="D17" s="1"/>
      <c r="E17" s="1"/>
      <c r="F17" s="3">
        <v>43539</v>
      </c>
      <c r="G17" s="3">
        <v>43547</v>
      </c>
      <c r="H17" s="1" t="s">
        <v>118</v>
      </c>
      <c r="I17" s="4">
        <v>1</v>
      </c>
      <c r="J17" s="10" t="str">
        <f t="shared" ca="1" si="0"/>
        <v>A</v>
      </c>
    </row>
    <row r="18" spans="1:10" ht="15" customHeight="1" x14ac:dyDescent="0.35">
      <c r="A18" s="1" t="s">
        <v>62</v>
      </c>
      <c r="B18" s="1" t="s">
        <v>41</v>
      </c>
      <c r="C18" s="1"/>
      <c r="D18" s="1"/>
      <c r="E18" s="1"/>
      <c r="F18" s="3">
        <v>43546</v>
      </c>
      <c r="G18" s="3">
        <v>43550</v>
      </c>
      <c r="H18" s="1" t="s">
        <v>118</v>
      </c>
      <c r="I18" s="4">
        <v>0.57999999999999996</v>
      </c>
      <c r="J18" s="10" t="str">
        <f t="shared" ca="1" si="0"/>
        <v>A</v>
      </c>
    </row>
    <row r="19" spans="1:10" ht="15" customHeight="1" x14ac:dyDescent="0.35">
      <c r="A19" s="1" t="s">
        <v>63</v>
      </c>
      <c r="B19" s="1" t="s">
        <v>53</v>
      </c>
      <c r="C19" s="1"/>
      <c r="D19" s="1"/>
      <c r="E19" s="1"/>
      <c r="F19" s="3">
        <v>43550</v>
      </c>
      <c r="G19" s="3">
        <v>43554</v>
      </c>
      <c r="H19" s="1" t="s">
        <v>118</v>
      </c>
      <c r="I19" s="4">
        <v>0.3</v>
      </c>
      <c r="J19" s="10" t="str">
        <f t="shared" ca="1" si="0"/>
        <v>A</v>
      </c>
    </row>
    <row r="20" spans="1:10" ht="15" customHeight="1" x14ac:dyDescent="0.35">
      <c r="A20" s="1" t="s">
        <v>64</v>
      </c>
      <c r="B20" s="1" t="s">
        <v>41</v>
      </c>
      <c r="C20" s="1"/>
      <c r="D20" s="1"/>
      <c r="E20" s="1"/>
      <c r="F20" s="3">
        <v>43554</v>
      </c>
      <c r="G20" s="3">
        <v>43562</v>
      </c>
      <c r="H20" s="1" t="s">
        <v>118</v>
      </c>
      <c r="I20" s="4">
        <v>0</v>
      </c>
      <c r="J20" s="10" t="str">
        <f t="shared" ca="1" si="0"/>
        <v>A</v>
      </c>
    </row>
    <row r="21" spans="1:10" ht="15" customHeight="1" x14ac:dyDescent="0.35">
      <c r="A21" s="1" t="s">
        <v>65</v>
      </c>
      <c r="B21" s="1" t="s">
        <v>20</v>
      </c>
      <c r="C21" s="1"/>
      <c r="D21" s="1"/>
      <c r="E21" s="1"/>
      <c r="F21" s="3">
        <v>43560</v>
      </c>
      <c r="G21" s="3">
        <v>43563</v>
      </c>
      <c r="H21" s="1" t="s">
        <v>17</v>
      </c>
      <c r="I21" s="4">
        <v>0</v>
      </c>
      <c r="J21" s="10" t="str">
        <f t="shared" ca="1" si="0"/>
        <v>G</v>
      </c>
    </row>
    <row r="22" spans="1:10" ht="15" customHeight="1" x14ac:dyDescent="0.35">
      <c r="A22" s="1" t="s">
        <v>66</v>
      </c>
      <c r="B22" s="1" t="s">
        <v>45</v>
      </c>
      <c r="C22" s="1"/>
      <c r="D22" s="1"/>
      <c r="E22" s="1"/>
      <c r="F22" s="3">
        <v>43562</v>
      </c>
      <c r="G22" s="3">
        <v>43569</v>
      </c>
      <c r="H22" s="1" t="s">
        <v>17</v>
      </c>
      <c r="I22" s="4">
        <v>1</v>
      </c>
      <c r="J22" s="10" t="str">
        <f t="shared" ca="1" si="0"/>
        <v>G</v>
      </c>
    </row>
    <row r="23" spans="1:10" ht="15" customHeight="1" x14ac:dyDescent="0.35">
      <c r="A23" s="1" t="s">
        <v>67</v>
      </c>
      <c r="B23" s="1" t="s">
        <v>46</v>
      </c>
      <c r="C23" s="1"/>
      <c r="D23" s="1"/>
      <c r="E23" s="1"/>
      <c r="F23" s="3">
        <v>43570</v>
      </c>
      <c r="G23" s="3">
        <v>43577</v>
      </c>
      <c r="H23" s="1" t="s">
        <v>16</v>
      </c>
      <c r="I23" s="4">
        <v>0</v>
      </c>
      <c r="J23" s="10" t="str">
        <f t="shared" ca="1" si="0"/>
        <v>R</v>
      </c>
    </row>
    <row r="24" spans="1:10" ht="15" customHeight="1" x14ac:dyDescent="0.35">
      <c r="A24" s="1" t="s">
        <v>68</v>
      </c>
      <c r="B24" s="1" t="s">
        <v>49</v>
      </c>
      <c r="C24" s="1"/>
      <c r="D24" s="1"/>
      <c r="E24" s="1"/>
      <c r="F24" s="3">
        <v>43576</v>
      </c>
      <c r="G24" s="3">
        <v>43579</v>
      </c>
      <c r="H24" s="1" t="s">
        <v>16</v>
      </c>
      <c r="I24" s="4">
        <v>0.69</v>
      </c>
      <c r="J24" s="10" t="str">
        <f t="shared" ca="1" si="0"/>
        <v>R</v>
      </c>
    </row>
    <row r="25" spans="1:10" ht="15" customHeight="1" x14ac:dyDescent="0.35">
      <c r="A25" s="1" t="s">
        <v>69</v>
      </c>
      <c r="B25" s="1" t="s">
        <v>43</v>
      </c>
      <c r="C25" s="1"/>
      <c r="D25" s="1"/>
      <c r="E25" s="1"/>
      <c r="F25" s="3">
        <v>43578</v>
      </c>
      <c r="G25" s="3">
        <v>43580</v>
      </c>
      <c r="H25" s="1" t="s">
        <v>16</v>
      </c>
      <c r="I25" s="4">
        <v>1</v>
      </c>
      <c r="J25" s="10" t="str">
        <f t="shared" ca="1" si="0"/>
        <v>R</v>
      </c>
    </row>
    <row r="26" spans="1:10" ht="15" customHeight="1" x14ac:dyDescent="0.35">
      <c r="A26" s="1" t="s">
        <v>70</v>
      </c>
      <c r="B26" s="1" t="s">
        <v>47</v>
      </c>
      <c r="C26" s="1"/>
      <c r="D26" s="1"/>
      <c r="E26" s="1"/>
      <c r="F26" s="3">
        <v>43579</v>
      </c>
      <c r="G26" s="3">
        <v>43586</v>
      </c>
      <c r="H26" s="1" t="s">
        <v>16</v>
      </c>
      <c r="I26" s="4">
        <v>0.28000000000000003</v>
      </c>
      <c r="J26" s="10" t="str">
        <f t="shared" ca="1" si="0"/>
        <v>R</v>
      </c>
    </row>
    <row r="27" spans="1:10" ht="15" customHeight="1" x14ac:dyDescent="0.35">
      <c r="A27" s="1" t="s">
        <v>71</v>
      </c>
      <c r="B27" s="1" t="s">
        <v>47</v>
      </c>
      <c r="C27" s="1"/>
      <c r="D27" s="1"/>
      <c r="E27" s="1"/>
      <c r="F27" s="3">
        <v>43585</v>
      </c>
      <c r="G27" s="3">
        <v>43591</v>
      </c>
      <c r="H27" s="1" t="s">
        <v>16</v>
      </c>
      <c r="I27" s="4">
        <v>0.42</v>
      </c>
      <c r="J27" s="10" t="str">
        <f t="shared" ca="1" si="0"/>
        <v>R</v>
      </c>
    </row>
    <row r="28" spans="1:10" ht="15" customHeight="1" x14ac:dyDescent="0.35">
      <c r="A28" s="1" t="s">
        <v>72</v>
      </c>
      <c r="B28" s="1" t="s">
        <v>21</v>
      </c>
      <c r="C28" s="1"/>
      <c r="D28" s="1"/>
      <c r="E28" s="1"/>
      <c r="F28" s="3">
        <v>43591</v>
      </c>
      <c r="G28" s="3">
        <v>43597</v>
      </c>
      <c r="H28" s="1" t="s">
        <v>16</v>
      </c>
      <c r="I28" s="4">
        <v>0</v>
      </c>
      <c r="J28" s="10" t="str">
        <f t="shared" ca="1" si="0"/>
        <v>R</v>
      </c>
    </row>
    <row r="29" spans="1:10" ht="15" customHeight="1" x14ac:dyDescent="0.35">
      <c r="A29" s="1" t="s">
        <v>73</v>
      </c>
      <c r="B29" s="1" t="s">
        <v>41</v>
      </c>
      <c r="C29" s="1"/>
      <c r="D29" s="1"/>
      <c r="E29" s="1"/>
      <c r="F29" s="3">
        <v>43596</v>
      </c>
      <c r="G29" s="3">
        <v>43599</v>
      </c>
      <c r="H29" s="1" t="s">
        <v>16</v>
      </c>
      <c r="I29" s="4">
        <v>0.77</v>
      </c>
      <c r="J29" s="10" t="str">
        <f t="shared" ca="1" si="0"/>
        <v>R</v>
      </c>
    </row>
    <row r="30" spans="1:10" ht="15" customHeight="1" x14ac:dyDescent="0.35">
      <c r="A30" s="1" t="s">
        <v>74</v>
      </c>
      <c r="B30" s="1" t="s">
        <v>51</v>
      </c>
      <c r="C30" s="1"/>
      <c r="D30" s="1"/>
      <c r="E30" s="1"/>
      <c r="F30" s="3">
        <v>43598</v>
      </c>
      <c r="G30" s="3">
        <v>43608</v>
      </c>
      <c r="H30" s="1" t="s">
        <v>16</v>
      </c>
      <c r="I30" s="4">
        <v>0</v>
      </c>
      <c r="J30" s="10" t="str">
        <f t="shared" ca="1" si="0"/>
        <v>R</v>
      </c>
    </row>
    <row r="31" spans="1:10" ht="15" customHeight="1" x14ac:dyDescent="0.35">
      <c r="A31" s="1" t="s">
        <v>75</v>
      </c>
      <c r="B31" s="1" t="s">
        <v>55</v>
      </c>
      <c r="C31" s="1"/>
      <c r="D31" s="1"/>
      <c r="E31" s="1"/>
      <c r="F31" s="3">
        <v>43609</v>
      </c>
      <c r="G31" s="3">
        <v>43615</v>
      </c>
      <c r="H31" s="1" t="s">
        <v>16</v>
      </c>
      <c r="I31" s="4">
        <v>1</v>
      </c>
      <c r="J31" s="10" t="str">
        <f t="shared" ca="1" si="0"/>
        <v>R</v>
      </c>
    </row>
    <row r="32" spans="1:10" ht="15" customHeight="1" x14ac:dyDescent="0.35">
      <c r="A32" s="1" t="s">
        <v>76</v>
      </c>
      <c r="B32" s="1" t="s">
        <v>55</v>
      </c>
      <c r="C32" s="1"/>
      <c r="D32" s="1"/>
      <c r="E32" s="1"/>
      <c r="F32" s="3">
        <v>43615</v>
      </c>
      <c r="G32" s="3">
        <v>43618</v>
      </c>
      <c r="H32" s="1" t="s">
        <v>16</v>
      </c>
      <c r="I32" s="4">
        <v>1</v>
      </c>
      <c r="J32" s="10" t="str">
        <f t="shared" ca="1" si="0"/>
        <v>R</v>
      </c>
    </row>
    <row r="33" spans="1:10" ht="15" customHeight="1" x14ac:dyDescent="0.35">
      <c r="A33" s="1" t="s">
        <v>77</v>
      </c>
      <c r="B33" s="1" t="s">
        <v>20</v>
      </c>
      <c r="C33" s="1"/>
      <c r="D33" s="1"/>
      <c r="E33" s="1"/>
      <c r="F33" s="3">
        <v>43618</v>
      </c>
      <c r="G33" s="3">
        <v>43628</v>
      </c>
      <c r="H33" s="1" t="s">
        <v>16</v>
      </c>
      <c r="I33" s="4">
        <v>1</v>
      </c>
      <c r="J33" s="10" t="str">
        <f t="shared" ca="1" si="0"/>
        <v>R</v>
      </c>
    </row>
    <row r="34" spans="1:10" ht="15" customHeight="1" x14ac:dyDescent="0.35">
      <c r="A34" s="1" t="s">
        <v>78</v>
      </c>
      <c r="B34" s="1" t="s">
        <v>18</v>
      </c>
      <c r="C34" s="1"/>
      <c r="D34" s="1"/>
      <c r="E34" s="1"/>
      <c r="F34" s="3">
        <v>43628</v>
      </c>
      <c r="G34" s="3">
        <v>43637</v>
      </c>
      <c r="H34" s="1" t="s">
        <v>16</v>
      </c>
      <c r="I34" s="4">
        <v>0.46</v>
      </c>
      <c r="J34" s="10" t="str">
        <f t="shared" ca="1" si="0"/>
        <v>R</v>
      </c>
    </row>
    <row r="35" spans="1:10" ht="15" customHeight="1" x14ac:dyDescent="0.35">
      <c r="A35" s="1" t="s">
        <v>79</v>
      </c>
      <c r="B35" s="1" t="s">
        <v>54</v>
      </c>
      <c r="C35" s="1"/>
      <c r="D35" s="1"/>
      <c r="E35" s="1"/>
      <c r="F35" s="3">
        <v>43636</v>
      </c>
      <c r="G35" s="3">
        <v>43639</v>
      </c>
      <c r="H35" s="1" t="s">
        <v>16</v>
      </c>
      <c r="I35" s="4">
        <v>0</v>
      </c>
      <c r="J35" s="10" t="str">
        <f t="shared" ca="1" si="0"/>
        <v>R</v>
      </c>
    </row>
    <row r="36" spans="1:10" ht="15" customHeight="1" x14ac:dyDescent="0.35">
      <c r="A36" s="1" t="s">
        <v>80</v>
      </c>
      <c r="B36" s="1" t="s">
        <v>22</v>
      </c>
      <c r="C36" s="1"/>
      <c r="D36" s="1"/>
      <c r="E36" s="1"/>
      <c r="F36" s="3">
        <v>43640</v>
      </c>
      <c r="G36" s="3">
        <v>43646</v>
      </c>
      <c r="H36" s="1" t="s">
        <v>16</v>
      </c>
      <c r="I36" s="4">
        <v>0</v>
      </c>
      <c r="J36" s="10" t="str">
        <f t="shared" ca="1" si="0"/>
        <v>R</v>
      </c>
    </row>
    <row r="37" spans="1:10" ht="15" customHeight="1" x14ac:dyDescent="0.35">
      <c r="A37" s="1" t="s">
        <v>81</v>
      </c>
      <c r="B37" s="1" t="s">
        <v>55</v>
      </c>
      <c r="C37" s="1"/>
      <c r="D37" s="1"/>
      <c r="E37" s="1"/>
      <c r="F37" s="3">
        <v>43647</v>
      </c>
      <c r="G37" s="3">
        <v>43651</v>
      </c>
      <c r="H37" s="1" t="s">
        <v>16</v>
      </c>
      <c r="I37" s="4">
        <v>0.27</v>
      </c>
      <c r="J37" s="10" t="str">
        <f t="shared" ca="1" si="0"/>
        <v>R</v>
      </c>
    </row>
    <row r="38" spans="1:10" ht="15" customHeight="1" x14ac:dyDescent="0.35">
      <c r="A38" s="1" t="s">
        <v>82</v>
      </c>
      <c r="B38" s="1" t="s">
        <v>22</v>
      </c>
      <c r="C38" s="1"/>
      <c r="D38" s="1"/>
      <c r="E38" s="1"/>
      <c r="F38" s="3">
        <v>43649</v>
      </c>
      <c r="G38" s="3">
        <v>43655</v>
      </c>
      <c r="H38" s="1" t="s">
        <v>16</v>
      </c>
      <c r="I38" s="4">
        <v>0</v>
      </c>
      <c r="J38" s="10" t="str">
        <f t="shared" ca="1" si="0"/>
        <v>R</v>
      </c>
    </row>
    <row r="39" spans="1:10" ht="15" customHeight="1" x14ac:dyDescent="0.35">
      <c r="A39" s="1" t="s">
        <v>83</v>
      </c>
      <c r="B39" s="1" t="s">
        <v>19</v>
      </c>
      <c r="C39" s="1"/>
      <c r="D39" s="1"/>
      <c r="E39" s="1"/>
      <c r="F39" s="3">
        <v>43656</v>
      </c>
      <c r="G39" s="3">
        <v>43658</v>
      </c>
      <c r="H39" s="1" t="s">
        <v>16</v>
      </c>
      <c r="I39" s="4">
        <v>0</v>
      </c>
      <c r="J39" s="10" t="str">
        <f t="shared" ca="1" si="0"/>
        <v>R</v>
      </c>
    </row>
    <row r="40" spans="1:10" ht="15" customHeight="1" x14ac:dyDescent="0.35">
      <c r="A40" s="1" t="s">
        <v>84</v>
      </c>
      <c r="B40" s="1" t="s">
        <v>53</v>
      </c>
      <c r="C40" s="1"/>
      <c r="D40" s="1"/>
      <c r="E40" s="1"/>
      <c r="F40" s="3">
        <v>43657</v>
      </c>
      <c r="G40" s="3">
        <v>43659</v>
      </c>
      <c r="H40" s="1" t="s">
        <v>16</v>
      </c>
      <c r="I40" s="4">
        <v>0.72</v>
      </c>
      <c r="J40" s="10" t="str">
        <f t="shared" ca="1" si="0"/>
        <v>R</v>
      </c>
    </row>
    <row r="41" spans="1:10" ht="15" customHeight="1" x14ac:dyDescent="0.35">
      <c r="A41" s="1" t="s">
        <v>85</v>
      </c>
      <c r="B41" s="1" t="s">
        <v>52</v>
      </c>
      <c r="C41" s="1"/>
      <c r="D41" s="1"/>
      <c r="E41" s="1"/>
      <c r="F41" s="3">
        <v>43657</v>
      </c>
      <c r="G41" s="3">
        <v>43664</v>
      </c>
      <c r="H41" s="1" t="s">
        <v>16</v>
      </c>
      <c r="I41" s="4">
        <v>0</v>
      </c>
      <c r="J41" s="10" t="str">
        <f t="shared" ca="1" si="0"/>
        <v>R</v>
      </c>
    </row>
    <row r="42" spans="1:10" ht="15" customHeight="1" x14ac:dyDescent="0.35">
      <c r="A42" s="1" t="s">
        <v>86</v>
      </c>
      <c r="B42" s="1" t="s">
        <v>48</v>
      </c>
      <c r="C42" s="1"/>
      <c r="D42" s="1"/>
      <c r="E42" s="1"/>
      <c r="F42" s="3">
        <v>43662</v>
      </c>
      <c r="G42" s="3">
        <v>43672</v>
      </c>
      <c r="H42" s="1" t="s">
        <v>16</v>
      </c>
      <c r="I42" s="4">
        <v>1</v>
      </c>
      <c r="J42" s="10" t="str">
        <f t="shared" ca="1" si="0"/>
        <v>R</v>
      </c>
    </row>
    <row r="43" spans="1:10" ht="15" customHeight="1" x14ac:dyDescent="0.35">
      <c r="A43" s="1" t="s">
        <v>87</v>
      </c>
      <c r="B43" s="1" t="s">
        <v>22</v>
      </c>
      <c r="C43" s="1"/>
      <c r="D43" s="1"/>
      <c r="E43" s="1"/>
      <c r="F43" s="3">
        <v>43673</v>
      </c>
      <c r="G43" s="3">
        <v>43681</v>
      </c>
      <c r="H43" s="1" t="s">
        <v>16</v>
      </c>
      <c r="I43" s="4">
        <v>0.72</v>
      </c>
      <c r="J43" s="10" t="str">
        <f t="shared" ca="1" si="0"/>
        <v>R</v>
      </c>
    </row>
    <row r="44" spans="1:10" ht="15" customHeight="1" x14ac:dyDescent="0.35">
      <c r="A44" s="1" t="s">
        <v>88</v>
      </c>
      <c r="B44" s="1" t="s">
        <v>55</v>
      </c>
      <c r="C44" s="1"/>
      <c r="D44" s="1"/>
      <c r="E44" s="1"/>
      <c r="F44" s="3">
        <v>43681</v>
      </c>
      <c r="G44" s="3">
        <v>43684</v>
      </c>
      <c r="H44" s="1" t="s">
        <v>16</v>
      </c>
      <c r="I44" s="4">
        <v>0.28999999999999998</v>
      </c>
      <c r="J44" s="10" t="str">
        <f t="shared" ca="1" si="0"/>
        <v>R</v>
      </c>
    </row>
    <row r="45" spans="1:10" ht="15" customHeight="1" x14ac:dyDescent="0.35">
      <c r="A45" s="1" t="s">
        <v>89</v>
      </c>
      <c r="B45" s="1" t="s">
        <v>51</v>
      </c>
      <c r="C45" s="1"/>
      <c r="D45" s="1"/>
      <c r="E45" s="1"/>
      <c r="F45" s="3">
        <v>43684</v>
      </c>
      <c r="G45" s="3">
        <v>43689</v>
      </c>
      <c r="H45" s="1" t="s">
        <v>16</v>
      </c>
      <c r="I45" s="4">
        <v>0</v>
      </c>
      <c r="J45" s="10" t="str">
        <f t="shared" ca="1" si="0"/>
        <v>R</v>
      </c>
    </row>
    <row r="46" spans="1:10" ht="15" customHeight="1" x14ac:dyDescent="0.35">
      <c r="A46" s="1" t="s">
        <v>90</v>
      </c>
      <c r="B46" s="1" t="s">
        <v>50</v>
      </c>
      <c r="C46" s="1"/>
      <c r="D46" s="1"/>
      <c r="E46" s="1"/>
      <c r="F46" s="3">
        <v>43689</v>
      </c>
      <c r="G46" s="3">
        <v>43696</v>
      </c>
      <c r="H46" s="1" t="s">
        <v>16</v>
      </c>
      <c r="I46" s="4">
        <v>0.85</v>
      </c>
      <c r="J46" s="10" t="str">
        <f t="shared" ca="1" si="0"/>
        <v>R</v>
      </c>
    </row>
    <row r="47" spans="1:10" ht="15" customHeight="1" x14ac:dyDescent="0.35">
      <c r="A47" s="1" t="s">
        <v>91</v>
      </c>
      <c r="B47" s="1" t="s">
        <v>22</v>
      </c>
      <c r="C47" s="1"/>
      <c r="D47" s="1"/>
      <c r="E47" s="1"/>
      <c r="F47" s="3">
        <v>43697</v>
      </c>
      <c r="G47" s="3">
        <v>43703</v>
      </c>
      <c r="H47" s="1" t="s">
        <v>16</v>
      </c>
      <c r="I47" s="4">
        <v>1</v>
      </c>
      <c r="J47" s="10" t="str">
        <f t="shared" ca="1" si="0"/>
        <v>R</v>
      </c>
    </row>
    <row r="48" spans="1:10" ht="15" customHeight="1" x14ac:dyDescent="0.35">
      <c r="A48" s="1" t="s">
        <v>92</v>
      </c>
      <c r="B48" s="1" t="s">
        <v>55</v>
      </c>
      <c r="C48" s="1"/>
      <c r="D48" s="1"/>
      <c r="E48" s="1"/>
      <c r="F48" s="3">
        <v>43704</v>
      </c>
      <c r="G48" s="3">
        <v>43713</v>
      </c>
      <c r="H48" s="1" t="s">
        <v>16</v>
      </c>
      <c r="I48" s="4">
        <v>1</v>
      </c>
      <c r="J48" s="10" t="str">
        <f t="shared" ca="1" si="0"/>
        <v>R</v>
      </c>
    </row>
    <row r="49" spans="1:10" ht="15" customHeight="1" x14ac:dyDescent="0.35">
      <c r="A49" s="1" t="s">
        <v>93</v>
      </c>
      <c r="B49" s="1" t="s">
        <v>47</v>
      </c>
      <c r="C49" s="1"/>
      <c r="D49" s="1"/>
      <c r="E49" s="1"/>
      <c r="F49" s="3">
        <v>43713</v>
      </c>
      <c r="G49" s="3">
        <v>43719</v>
      </c>
      <c r="H49" s="1" t="s">
        <v>16</v>
      </c>
      <c r="I49" s="4">
        <v>0</v>
      </c>
      <c r="J49" s="10" t="str">
        <f t="shared" ca="1" si="0"/>
        <v>R</v>
      </c>
    </row>
    <row r="50" spans="1:10" ht="15" customHeight="1" x14ac:dyDescent="0.35">
      <c r="A50" s="1" t="s">
        <v>94</v>
      </c>
      <c r="B50" s="1" t="s">
        <v>19</v>
      </c>
      <c r="C50" s="1"/>
      <c r="D50" s="1"/>
      <c r="E50" s="1"/>
      <c r="F50" s="3">
        <v>43720</v>
      </c>
      <c r="G50" s="3">
        <v>43724</v>
      </c>
      <c r="H50" s="1" t="s">
        <v>16</v>
      </c>
      <c r="I50" s="4">
        <v>0.65</v>
      </c>
      <c r="J50" s="10" t="str">
        <f t="shared" ca="1" si="0"/>
        <v>R</v>
      </c>
    </row>
    <row r="51" spans="1:10" ht="15" customHeight="1" x14ac:dyDescent="0.35">
      <c r="A51" s="1" t="s">
        <v>95</v>
      </c>
      <c r="B51" s="1" t="s">
        <v>44</v>
      </c>
      <c r="C51" s="1"/>
      <c r="D51" s="1"/>
      <c r="E51" s="1"/>
      <c r="F51" s="3">
        <v>43722</v>
      </c>
      <c r="G51" s="3">
        <v>43730</v>
      </c>
      <c r="H51" s="1" t="s">
        <v>16</v>
      </c>
      <c r="I51" s="4">
        <v>1</v>
      </c>
      <c r="J51" s="10" t="str">
        <f t="shared" ca="1" si="0"/>
        <v>R</v>
      </c>
    </row>
    <row r="52" spans="1:10" ht="15" customHeight="1" x14ac:dyDescent="0.35">
      <c r="A52" s="1" t="s">
        <v>96</v>
      </c>
      <c r="B52" s="1" t="s">
        <v>43</v>
      </c>
      <c r="C52" s="1"/>
      <c r="D52" s="1"/>
      <c r="E52" s="1"/>
      <c r="F52" s="3">
        <v>43728</v>
      </c>
      <c r="G52" s="3">
        <v>43737</v>
      </c>
      <c r="H52" s="1" t="s">
        <v>16</v>
      </c>
      <c r="I52" s="4">
        <v>0</v>
      </c>
      <c r="J52" s="10" t="str">
        <f t="shared" ca="1" si="0"/>
        <v>R</v>
      </c>
    </row>
    <row r="53" spans="1:10" ht="15" customHeight="1" x14ac:dyDescent="0.35">
      <c r="A53" s="1" t="s">
        <v>97</v>
      </c>
      <c r="B53" s="1" t="s">
        <v>18</v>
      </c>
      <c r="C53" s="1"/>
      <c r="D53" s="1"/>
      <c r="E53" s="1"/>
      <c r="F53" s="3">
        <v>43736</v>
      </c>
      <c r="G53" s="3">
        <v>43738</v>
      </c>
      <c r="H53" s="1" t="s">
        <v>16</v>
      </c>
      <c r="I53" s="4">
        <v>0.71</v>
      </c>
      <c r="J53" s="10" t="str">
        <f t="shared" ca="1" si="0"/>
        <v>R</v>
      </c>
    </row>
    <row r="54" spans="1:10" ht="15" customHeight="1" x14ac:dyDescent="0.35">
      <c r="A54" s="1" t="s">
        <v>98</v>
      </c>
      <c r="B54" s="1" t="s">
        <v>19</v>
      </c>
      <c r="C54" s="1"/>
      <c r="D54" s="1"/>
      <c r="E54" s="1"/>
      <c r="F54" s="3">
        <v>43737</v>
      </c>
      <c r="G54" s="3">
        <v>43742</v>
      </c>
      <c r="H54" s="1" t="s">
        <v>16</v>
      </c>
      <c r="I54" s="4">
        <v>0.44</v>
      </c>
      <c r="J54" s="10" t="str">
        <f t="shared" ca="1" si="0"/>
        <v>R</v>
      </c>
    </row>
    <row r="55" spans="1:10" ht="15" customHeight="1" x14ac:dyDescent="0.35">
      <c r="A55" s="1" t="s">
        <v>99</v>
      </c>
      <c r="B55" s="1" t="s">
        <v>50</v>
      </c>
      <c r="C55" s="1"/>
      <c r="D55" s="1"/>
      <c r="E55" s="1"/>
      <c r="F55" s="3">
        <v>43742</v>
      </c>
      <c r="G55" s="3">
        <v>43746</v>
      </c>
      <c r="H55" s="1" t="s">
        <v>16</v>
      </c>
      <c r="I55" s="4">
        <v>1</v>
      </c>
      <c r="J55" s="10" t="str">
        <f t="shared" ca="1" si="0"/>
        <v>R</v>
      </c>
    </row>
    <row r="56" spans="1:10" ht="15" customHeight="1" x14ac:dyDescent="0.35">
      <c r="A56" s="1" t="s">
        <v>100</v>
      </c>
      <c r="B56" s="1" t="s">
        <v>55</v>
      </c>
      <c r="C56" s="1"/>
      <c r="D56" s="1"/>
      <c r="E56" s="1"/>
      <c r="F56" s="3">
        <v>43746</v>
      </c>
      <c r="G56" s="3">
        <v>43752</v>
      </c>
      <c r="H56" s="1" t="s">
        <v>16</v>
      </c>
      <c r="I56" s="4">
        <v>0</v>
      </c>
      <c r="J56" s="10" t="str">
        <f t="shared" ca="1" si="0"/>
        <v>R</v>
      </c>
    </row>
    <row r="57" spans="1:10" ht="15" customHeight="1" x14ac:dyDescent="0.35">
      <c r="A57" s="1" t="s">
        <v>101</v>
      </c>
      <c r="B57" s="1" t="s">
        <v>47</v>
      </c>
      <c r="C57" s="1"/>
      <c r="D57" s="1"/>
      <c r="E57" s="1"/>
      <c r="F57" s="3">
        <v>43752</v>
      </c>
      <c r="G57" s="3">
        <v>43754</v>
      </c>
      <c r="H57" s="1" t="s">
        <v>16</v>
      </c>
      <c r="I57" s="4">
        <v>1</v>
      </c>
      <c r="J57" s="10" t="str">
        <f t="shared" ca="1" si="0"/>
        <v>R</v>
      </c>
    </row>
    <row r="58" spans="1:10" ht="15" customHeight="1" x14ac:dyDescent="0.35">
      <c r="A58" s="1" t="s">
        <v>102</v>
      </c>
      <c r="B58" s="1" t="s">
        <v>18</v>
      </c>
      <c r="C58" s="1"/>
      <c r="D58" s="1"/>
      <c r="E58" s="1"/>
      <c r="F58" s="3">
        <v>43752</v>
      </c>
      <c r="G58" s="3">
        <v>43757</v>
      </c>
      <c r="H58" s="1" t="s">
        <v>16</v>
      </c>
      <c r="I58" s="4">
        <v>0.61</v>
      </c>
      <c r="J58" s="10" t="str">
        <f t="shared" ca="1" si="0"/>
        <v>R</v>
      </c>
    </row>
    <row r="59" spans="1:10" ht="15" customHeight="1" x14ac:dyDescent="0.35">
      <c r="A59" s="1" t="s">
        <v>103</v>
      </c>
      <c r="B59" s="1" t="s">
        <v>50</v>
      </c>
      <c r="C59" s="1"/>
      <c r="D59" s="1"/>
      <c r="E59" s="1"/>
      <c r="F59" s="3">
        <v>43757</v>
      </c>
      <c r="G59" s="3">
        <v>43763</v>
      </c>
      <c r="H59" s="1" t="s">
        <v>16</v>
      </c>
      <c r="I59" s="4">
        <v>1</v>
      </c>
      <c r="J59" s="10" t="str">
        <f t="shared" ca="1" si="0"/>
        <v>R</v>
      </c>
    </row>
    <row r="60" spans="1:10" ht="15" customHeight="1" x14ac:dyDescent="0.35">
      <c r="A60" s="1" t="s">
        <v>104</v>
      </c>
      <c r="B60" s="1" t="s">
        <v>19</v>
      </c>
      <c r="C60" s="1"/>
      <c r="D60" s="1"/>
      <c r="E60" s="1"/>
      <c r="F60" s="3">
        <v>43763</v>
      </c>
      <c r="G60" s="3">
        <v>43773</v>
      </c>
      <c r="H60" s="1" t="s">
        <v>16</v>
      </c>
      <c r="I60" s="4">
        <v>0</v>
      </c>
      <c r="J60" s="10" t="str">
        <f t="shared" ca="1" si="0"/>
        <v>R</v>
      </c>
    </row>
    <row r="61" spans="1:10" ht="15" customHeight="1" x14ac:dyDescent="0.35">
      <c r="A61" s="1" t="s">
        <v>105</v>
      </c>
      <c r="B61" s="1" t="s">
        <v>48</v>
      </c>
      <c r="C61" s="1"/>
      <c r="D61" s="1"/>
      <c r="E61" s="1"/>
      <c r="F61" s="3">
        <v>43771</v>
      </c>
      <c r="G61" s="3">
        <v>43781</v>
      </c>
      <c r="H61" s="1" t="s">
        <v>16</v>
      </c>
      <c r="I61" s="4">
        <v>1</v>
      </c>
      <c r="J61" s="10" t="str">
        <f t="shared" ca="1" si="0"/>
        <v>R</v>
      </c>
    </row>
    <row r="62" spans="1:10" ht="15" customHeight="1" x14ac:dyDescent="0.35">
      <c r="A62" s="1" t="s">
        <v>106</v>
      </c>
      <c r="B62" s="1" t="s">
        <v>52</v>
      </c>
      <c r="C62" s="1"/>
      <c r="D62" s="1"/>
      <c r="E62" s="1"/>
      <c r="F62" s="3">
        <v>43779</v>
      </c>
      <c r="G62" s="3">
        <v>43782</v>
      </c>
      <c r="H62" s="1" t="s">
        <v>16</v>
      </c>
      <c r="I62" s="4">
        <v>1</v>
      </c>
      <c r="J62" s="10" t="str">
        <f t="shared" ca="1" si="0"/>
        <v>R</v>
      </c>
    </row>
    <row r="63" spans="1:10" ht="15" customHeight="1" x14ac:dyDescent="0.35">
      <c r="A63" s="1" t="s">
        <v>107</v>
      </c>
      <c r="B63" s="1" t="s">
        <v>21</v>
      </c>
      <c r="C63" s="1"/>
      <c r="D63" s="1"/>
      <c r="E63" s="1"/>
      <c r="F63" s="3">
        <v>43783</v>
      </c>
      <c r="G63" s="3">
        <v>43789</v>
      </c>
      <c r="H63" s="1" t="s">
        <v>16</v>
      </c>
      <c r="I63" s="4">
        <v>0.59</v>
      </c>
      <c r="J63" s="10" t="str">
        <f t="shared" ca="1" si="0"/>
        <v>R</v>
      </c>
    </row>
    <row r="64" spans="1:10" ht="15" customHeight="1" x14ac:dyDescent="0.35">
      <c r="A64" s="1" t="s">
        <v>108</v>
      </c>
      <c r="B64" s="1" t="s">
        <v>20</v>
      </c>
      <c r="C64" s="1"/>
      <c r="D64" s="1"/>
      <c r="E64" s="1"/>
      <c r="F64" s="3">
        <v>43789</v>
      </c>
      <c r="G64" s="3">
        <v>43791</v>
      </c>
      <c r="H64" s="1" t="s">
        <v>16</v>
      </c>
      <c r="I64" s="4">
        <v>0.74</v>
      </c>
      <c r="J64" s="10" t="str">
        <f t="shared" ca="1" si="0"/>
        <v>R</v>
      </c>
    </row>
    <row r="65" spans="1:10" ht="15" customHeight="1" x14ac:dyDescent="0.35">
      <c r="A65" s="1" t="s">
        <v>109</v>
      </c>
      <c r="B65" s="1" t="s">
        <v>45</v>
      </c>
      <c r="C65" s="1"/>
      <c r="D65" s="1"/>
      <c r="E65" s="1"/>
      <c r="F65" s="3">
        <v>43792</v>
      </c>
      <c r="G65" s="3">
        <v>43802</v>
      </c>
      <c r="H65" s="1" t="s">
        <v>16</v>
      </c>
      <c r="I65" s="4">
        <v>0</v>
      </c>
      <c r="J65" s="10" t="str">
        <f t="shared" ca="1" si="0"/>
        <v>R</v>
      </c>
    </row>
    <row r="66" spans="1:10" ht="15" customHeight="1" x14ac:dyDescent="0.35">
      <c r="A66" s="1" t="s">
        <v>110</v>
      </c>
      <c r="B66" s="1" t="s">
        <v>19</v>
      </c>
      <c r="C66" s="1"/>
      <c r="D66" s="1"/>
      <c r="E66" s="1"/>
      <c r="F66" s="3">
        <v>43801</v>
      </c>
      <c r="G66" s="3">
        <v>43808</v>
      </c>
      <c r="H66" s="1" t="s">
        <v>16</v>
      </c>
      <c r="I66" s="4">
        <v>1</v>
      </c>
      <c r="J66" s="10" t="str">
        <f t="shared" ca="1" si="0"/>
        <v>R</v>
      </c>
    </row>
    <row r="67" spans="1:10" ht="15" customHeight="1" x14ac:dyDescent="0.35">
      <c r="A67" s="1" t="s">
        <v>111</v>
      </c>
      <c r="B67" s="1" t="s">
        <v>47</v>
      </c>
      <c r="C67" s="1"/>
      <c r="D67" s="1"/>
      <c r="E67" s="1"/>
      <c r="F67" s="3">
        <v>43807</v>
      </c>
      <c r="G67" s="3">
        <v>43810</v>
      </c>
      <c r="H67" s="1" t="s">
        <v>16</v>
      </c>
      <c r="I67" s="4">
        <v>0.61</v>
      </c>
      <c r="J67" s="10" t="str">
        <f t="shared" ref="J67:J73" ca="1" si="1">IF(H67="Completed","G",IF(H67="In Progress",IF(TODAY()&gt;G67,"A","G"),IF(H67="Pending",IF(TODAY()&gt;F67,"R",""),"")))</f>
        <v>R</v>
      </c>
    </row>
    <row r="68" spans="1:10" ht="15" customHeight="1" x14ac:dyDescent="0.35">
      <c r="A68" s="1" t="s">
        <v>112</v>
      </c>
      <c r="B68" s="1" t="s">
        <v>55</v>
      </c>
      <c r="C68" s="1"/>
      <c r="D68" s="1"/>
      <c r="E68" s="1"/>
      <c r="F68" s="3">
        <v>43808</v>
      </c>
      <c r="G68" s="3">
        <v>43818</v>
      </c>
      <c r="H68" s="1" t="s">
        <v>16</v>
      </c>
      <c r="I68" s="4">
        <v>0.53</v>
      </c>
      <c r="J68" s="10" t="str">
        <f t="shared" ca="1" si="1"/>
        <v>R</v>
      </c>
    </row>
    <row r="69" spans="1:10" ht="15" customHeight="1" x14ac:dyDescent="0.35">
      <c r="A69" s="1" t="s">
        <v>113</v>
      </c>
      <c r="B69" s="1" t="s">
        <v>42</v>
      </c>
      <c r="C69" s="1"/>
      <c r="D69" s="1"/>
      <c r="E69" s="1"/>
      <c r="F69" s="3">
        <v>43818</v>
      </c>
      <c r="G69" s="3">
        <v>43823</v>
      </c>
      <c r="H69" s="1" t="s">
        <v>16</v>
      </c>
      <c r="I69" s="4">
        <v>0</v>
      </c>
      <c r="J69" s="10" t="str">
        <f t="shared" ca="1" si="1"/>
        <v>R</v>
      </c>
    </row>
    <row r="70" spans="1:10" ht="15" customHeight="1" x14ac:dyDescent="0.35">
      <c r="A70" s="1" t="s">
        <v>114</v>
      </c>
      <c r="B70" s="1" t="s">
        <v>50</v>
      </c>
      <c r="C70" s="1"/>
      <c r="D70" s="1"/>
      <c r="E70" s="1"/>
      <c r="F70" s="3">
        <v>43823</v>
      </c>
      <c r="G70" s="3">
        <v>43830</v>
      </c>
      <c r="H70" s="1" t="s">
        <v>16</v>
      </c>
      <c r="I70" s="4">
        <v>0.46</v>
      </c>
      <c r="J70" s="10" t="str">
        <f t="shared" ca="1" si="1"/>
        <v>R</v>
      </c>
    </row>
    <row r="71" spans="1:10" ht="15" customHeight="1" x14ac:dyDescent="0.35">
      <c r="A71" s="1" t="s">
        <v>115</v>
      </c>
      <c r="B71" s="1" t="s">
        <v>41</v>
      </c>
      <c r="C71" s="1"/>
      <c r="D71" s="1"/>
      <c r="E71" s="1"/>
      <c r="F71" s="3">
        <v>43829</v>
      </c>
      <c r="G71" s="3">
        <v>43834</v>
      </c>
      <c r="H71" s="1" t="s">
        <v>16</v>
      </c>
      <c r="I71" s="4">
        <v>0</v>
      </c>
      <c r="J71" s="10" t="str">
        <f t="shared" ca="1" si="1"/>
        <v>R</v>
      </c>
    </row>
    <row r="72" spans="1:10" ht="15" customHeight="1" x14ac:dyDescent="0.35">
      <c r="A72" s="1" t="s">
        <v>116</v>
      </c>
      <c r="B72" s="1" t="s">
        <v>55</v>
      </c>
      <c r="C72" s="1"/>
      <c r="D72" s="1"/>
      <c r="E72" s="1"/>
      <c r="F72" s="3">
        <v>43835</v>
      </c>
      <c r="G72" s="3">
        <v>43841</v>
      </c>
      <c r="H72" s="1" t="s">
        <v>16</v>
      </c>
      <c r="I72" s="4">
        <v>1</v>
      </c>
      <c r="J72" s="10" t="str">
        <f t="shared" ca="1" si="1"/>
        <v>R</v>
      </c>
    </row>
    <row r="73" spans="1:10" ht="15" customHeight="1" x14ac:dyDescent="0.35">
      <c r="A73" s="1" t="s">
        <v>117</v>
      </c>
      <c r="B73" s="1" t="s">
        <v>54</v>
      </c>
      <c r="C73" s="1"/>
      <c r="D73" s="1"/>
      <c r="E73" s="1"/>
      <c r="F73" s="3">
        <v>43842</v>
      </c>
      <c r="G73" s="3">
        <v>43850</v>
      </c>
      <c r="H73" s="1" t="s">
        <v>16</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election activeCell="F6" sqref="F6"/>
    </sheetView>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23</v>
      </c>
      <c r="C2" s="2" t="s">
        <v>30</v>
      </c>
      <c r="E2" s="2" t="s">
        <v>30</v>
      </c>
      <c r="F2" s="2" t="s">
        <v>34</v>
      </c>
      <c r="H2" s="2" t="s">
        <v>40</v>
      </c>
      <c r="J2" s="2" t="s">
        <v>14</v>
      </c>
    </row>
    <row r="3" spans="2:10" ht="15" customHeight="1" x14ac:dyDescent="0.35">
      <c r="B3" s="1" t="s">
        <v>24</v>
      </c>
      <c r="C3" s="1" t="s">
        <v>31</v>
      </c>
      <c r="E3" s="5" t="s">
        <v>35</v>
      </c>
      <c r="F3" s="3">
        <v>43766</v>
      </c>
      <c r="H3" s="1" t="s">
        <v>18</v>
      </c>
      <c r="J3" s="1" t="s">
        <v>17</v>
      </c>
    </row>
    <row r="4" spans="2:10" ht="15" customHeight="1" x14ac:dyDescent="0.35">
      <c r="B4" s="1" t="s">
        <v>25</v>
      </c>
      <c r="C4" s="1" t="s">
        <v>32</v>
      </c>
      <c r="E4" s="1" t="s">
        <v>36</v>
      </c>
      <c r="F4" s="3">
        <v>43814</v>
      </c>
      <c r="H4" s="1" t="s">
        <v>19</v>
      </c>
      <c r="J4" s="1" t="s">
        <v>16</v>
      </c>
    </row>
    <row r="5" spans="2:10" ht="15" customHeight="1" x14ac:dyDescent="0.35">
      <c r="B5" s="1" t="s">
        <v>26</v>
      </c>
      <c r="C5" s="1" t="s">
        <v>32</v>
      </c>
      <c r="E5" s="1"/>
      <c r="F5" s="3">
        <v>43475</v>
      </c>
      <c r="H5" s="1" t="s">
        <v>20</v>
      </c>
      <c r="J5" s="1" t="s">
        <v>118</v>
      </c>
    </row>
    <row r="6" spans="2:10" ht="15" customHeight="1" x14ac:dyDescent="0.35">
      <c r="B6" s="1" t="s">
        <v>27</v>
      </c>
      <c r="C6" s="1" t="s">
        <v>32</v>
      </c>
      <c r="E6" s="1"/>
      <c r="F6" s="3">
        <v>43500</v>
      </c>
      <c r="H6" s="1" t="s">
        <v>21</v>
      </c>
      <c r="J6" s="1"/>
    </row>
    <row r="7" spans="2:10" ht="15" customHeight="1" x14ac:dyDescent="0.35">
      <c r="B7" s="1" t="s">
        <v>28</v>
      </c>
      <c r="C7" s="1" t="s">
        <v>32</v>
      </c>
      <c r="E7" s="1"/>
      <c r="F7" s="3"/>
      <c r="H7" s="1" t="s">
        <v>22</v>
      </c>
      <c r="J7" s="1"/>
    </row>
    <row r="8" spans="2:10" ht="15" customHeight="1" x14ac:dyDescent="0.35">
      <c r="B8" s="1" t="s">
        <v>29</v>
      </c>
      <c r="C8" s="1" t="s">
        <v>32</v>
      </c>
      <c r="E8" s="1"/>
      <c r="F8" s="3"/>
      <c r="H8" s="1" t="s">
        <v>41</v>
      </c>
      <c r="J8" s="1"/>
    </row>
    <row r="9" spans="2:10" ht="15" customHeight="1" x14ac:dyDescent="0.35">
      <c r="B9" s="1" t="s">
        <v>33</v>
      </c>
      <c r="C9" s="1" t="s">
        <v>31</v>
      </c>
      <c r="E9" s="1"/>
      <c r="F9" s="3"/>
      <c r="H9" s="1" t="s">
        <v>42</v>
      </c>
    </row>
    <row r="10" spans="2:10" x14ac:dyDescent="0.35">
      <c r="H10" s="1" t="s">
        <v>43</v>
      </c>
    </row>
    <row r="11" spans="2:10" x14ac:dyDescent="0.35">
      <c r="H11" s="1" t="s">
        <v>44</v>
      </c>
    </row>
    <row r="12" spans="2:10" x14ac:dyDescent="0.35">
      <c r="H12" s="1" t="s">
        <v>45</v>
      </c>
    </row>
    <row r="13" spans="2:10" x14ac:dyDescent="0.35">
      <c r="H13" s="1" t="s">
        <v>46</v>
      </c>
    </row>
    <row r="14" spans="2:10" x14ac:dyDescent="0.35">
      <c r="H14" s="1" t="s">
        <v>47</v>
      </c>
    </row>
    <row r="15" spans="2:10" x14ac:dyDescent="0.35">
      <c r="H15" s="1" t="s">
        <v>48</v>
      </c>
    </row>
    <row r="16" spans="2:10" x14ac:dyDescent="0.35">
      <c r="H16" s="1" t="s">
        <v>49</v>
      </c>
    </row>
    <row r="17" spans="8:8" x14ac:dyDescent="0.35">
      <c r="H17" s="1" t="s">
        <v>50</v>
      </c>
    </row>
    <row r="18" spans="8:8" x14ac:dyDescent="0.35">
      <c r="H18" s="1" t="s">
        <v>51</v>
      </c>
    </row>
    <row r="19" spans="8:8" x14ac:dyDescent="0.35">
      <c r="H19" s="1" t="s">
        <v>52</v>
      </c>
    </row>
    <row r="20" spans="8:8" x14ac:dyDescent="0.35">
      <c r="H20" s="1" t="s">
        <v>53</v>
      </c>
    </row>
    <row r="21" spans="8:8" x14ac:dyDescent="0.35">
      <c r="H21" s="1" t="s">
        <v>54</v>
      </c>
    </row>
    <row r="22" spans="8:8" x14ac:dyDescent="0.35">
      <c r="H22" s="1" t="s">
        <v>55</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election activeCell="F6" sqref="F6"/>
    </sheetView>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51" t="s">
        <v>121</v>
      </c>
      <c r="C1" s="351"/>
      <c r="D1" s="351"/>
      <c r="E1" s="351"/>
      <c r="F1" s="351"/>
      <c r="G1" s="351"/>
      <c r="M1" s="12" t="s">
        <v>125</v>
      </c>
    </row>
    <row r="2" spans="1:16" x14ac:dyDescent="0.35">
      <c r="A2" s="8" t="s">
        <v>0</v>
      </c>
      <c r="B2" s="7" t="s">
        <v>119</v>
      </c>
      <c r="C2" t="s">
        <v>14</v>
      </c>
      <c r="D2" t="s">
        <v>16</v>
      </c>
      <c r="E2" t="s">
        <v>118</v>
      </c>
      <c r="F2" t="s">
        <v>17</v>
      </c>
      <c r="G2" t="s">
        <v>120</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120</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37</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38</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39</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119</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120</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16</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118</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17</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127</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129</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128</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52" t="str">
        <f ca="1">N17</f>
        <v>R</v>
      </c>
      <c r="O23" s="352"/>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52"/>
      <c r="O24" s="352"/>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52"/>
      <c r="O25" s="352"/>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52"/>
      <c r="O26" s="352"/>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8FFEFE4-0D9C-4A8A-BB4D-5F07F9A94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BB8E9DD-9F59-4787-BA44-9FEF3CEE8D9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AF3F689-0C26-4183-844B-61E651E1F1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Mapping</vt:lpstr>
      <vt:lpstr>Dashboard</vt:lpstr>
      <vt:lpstr>Intro</vt:lpstr>
      <vt:lpstr>Step 1</vt:lpstr>
      <vt:lpstr>Step 2</vt:lpstr>
      <vt:lpstr>Step 3</vt:lpstr>
      <vt:lpstr>Step 4</vt:lpstr>
      <vt:lpstr>Step 5</vt:lpstr>
      <vt:lpstr>Cost</vt:lpstr>
      <vt:lpstr>Other Issues</vt:lpstr>
      <vt:lpstr>Assesment</vt:lpstr>
      <vt:lpstr>Conclusion</vt:lpstr>
      <vt:lpstr>Data</vt:lpstr>
      <vt:lpstr>Settings</vt:lpstr>
      <vt:lpstr>Support</vt:lpstr>
      <vt:lpstr>'Other Issues'!_Hlk503774654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Priyendra Kumar</dc:creator>
  <cp:lastModifiedBy>Ashish Gupta</cp:lastModifiedBy>
  <dcterms:created xsi:type="dcterms:W3CDTF">2019-09-18T08:51:50Z</dcterms:created>
  <dcterms:modified xsi:type="dcterms:W3CDTF">2025-08-02T05:42:45Z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