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AshishGupta\OneDrive - Uniqus Consultech Inc\Clients-Ashish-Gupta\WNS\AI\"/>
    </mc:Choice>
  </mc:AlternateContent>
  <xr:revisionPtr revIDLastSave="0" documentId="13_ncr:1_{FD37BE66-8A69-466A-96F2-642737F309E5}" xr6:coauthVersionLast="47" xr6:coauthVersionMax="47" xr10:uidLastSave="{00000000-0000-0000-0000-000000000000}"/>
  <bookViews>
    <workbookView xWindow="-110" yWindow="-110" windowWidth="19420" windowHeight="10300" firstSheet="5" activeTab="10" xr2:uid="{00000000-000D-0000-FFFF-FFFF00000000}"/>
  </bookViews>
  <sheets>
    <sheet name="Mapping" sheetId="33" r:id="rId1"/>
    <sheet name="Dashboard" sheetId="1" r:id="rId2"/>
    <sheet name="Intro" sheetId="23" r:id="rId3"/>
    <sheet name="Step 1" sheetId="24" r:id="rId4"/>
    <sheet name="Step 2" sheetId="25" r:id="rId5"/>
    <sheet name="Step 3" sheetId="26" r:id="rId6"/>
    <sheet name="Step 4" sheetId="27" r:id="rId7"/>
    <sheet name="Step 5" sheetId="28" r:id="rId8"/>
    <sheet name="Cost" sheetId="29" r:id="rId9"/>
    <sheet name="Other Issues" sheetId="30" r:id="rId10"/>
    <sheet name="Assesment" sheetId="32" r:id="rId11"/>
    <sheet name="Sheet1" sheetId="35" state="hidden" r:id="rId12"/>
    <sheet name="Sheet2" sheetId="36" state="hidden" r:id="rId13"/>
    <sheet name="Sheet3" sheetId="37" state="hidden" r:id="rId14"/>
    <sheet name="Conclusion" sheetId="34" r:id="rId15"/>
    <sheet name="Data" sheetId="7" state="hidden" r:id="rId16"/>
    <sheet name="Settings" sheetId="8" state="hidden" r:id="rId17"/>
    <sheet name="Support" sheetId="10" state="hidden" r:id="rId18"/>
  </sheets>
  <definedNames>
    <definedName name="_xlnm._FilterDatabase" localSheetId="1" hidden="1">Dashboard!$D$9:$F$11</definedName>
    <definedName name="_xlnm._FilterDatabase" localSheetId="15" hidden="1">Data!$A$1:$I$73</definedName>
    <definedName name="_xlnm._FilterDatabase" localSheetId="4" hidden="1">'Step 2'!$D$22:$H$30</definedName>
    <definedName name="_xlnm._FilterDatabase" localSheetId="7" hidden="1">'Step 5'!$D$16:$H$20</definedName>
    <definedName name="_Hlk503774654" localSheetId="9">'Other Issues'!$D$10</definedName>
    <definedName name="CBB">OFFSET(Mapping!$D$2,0,0,COUNTA(Mapping!$D:$D),1)</definedName>
    <definedName name="Yes_No">OFFSET(Mapping!$A$2,0,0,COUNTA(Mapping!$A:$A),1)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7" i="34" l="1" a="1"/>
  <c r="E17" i="34" s="1"/>
  <c r="E16" i="34" a="1"/>
  <c r="E16" i="34" s="1"/>
  <c r="E13" i="34" a="1"/>
  <c r="E13" i="34" s="1"/>
  <c r="E12" i="34" a="1"/>
  <c r="E12" i="34" s="1"/>
  <c r="E11" i="34" a="1"/>
  <c r="E11" i="34" s="1"/>
  <c r="E10" i="34" a="1"/>
  <c r="E10" i="34" s="1"/>
  <c r="D45" i="26"/>
  <c r="D44" i="26"/>
  <c r="D43" i="26"/>
  <c r="D42" i="26"/>
  <c r="E27" i="26"/>
  <c r="E26" i="26"/>
  <c r="E25" i="26"/>
  <c r="E24" i="26"/>
  <c r="F50" i="26" l="1"/>
  <c r="F49" i="26"/>
  <c r="F48" i="26"/>
  <c r="F47" i="26"/>
  <c r="F46" i="26"/>
  <c r="F45" i="26"/>
  <c r="F44" i="26"/>
  <c r="F43" i="26"/>
  <c r="F42" i="26"/>
  <c r="E7" i="34" a="1"/>
  <c r="E7" i="34" s="1"/>
  <c r="E4" i="34" a="1"/>
  <c r="E4" i="34" s="1"/>
  <c r="D50" i="26"/>
  <c r="D49" i="26"/>
  <c r="D48" i="26"/>
  <c r="D47" i="26"/>
  <c r="D46" i="26"/>
  <c r="E32" i="26"/>
  <c r="E31" i="26"/>
  <c r="E30" i="26"/>
  <c r="E29" i="26"/>
  <c r="E28" i="26"/>
  <c r="G23" i="25" l="1"/>
  <c r="H20" i="28"/>
  <c r="E23" i="34" s="1"/>
  <c r="H19" i="28"/>
  <c r="E22" i="34" s="1"/>
  <c r="H18" i="28"/>
  <c r="E21" i="34" s="1"/>
  <c r="H17" i="28"/>
  <c r="E20" i="34" s="1"/>
  <c r="G26" i="25"/>
  <c r="G25" i="25"/>
  <c r="D29" i="27" s="1"/>
  <c r="G24" i="25"/>
  <c r="D27" i="27" l="1"/>
  <c r="E21" i="27"/>
  <c r="D28" i="27"/>
  <c r="I22" i="28"/>
  <c r="D26" i="24"/>
  <c r="J5" i="7"/>
  <c r="J6" i="7"/>
  <c r="J7" i="7"/>
  <c r="J8" i="7"/>
  <c r="J9" i="7"/>
  <c r="J10" i="7"/>
  <c r="J11" i="7"/>
  <c r="J12" i="7"/>
  <c r="J13" i="7"/>
  <c r="J14" i="7"/>
  <c r="J15" i="7"/>
  <c r="J16" i="7"/>
  <c r="J17" i="7"/>
  <c r="J18" i="7"/>
  <c r="J19" i="7"/>
  <c r="J20" i="7"/>
  <c r="J21" i="7"/>
  <c r="J22" i="7"/>
  <c r="J23" i="7"/>
  <c r="J24" i="7"/>
  <c r="J25" i="7"/>
  <c r="J26" i="7"/>
  <c r="J27" i="7"/>
  <c r="J28" i="7"/>
  <c r="J29" i="7"/>
  <c r="J30" i="7"/>
  <c r="J31" i="7"/>
  <c r="J32" i="7"/>
  <c r="J33" i="7"/>
  <c r="J34" i="7"/>
  <c r="J35" i="7"/>
  <c r="J36" i="7"/>
  <c r="J37" i="7"/>
  <c r="J38" i="7"/>
  <c r="J39" i="7"/>
  <c r="J40" i="7"/>
  <c r="J41" i="7"/>
  <c r="J42" i="7"/>
  <c r="J43" i="7"/>
  <c r="J44" i="7"/>
  <c r="J45" i="7"/>
  <c r="J46" i="7"/>
  <c r="J47" i="7"/>
  <c r="J48" i="7"/>
  <c r="J49" i="7"/>
  <c r="J50" i="7"/>
  <c r="J51" i="7"/>
  <c r="J52" i="7"/>
  <c r="J53" i="7"/>
  <c r="J54" i="7"/>
  <c r="J55" i="7"/>
  <c r="J56" i="7"/>
  <c r="J57" i="7"/>
  <c r="J58" i="7"/>
  <c r="J59" i="7"/>
  <c r="J60" i="7"/>
  <c r="J61" i="7"/>
  <c r="J62" i="7"/>
  <c r="J63" i="7"/>
  <c r="J64" i="7"/>
  <c r="J65" i="7"/>
  <c r="J66" i="7"/>
  <c r="J67" i="7"/>
  <c r="J68" i="7"/>
  <c r="J69" i="7"/>
  <c r="J70" i="7"/>
  <c r="J71" i="7"/>
  <c r="J72" i="7"/>
  <c r="J73" i="7"/>
  <c r="J3" i="7"/>
  <c r="J4" i="7"/>
  <c r="J2" i="7"/>
  <c r="N13" i="10"/>
  <c r="N14" i="10"/>
  <c r="N12" i="10"/>
  <c r="N5" i="10"/>
  <c r="N6" i="10"/>
  <c r="N4" i="10"/>
  <c r="N3" i="10" l="1"/>
  <c r="O3" i="10" s="1"/>
  <c r="N19" i="10"/>
  <c r="N18" i="10"/>
  <c r="N17" i="10"/>
  <c r="N11" i="10"/>
  <c r="O12" i="10" l="1"/>
  <c r="O11" i="10"/>
  <c r="O5" i="10"/>
  <c r="O6" i="10"/>
  <c r="O4" i="10"/>
  <c r="N23" i="10"/>
  <c r="O18" i="10"/>
  <c r="O19" i="10"/>
  <c r="O14" i="10"/>
  <c r="P14" i="10" s="1"/>
  <c r="O13" i="10"/>
  <c r="P13" i="10" s="1"/>
  <c r="P12" i="10" l="1"/>
  <c r="A3" i="10"/>
  <c r="A4" i="10" s="1"/>
  <c r="C4" i="10" l="1"/>
  <c r="E4" i="10" s="1"/>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B4" i="10"/>
  <c r="C3" i="10"/>
  <c r="F3" i="10" s="1"/>
  <c r="B3" i="10"/>
  <c r="F4" i="10" l="1"/>
  <c r="D4" i="10"/>
  <c r="D3" i="10"/>
  <c r="E3" i="10"/>
  <c r="G4" i="10" l="1"/>
  <c r="G3" i="10"/>
  <c r="C5" i="10" l="1"/>
  <c r="B5" i="10"/>
  <c r="B6" i="10" l="1"/>
  <c r="C6" i="10"/>
  <c r="F5" i="10"/>
  <c r="D5" i="10"/>
  <c r="E5" i="10"/>
  <c r="F6" i="10" l="1"/>
  <c r="D6" i="10"/>
  <c r="E6" i="10"/>
  <c r="G5" i="10"/>
  <c r="B7" i="10"/>
  <c r="C7" i="10"/>
  <c r="B8" i="10" l="1"/>
  <c r="C8" i="10"/>
  <c r="D7" i="10"/>
  <c r="E7" i="10"/>
  <c r="F7" i="10"/>
  <c r="G6" i="10"/>
  <c r="G7" i="10" l="1"/>
  <c r="D8" i="10"/>
  <c r="E8" i="10"/>
  <c r="F8" i="10"/>
  <c r="B9" i="10"/>
  <c r="C9" i="10"/>
  <c r="B10" i="10" l="1"/>
  <c r="C10" i="10"/>
  <c r="F9" i="10"/>
  <c r="D9" i="10"/>
  <c r="E9" i="10"/>
  <c r="G8" i="10"/>
  <c r="C11" i="10" l="1"/>
  <c r="B11" i="10"/>
  <c r="F10" i="10"/>
  <c r="D10" i="10"/>
  <c r="E10" i="10"/>
  <c r="G9" i="10"/>
  <c r="B12" i="10" l="1"/>
  <c r="C12" i="10"/>
  <c r="G10" i="10"/>
  <c r="D11" i="10"/>
  <c r="E11" i="10"/>
  <c r="F11" i="10"/>
  <c r="D12" i="10" l="1"/>
  <c r="E12" i="10"/>
  <c r="F12" i="10"/>
  <c r="G11" i="10"/>
  <c r="C13" i="10"/>
  <c r="B13" i="10"/>
  <c r="E13" i="10" l="1"/>
  <c r="F13" i="10"/>
  <c r="D13" i="10"/>
  <c r="C14" i="10"/>
  <c r="B14" i="10"/>
  <c r="G12" i="10"/>
  <c r="G13" i="10" l="1"/>
  <c r="D14" i="10"/>
  <c r="E14" i="10"/>
  <c r="F14" i="10"/>
  <c r="C15" i="10"/>
  <c r="B15" i="10"/>
  <c r="D15" i="10" l="1"/>
  <c r="E15" i="10"/>
  <c r="F15" i="10"/>
  <c r="B16" i="10"/>
  <c r="C16" i="10"/>
  <c r="G14" i="10"/>
  <c r="B17" i="10" l="1"/>
  <c r="C17" i="10"/>
  <c r="D16" i="10"/>
  <c r="E16" i="10"/>
  <c r="F16" i="10"/>
  <c r="G15" i="10"/>
  <c r="G16" i="10" l="1"/>
  <c r="C18" i="10"/>
  <c r="B18" i="10"/>
  <c r="D17" i="10"/>
  <c r="E17" i="10"/>
  <c r="F17" i="10"/>
  <c r="G17" i="10" l="1"/>
  <c r="B19" i="10"/>
  <c r="C19" i="10"/>
  <c r="E18" i="10"/>
  <c r="F18" i="10"/>
  <c r="D18" i="10"/>
  <c r="B20" i="10" l="1"/>
  <c r="C20" i="10"/>
  <c r="G18" i="10"/>
  <c r="E19" i="10"/>
  <c r="F19" i="10"/>
  <c r="D19" i="10"/>
  <c r="G19" i="10" l="1"/>
  <c r="E20" i="10"/>
  <c r="F20" i="10"/>
  <c r="D20" i="10"/>
  <c r="B21" i="10"/>
  <c r="C21" i="10"/>
  <c r="G20" i="10" l="1"/>
  <c r="B22" i="10"/>
  <c r="C22" i="10"/>
  <c r="F21" i="10"/>
  <c r="D21" i="10"/>
  <c r="E21" i="10"/>
  <c r="E22" i="10" l="1"/>
  <c r="D22" i="10"/>
  <c r="F22" i="10"/>
  <c r="G21" i="10"/>
  <c r="B23" i="10"/>
  <c r="C23" i="10"/>
  <c r="F23" i="10" l="1"/>
  <c r="D23" i="10"/>
  <c r="E23" i="10"/>
  <c r="B24" i="10"/>
  <c r="C24" i="10"/>
  <c r="G22" i="10"/>
  <c r="B25" i="10" l="1"/>
  <c r="C25" i="10"/>
  <c r="E24" i="10"/>
  <c r="F24" i="10"/>
  <c r="D24" i="10"/>
  <c r="G23" i="10"/>
  <c r="D25" i="10" l="1"/>
  <c r="E25" i="10"/>
  <c r="F25" i="10"/>
  <c r="G24" i="10"/>
  <c r="B26" i="10"/>
  <c r="C26" i="10"/>
  <c r="B27" i="10" l="1"/>
  <c r="C27" i="10"/>
  <c r="E26" i="10"/>
  <c r="F26" i="10"/>
  <c r="D26" i="10"/>
  <c r="G25" i="10"/>
  <c r="C28" i="10" l="1"/>
  <c r="B28" i="10"/>
  <c r="G26" i="10"/>
  <c r="F27" i="10"/>
  <c r="D27" i="10"/>
  <c r="E27" i="10"/>
  <c r="G27" i="10" l="1"/>
  <c r="B29" i="10"/>
  <c r="C29" i="10"/>
  <c r="E28" i="10"/>
  <c r="F28" i="10"/>
  <c r="D28" i="10"/>
  <c r="G28" i="10" l="1"/>
  <c r="D29" i="10"/>
  <c r="E29" i="10"/>
  <c r="F29" i="10"/>
  <c r="B30" i="10"/>
  <c r="C30" i="10"/>
  <c r="B31" i="10" l="1"/>
  <c r="C31" i="10"/>
  <c r="E30" i="10"/>
  <c r="F30" i="10"/>
  <c r="D30" i="10"/>
  <c r="G29" i="10"/>
  <c r="C32" i="10" l="1"/>
  <c r="B32" i="10"/>
  <c r="G30" i="10"/>
  <c r="D31" i="10"/>
  <c r="E31" i="10"/>
  <c r="F31" i="10"/>
  <c r="G31" i="10" l="1"/>
  <c r="D32" i="10"/>
  <c r="E32" i="10"/>
  <c r="F32" i="10"/>
  <c r="G32" i="10"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<sst xmlns="http://schemas.openxmlformats.org/spreadsheetml/2006/main" count="757" uniqueCount="479">
  <si>
    <t>Start Date</t>
  </si>
  <si>
    <t>Task 1</t>
  </si>
  <si>
    <t>Task 2</t>
  </si>
  <si>
    <t>Task 3</t>
  </si>
  <si>
    <t>Task 4</t>
  </si>
  <si>
    <t>Task 5</t>
  </si>
  <si>
    <t>Task 6</t>
  </si>
  <si>
    <t>Task 7</t>
  </si>
  <si>
    <t>Task 8</t>
  </si>
  <si>
    <t>Task 9</t>
  </si>
  <si>
    <t>Task 10</t>
  </si>
  <si>
    <t>Task Name</t>
  </si>
  <si>
    <t>Assigned to</t>
  </si>
  <si>
    <t>End Date</t>
  </si>
  <si>
    <t>Status</t>
  </si>
  <si>
    <t>Completion%</t>
  </si>
  <si>
    <t>Pending</t>
  </si>
  <si>
    <t>Completed</t>
  </si>
  <si>
    <t>EMP-1</t>
  </si>
  <si>
    <t>EMP-2</t>
  </si>
  <si>
    <t>EMP-3</t>
  </si>
  <si>
    <t>EMP-4</t>
  </si>
  <si>
    <t>EMP-5</t>
  </si>
  <si>
    <t>Day</t>
  </si>
  <si>
    <t>Sun</t>
  </si>
  <si>
    <t>Mon</t>
  </si>
  <si>
    <t>Tue</t>
  </si>
  <si>
    <t>Wed</t>
  </si>
  <si>
    <t>Thu</t>
  </si>
  <si>
    <t>Fri</t>
  </si>
  <si>
    <t>Holiday</t>
  </si>
  <si>
    <t>Y</t>
  </si>
  <si>
    <t>N</t>
  </si>
  <si>
    <t>Sat</t>
  </si>
  <si>
    <t>Date</t>
  </si>
  <si>
    <t>Diwali</t>
  </si>
  <si>
    <t>Christmas</t>
  </si>
  <si>
    <t>High</t>
  </si>
  <si>
    <t>Medium</t>
  </si>
  <si>
    <t>Low</t>
  </si>
  <si>
    <t>Resource</t>
  </si>
  <si>
    <t>EMP-6</t>
  </si>
  <si>
    <t>EMP-7</t>
  </si>
  <si>
    <t>EMP-8</t>
  </si>
  <si>
    <t>EMP-9</t>
  </si>
  <si>
    <t>EMP-10</t>
  </si>
  <si>
    <t>EMP-11</t>
  </si>
  <si>
    <t>EMP-12</t>
  </si>
  <si>
    <t>EMP-13</t>
  </si>
  <si>
    <t>EMP-14</t>
  </si>
  <si>
    <t>EMP-15</t>
  </si>
  <si>
    <t>EMP-16</t>
  </si>
  <si>
    <t>EMP-17</t>
  </si>
  <si>
    <t>EMP-18</t>
  </si>
  <si>
    <t>EMP-19</t>
  </si>
  <si>
    <t>EMP-20</t>
  </si>
  <si>
    <t>Task 11</t>
  </si>
  <si>
    <t>Task 12</t>
  </si>
  <si>
    <t>Task 13</t>
  </si>
  <si>
    <t>Task 14</t>
  </si>
  <si>
    <t>Task 15</t>
  </si>
  <si>
    <t>Task 16</t>
  </si>
  <si>
    <t>Task 17</t>
  </si>
  <si>
    <t>Task 18</t>
  </si>
  <si>
    <t>Task 19</t>
  </si>
  <si>
    <t>Task 20</t>
  </si>
  <si>
    <t>Task 21</t>
  </si>
  <si>
    <t>Task 22</t>
  </si>
  <si>
    <t>Task 23</t>
  </si>
  <si>
    <t>Task 24</t>
  </si>
  <si>
    <t>Task 25</t>
  </si>
  <si>
    <t>Task 26</t>
  </si>
  <si>
    <t>Task 27</t>
  </si>
  <si>
    <t>Task 28</t>
  </si>
  <si>
    <t>Task 29</t>
  </si>
  <si>
    <t>Task 30</t>
  </si>
  <si>
    <t>Task 31</t>
  </si>
  <si>
    <t>Task 32</t>
  </si>
  <si>
    <t>Task 33</t>
  </si>
  <si>
    <t>Task 34</t>
  </si>
  <si>
    <t>Task 35</t>
  </si>
  <si>
    <t>Task 36</t>
  </si>
  <si>
    <t>Task 37</t>
  </si>
  <si>
    <t>Task 38</t>
  </si>
  <si>
    <t>Task 39</t>
  </si>
  <si>
    <t>Task 40</t>
  </si>
  <si>
    <t>Task 41</t>
  </si>
  <si>
    <t>Task 42</t>
  </si>
  <si>
    <t>Task 43</t>
  </si>
  <si>
    <t>Task 44</t>
  </si>
  <si>
    <t>Task 45</t>
  </si>
  <si>
    <t>Task 46</t>
  </si>
  <si>
    <t>Task 47</t>
  </si>
  <si>
    <t>Task 48</t>
  </si>
  <si>
    <t>Task 49</t>
  </si>
  <si>
    <t>Task 50</t>
  </si>
  <si>
    <t>Task 51</t>
  </si>
  <si>
    <t>Task 52</t>
  </si>
  <si>
    <t>Task 53</t>
  </si>
  <si>
    <t>Task 54</t>
  </si>
  <si>
    <t>Task 55</t>
  </si>
  <si>
    <t>Task 56</t>
  </si>
  <si>
    <t>Task 57</t>
  </si>
  <si>
    <t>Task 58</t>
  </si>
  <si>
    <t>Task 59</t>
  </si>
  <si>
    <t>Task 60</t>
  </si>
  <si>
    <t>Task 61</t>
  </si>
  <si>
    <t>Task 62</t>
  </si>
  <si>
    <t>Task 63</t>
  </si>
  <si>
    <t>Task 64</t>
  </si>
  <si>
    <t>Task 65</t>
  </si>
  <si>
    <t>Task 66</t>
  </si>
  <si>
    <t>Task 67</t>
  </si>
  <si>
    <t>Task 68</t>
  </si>
  <si>
    <t>Task 69</t>
  </si>
  <si>
    <t>Task 70</t>
  </si>
  <si>
    <t>Task 71</t>
  </si>
  <si>
    <t>Task 72</t>
  </si>
  <si>
    <t>In Progress</t>
  </si>
  <si>
    <t>Task</t>
  </si>
  <si>
    <t>Total</t>
  </si>
  <si>
    <t>Time Line Chart</t>
  </si>
  <si>
    <t>Assigned to -2</t>
  </si>
  <si>
    <t>Assigned to -3</t>
  </si>
  <si>
    <t>Assigned to -4</t>
  </si>
  <si>
    <t>Risk and issue</t>
  </si>
  <si>
    <t>Task Status</t>
  </si>
  <si>
    <t>Project Status</t>
  </si>
  <si>
    <t>In Progress even after end date</t>
  </si>
  <si>
    <t>Task not started even after plan start date</t>
  </si>
  <si>
    <t>Prepared by</t>
  </si>
  <si>
    <t>Reviewed By</t>
  </si>
  <si>
    <t>Approved By</t>
  </si>
  <si>
    <t>Designation: Deputy Manager</t>
  </si>
  <si>
    <t xml:space="preserve">Designation: General Manager </t>
  </si>
  <si>
    <t>Designation: Corporate VP</t>
  </si>
  <si>
    <t>Any other relevant literature reference (please specify)</t>
  </si>
  <si>
    <t>Objective</t>
  </si>
  <si>
    <t>Business Overview</t>
  </si>
  <si>
    <t>In BPM segment, Company charges for services primarily based on the following pricing models:</t>
  </si>
  <si>
    <r>
      <t>1)</t>
    </r>
    <r>
      <rPr>
        <sz val="7"/>
        <color theme="1"/>
        <rFont val="Times New Roman"/>
        <family val="1"/>
      </rPr>
      <t xml:space="preserve">       </t>
    </r>
    <r>
      <rPr>
        <b/>
        <sz val="10"/>
        <color theme="1"/>
        <rFont val="Calibri"/>
        <family val="2"/>
      </rPr>
      <t>Per full time equivalent</t>
    </r>
    <r>
      <rPr>
        <sz val="10"/>
        <color theme="1"/>
        <rFont val="Calibri"/>
        <family val="2"/>
      </rPr>
      <t xml:space="preserve"> – This arrangement typically involve billing based on number of full time employees (or equivalent) deployed on the execution of the business process managed;</t>
    </r>
  </si>
  <si>
    <r>
      <t>2)</t>
    </r>
    <r>
      <rPr>
        <sz val="7"/>
        <color theme="1"/>
        <rFont val="Times New Roman"/>
        <family val="1"/>
      </rPr>
      <t xml:space="preserve">       </t>
    </r>
    <r>
      <rPr>
        <b/>
        <sz val="10"/>
        <color theme="1"/>
        <rFont val="Calibri"/>
        <family val="2"/>
      </rPr>
      <t xml:space="preserve">Per Transaction </t>
    </r>
    <r>
      <rPr>
        <sz val="10"/>
        <color theme="1"/>
        <rFont val="Calibri"/>
        <family val="2"/>
      </rPr>
      <t>– This arrangement typically involves billing based on number of transactions processed (such as the number of E-mail responses, airlines coupons or insurance claim processed);</t>
    </r>
  </si>
  <si>
    <r>
      <t>3)</t>
    </r>
    <r>
      <rPr>
        <sz val="7"/>
        <color theme="1"/>
        <rFont val="Times New Roman"/>
        <family val="1"/>
      </rPr>
      <t xml:space="preserve">       </t>
    </r>
    <r>
      <rPr>
        <b/>
        <sz val="10"/>
        <color theme="1"/>
        <rFont val="Calibri"/>
        <family val="2"/>
      </rPr>
      <t>Fixed-price arrangements</t>
    </r>
    <r>
      <rPr>
        <sz val="10"/>
        <color theme="1"/>
        <rFont val="Calibri"/>
        <family val="2"/>
      </rPr>
      <t>- This typically involve billings based on achievements of pre-defined deliverables or milestones;</t>
    </r>
  </si>
  <si>
    <r>
      <t>4)</t>
    </r>
    <r>
      <rPr>
        <sz val="7"/>
        <color theme="1"/>
        <rFont val="Times New Roman"/>
        <family val="1"/>
      </rPr>
      <t xml:space="preserve">       </t>
    </r>
    <r>
      <rPr>
        <b/>
        <sz val="10"/>
        <color theme="1"/>
        <rFont val="Calibri"/>
        <family val="2"/>
      </rPr>
      <t>Subscription arrangements</t>
    </r>
    <r>
      <rPr>
        <sz val="10"/>
        <color theme="1"/>
        <rFont val="Calibri"/>
        <family val="2"/>
      </rPr>
      <t>- This typically involve billings based on per member per month, based on contractually agreed; or</t>
    </r>
  </si>
  <si>
    <r>
      <t>Other pricing arrangements,</t>
    </r>
    <r>
      <rPr>
        <sz val="10"/>
        <color theme="1"/>
        <rFont val="Calibri"/>
        <family val="2"/>
        <scheme val="minor"/>
      </rPr>
      <t xml:space="preserve"> including cost-plus arrangements, which typically involve billing the contractually agreed direct and indirect costs and a fee based on the number of employees deployed under the arrangement and outcome-based arrangements, which typically involve billings based on the business result achieved by our clients through our service efforts (such as measured based on a reduction in days sales outstanding, an improvement in working capital, an increase in collections or a reduction in operating expenses.</t>
    </r>
  </si>
  <si>
    <t xml:space="preserve">Step 1: Identifying contract with the customer: </t>
  </si>
  <si>
    <t xml:space="preserve">i. </t>
  </si>
  <si>
    <t xml:space="preserve">Collection is considered probable </t>
  </si>
  <si>
    <t xml:space="preserve">ii. </t>
  </si>
  <si>
    <t xml:space="preserve">It has commercial substance </t>
  </si>
  <si>
    <t xml:space="preserve">iii. </t>
  </si>
  <si>
    <t xml:space="preserve">Rights to goods and services can be identified </t>
  </si>
  <si>
    <t xml:space="preserve">iv. </t>
  </si>
  <si>
    <t xml:space="preserve">It is approved and the parties are committed to their obligations </t>
  </si>
  <si>
    <t>Existence of a contract:</t>
  </si>
  <si>
    <t>Description</t>
  </si>
  <si>
    <t>Yes/No</t>
  </si>
  <si>
    <t>Analysis</t>
  </si>
  <si>
    <t>Yes</t>
  </si>
  <si>
    <t>No</t>
  </si>
  <si>
    <t>NA</t>
  </si>
  <si>
    <t xml:space="preserve">Conclusion:  </t>
  </si>
  <si>
    <t xml:space="preserve">B. Combination of contracts: </t>
  </si>
  <si>
    <t xml:space="preserve">Accounted for as a single contract if one or more of the following criteria are met: </t>
  </si>
  <si>
    <t xml:space="preserve">•	Contracts were negotiated as a single commercial package; </t>
  </si>
  <si>
    <t xml:space="preserve">•	Consideration in one contract depends on the other contract; or </t>
  </si>
  <si>
    <t xml:space="preserve">•	Goods and services are a single performance obligation </t>
  </si>
  <si>
    <t>Analyzing combination contracts:</t>
  </si>
  <si>
    <t>Please fill out the following questions if answer is "Yes":</t>
  </si>
  <si>
    <t xml:space="preserve">Are there any contracts entered into at or near the same time (rebuttable presumption 3 months) with the same customer or related parties of the customer? </t>
  </si>
  <si>
    <t>Contracts were negotiated as a package with a single commercial objective (e.g. contract would be loss-making without taking into account the consideration received under another contract)?</t>
  </si>
  <si>
    <t>Consideration in one contract depends on price or performance of the other contract (e.g. failure to perform under one contract affect the amount paid under another contract)?</t>
  </si>
  <si>
    <t xml:space="preserve">Conclusion: </t>
  </si>
  <si>
    <t xml:space="preserve">Step 2: Identifying the performance obligation in a contract: </t>
  </si>
  <si>
    <t>The process of identifying performance obligation requires an entity to determine whether it promises to transfer either goods or services that are distinct, or a series of distinct goods and services that meet certain conditions. There promises may not be limited to those explicitly included in written contracts.</t>
  </si>
  <si>
    <t xml:space="preserve">Analyzing whether identified promises represent performance obligations: </t>
  </si>
  <si>
    <t>Guidance</t>
  </si>
  <si>
    <t xml:space="preserve">Criterion 1 </t>
  </si>
  <si>
    <t xml:space="preserve">Criterion 2 </t>
  </si>
  <si>
    <r>
      <t xml:space="preserve">i   </t>
    </r>
    <r>
      <rPr>
        <b/>
        <sz val="10"/>
        <color rgb="FF000000"/>
        <rFont val="Calibri"/>
        <family val="2"/>
        <scheme val="minor"/>
      </rPr>
      <t>Significant integration service:</t>
    </r>
    <r>
      <rPr>
        <sz val="10"/>
        <color rgb="FF000000"/>
        <rFont val="Calibri"/>
        <family val="2"/>
        <scheme val="minor"/>
      </rPr>
      <t xml:space="preserve"> the Company provides a significant service of integrating the good or service with other goods or services promised in the contract into a bundle of goods or services that represents the combined output for which the customer has contracted. </t>
    </r>
  </si>
  <si>
    <r>
      <t xml:space="preserve">ii  </t>
    </r>
    <r>
      <rPr>
        <b/>
        <sz val="10"/>
        <color rgb="FF000000"/>
        <rFont val="Calibri"/>
        <family val="2"/>
        <scheme val="minor"/>
      </rPr>
      <t>Significant modification/customisation:</t>
    </r>
    <r>
      <rPr>
        <sz val="10"/>
        <color rgb="FF000000"/>
        <rFont val="Calibri"/>
        <family val="2"/>
        <scheme val="minor"/>
      </rPr>
      <t xml:space="preserve"> Goods or services significantly modify or customise another good or service promised in the contract. </t>
    </r>
  </si>
  <si>
    <r>
      <t xml:space="preserve">iii  </t>
    </r>
    <r>
      <rPr>
        <b/>
        <sz val="10"/>
        <color rgb="FF000000"/>
        <rFont val="Calibri"/>
        <family val="2"/>
        <scheme val="minor"/>
      </rPr>
      <t>Highly dependent/highly interrelated:</t>
    </r>
    <r>
      <rPr>
        <sz val="10"/>
        <color rgb="FF000000"/>
        <rFont val="Calibri"/>
        <family val="2"/>
        <scheme val="minor"/>
      </rPr>
      <t xml:space="preserve"> Goods or services of the Company are highly dependent on, or highly interrelated with, other goods or services promised in the contract </t>
    </r>
  </si>
  <si>
    <t xml:space="preserve">The following obligations are classified as performance obligations: </t>
  </si>
  <si>
    <t>Promises in the contract</t>
  </si>
  <si>
    <t>Performance Obligation?</t>
  </si>
  <si>
    <t xml:space="preserve">Conclusion </t>
  </si>
  <si>
    <t>Step 4: Allocate the transaction price to the performance obligations in the contract</t>
  </si>
  <si>
    <t xml:space="preserve">The transaction price is allocated to each performance obligation - generally each distinct good or service - to depict the amount of consideration to which an entity expects to be entities in exchange for transferring the promised goods or services to the customer. </t>
  </si>
  <si>
    <t xml:space="preserve">An entity generally allocates the transaction price to each performance obligation in proportion to its stand-alone selling price. However, when specified criteria are met, a discount or variable consideration is allocated to one or more, but not all, performance obligations. </t>
  </si>
  <si>
    <t>This step of the revenue model comprises two sub-steps that an entity performs at contract inception.</t>
  </si>
  <si>
    <t xml:space="preserve">Allocation of transaction price required? </t>
  </si>
  <si>
    <t>Allocation of variable consideration</t>
  </si>
  <si>
    <t xml:space="preserve">Step 5: Recognize revenue when (or as) each performance obligation is satisfied </t>
  </si>
  <si>
    <t>An entity recognizes revenue when or as it satisfies a performance by transferring a good or service to a customer, either at a point in time (when) or over time (as).
A good or service is 'transferred' when or as the customer obtains control of it.</t>
  </si>
  <si>
    <t xml:space="preserve">Identification whether the performance obligation is satisfied over time or at a point in time. </t>
  </si>
  <si>
    <t>If one or more of the following questions are answered with "Yes", the performance obligation is satisfied over time. If none of the criteria is met, control transfers to the customer at a point in time.</t>
  </si>
  <si>
    <t xml:space="preserve">The customer simultaneously receives and consumes the benefits provided by the Company' performance as the Company performs </t>
  </si>
  <si>
    <t xml:space="preserve">The Company's performance creates or enhances an asset that the customer controls as the asset is created or enhanced </t>
  </si>
  <si>
    <t xml:space="preserve">The Company's performance does not create an asset with an alternative use to the Company and the Company has an enforceable right to payment for performance completed to date - e.g. a right to recover cost incurred plus a reasonable profit margin </t>
  </si>
  <si>
    <t xml:space="preserve">Criterion 3 </t>
  </si>
  <si>
    <t xml:space="preserve">Performance obligations according to Step 2 </t>
  </si>
  <si>
    <t>Selecting a method that depicts the performance i.e. a pattern of transfer of control of the goods and services to the customer:</t>
  </si>
  <si>
    <t xml:space="preserve">Guidance </t>
  </si>
  <si>
    <t xml:space="preserve">Method 1: Output: </t>
  </si>
  <si>
    <t xml:space="preserve">Method 2: Input: </t>
  </si>
  <si>
    <t xml:space="preserve">Progress is measured based on the value of goods and services transferred to the customer to date (e.g. based on surveys of performance completed to date, appraisals of results achieved, milestones reached, time elapsed and units produced or units delivered). </t>
  </si>
  <si>
    <t xml:space="preserve">Progress is measured based on the Company efforts or inputs towards satisfying a performance obligation, relative to the total expected inputs (e.g. resources consumed, labour hours expended, costs incurred, time elapsed or machine hours used). </t>
  </si>
  <si>
    <t xml:space="preserve">Performance Obligation satisfied over time </t>
  </si>
  <si>
    <t xml:space="preserve">Method used </t>
  </si>
  <si>
    <t xml:space="preserve">Guidance: Limitations on applying the units-of-delivery or units-of-production methods </t>
  </si>
  <si>
    <t xml:space="preserve">An output method would not provide a faithful depiction of the Company' performance if the output selected would fail to measure some of the goods or services for which control has transferred to the customer (for example, output methods based on units produced or units delivered would not faithfully depict an entity’s performance in satisfying a performance obligation if, at the end of the reporting period, the entity’s performance has produced work in progress or finished goods controlled by the customer that are not included in the measurement of the output). </t>
  </si>
  <si>
    <t>Is the contract modification approved ?</t>
  </si>
  <si>
    <t>Does the modification solely add additional goods or services ?</t>
  </si>
  <si>
    <t>Are the additional goods or services distinct ?</t>
  </si>
  <si>
    <t>Are the remaning goods or services distinct ?</t>
  </si>
  <si>
    <t>C. Modification of contract</t>
  </si>
  <si>
    <t>A. contract exists if:</t>
  </si>
  <si>
    <t>Literature reference for relevant accounting guidance under US GAAP</t>
  </si>
  <si>
    <t>ASC 815 - Derivatives and hedging</t>
  </si>
  <si>
    <t>ASC 450 - Contingencies</t>
  </si>
  <si>
    <t>ASC 606 - Revenue from contract with customer</t>
  </si>
  <si>
    <t>Aim of this checklist is to ensure that all the revenue recognition criteria as prescribed under US GAAP are fulfilled. This Accounting Checklist is tailored to address the specific circumstances of BPO – Outsourcing business.</t>
  </si>
  <si>
    <t>Is there a combination of contracts necessary (606-10-25-9) ?</t>
  </si>
  <si>
    <t>Goods or services promised in the contracts (or some goods or services promised in each contract) are a single performance obligation in accordance with paragraphs 606-10-25-14 through 25-22 ?</t>
  </si>
  <si>
    <t>If one or more of the above questions are answered with "Yes", the contracts should be combined.</t>
  </si>
  <si>
    <t>A promise is classified as a performance obligation, if the good or service is capable of being distinct  distinct (ASC 606-10-25-19 (a)) and distinct in the context of the contract (ASC 606-10-25-19 (b)). (ASC 606-10-25-14)</t>
  </si>
  <si>
    <t xml:space="preserve">Can the customer benefit from the goods or services (e.g. good or service could be used, consumed, sold for an amount that is greater than scrap value) on its own or together with other readily available resources (a readily available resource is a good or service that is sold separately (by the entity or another entity) or a resource that the customer has already obtained from the entity (including goods or services that the entity will have already transferred to the customer under the contract) or from other transactions or events) (ASC 606-10-25-19(a))? </t>
  </si>
  <si>
    <t xml:space="preserve">Is there an allocation of a variable consideration ? (ASC 606-10-32-39 to 32-41)? </t>
  </si>
  <si>
    <t xml:space="preserve">Criterion 1 ASC 606-10-25-27(a) </t>
  </si>
  <si>
    <t xml:space="preserve">Criterion 2 ASC 606-10-25-27(b) </t>
  </si>
  <si>
    <t xml:space="preserve">Criterion 3 ASC 606-10-25-27(c) </t>
  </si>
  <si>
    <t xml:space="preserve">Performance obligations satisfied over time </t>
  </si>
  <si>
    <t>Perforamance obligation satisfied at a point in time</t>
  </si>
  <si>
    <t>Guidance when performance obligation is satisfied over time.</t>
  </si>
  <si>
    <t>According to ASC 606 either output or input related methods can be applied consistently in order to measure the progress (ASC 606-10-25-32) , if a reasonable estimate is possible (ASC 606-10-25-36 to 25-37)</t>
  </si>
  <si>
    <t>Input/Output</t>
  </si>
  <si>
    <t xml:space="preserve">Step 3: Determining transaction price  </t>
  </si>
  <si>
    <t xml:space="preserve">The 'transaction price' is the amount of consideration to which an entity expects to be entitled in exchange for transferring goods or services to a customer, excluding the amount collected on behalf of third parties - e.g. some sales taxes. To determine this amount, an entity considers multiple factors. </t>
  </si>
  <si>
    <t>An entity estimates the transaction price at contract inception, including any variable consideration, and updates the estimate each reporting period for any changes in circumstances. When determining the transaction price, an entity assumes that the goods or services will be transferred to the customer based on the terms of the existing contract, and does not take into consideration the possibility of a contract being cancelled, renewed, or modified.</t>
  </si>
  <si>
    <t xml:space="preserve">Transaction price includes: </t>
  </si>
  <si>
    <t xml:space="preserve">Variable consideration (and the constraint): </t>
  </si>
  <si>
    <t xml:space="preserve">The Company estimated the amount of variable consideration to which it expects to be entitled, giving consideration to the risk of revenue reversal in making an estimate. </t>
  </si>
  <si>
    <t xml:space="preserve">Ii </t>
  </si>
  <si>
    <t xml:space="preserve">Non-cash consideration: </t>
  </si>
  <si>
    <t xml:space="preserve">Non-cash consideration is measured at fair value, if it can be reasonably estimated, if not, an entity uses the stand-alone selling price of the good or service that was promised in exchange for noncash consideration. </t>
  </si>
  <si>
    <t xml:space="preserve">Iii </t>
  </si>
  <si>
    <t xml:space="preserve">Significant financing component </t>
  </si>
  <si>
    <t>For contracts with a significant financing component, an entity adjusts the promised amount of consideration to reflect the time value of money.</t>
  </si>
  <si>
    <t xml:space="preserve">Iv </t>
  </si>
  <si>
    <t xml:space="preserve">Consideration payable to the customer: </t>
  </si>
  <si>
    <t xml:space="preserve">An entity needs to determine whether consideration payable to a customer represents a reduction of the transaction price, a payment for a distinct goods or services or a combination of the two. </t>
  </si>
  <si>
    <r>
      <t>A.</t>
    </r>
    <r>
      <rPr>
        <b/>
        <u/>
        <sz val="10"/>
        <color rgb="FF000000"/>
        <rFont val="Calibri"/>
        <family val="2"/>
        <scheme val="minor"/>
      </rPr>
      <t xml:space="preserve"> Cash consideration</t>
    </r>
    <r>
      <rPr>
        <b/>
        <sz val="10"/>
        <color rgb="FF000000"/>
        <rFont val="Calibri"/>
        <family val="2"/>
        <scheme val="minor"/>
      </rPr>
      <t>:</t>
    </r>
  </si>
  <si>
    <t xml:space="preserve">Is the consideration or a part of the consideration fixed? </t>
  </si>
  <si>
    <t>Is the consideration or a part of the consideration variable (e.g. liquidated damages, discounts, standby rates etc.) (ASC 606-10-32-5 to 32-9)?</t>
  </si>
  <si>
    <t xml:space="preserve">Variable consideration consists of: </t>
  </si>
  <si>
    <t>Service  Credit</t>
  </si>
  <si>
    <t>CBB penalty and rewards</t>
  </si>
  <si>
    <t xml:space="preserve">Is there a valid expectation arising from business practices, published policies or specific statements that the consideration is less than the price stated in the contract representing a variable consideration (ASC 606-10-32-7a)? </t>
  </si>
  <si>
    <t xml:space="preserve">Are there other facts and circumstances indicating that the Company intention was to offer a price concession to the customer representing a variable consideration? </t>
  </si>
  <si>
    <t xml:space="preserve">If the previous questions were answered "Yes" please describe the facts and circumstances and specify why the criteria mentioned above are met: </t>
  </si>
  <si>
    <t xml:space="preserve">Please describe the approach to estimate the variable amount for each variable consideration (most likely amount, expected value) and explain why the method used better predicts the consideration to which the Company will be entitled </t>
  </si>
  <si>
    <t xml:space="preserve">Please consider the following factors, which could increase the likelihood or the magnitude of a revenue reversal (ASC 606-10-32-12) </t>
  </si>
  <si>
    <t xml:space="preserve">Is the amount of consideration highly susceptible to factors outside the Company' influence (e.g. movement of a market or an index like commodity price index, subsequent sales of a good or service of the customer)? </t>
  </si>
  <si>
    <t xml:space="preserve">Does the Company expect that the uncertainty about the amount of consideration is not expected to be resolved for a long period of time? </t>
  </si>
  <si>
    <t xml:space="preserve">No </t>
  </si>
  <si>
    <t xml:space="preserve">Have the Company limited experience or other limited evidence with similar types of contracts resulting in limited predictive value? </t>
  </si>
  <si>
    <t xml:space="preserve">Does the Company have a practice of offering price concessions or changing payment terms of similar contracts in similar circumstances? </t>
  </si>
  <si>
    <t xml:space="preserve">Has the Company a practice of either offering a broad range of price concessions or changing the payment terms and conditions of similar contracts in similar circumstances? </t>
  </si>
  <si>
    <t>The transaction price consists of variable consideration(s) which are deemed  probable and need(s) to be included in the transaction price.</t>
  </si>
  <si>
    <r>
      <t xml:space="preserve">B. </t>
    </r>
    <r>
      <rPr>
        <b/>
        <u/>
        <sz val="10"/>
        <color rgb="FF000000"/>
        <rFont val="Calibri"/>
        <family val="2"/>
      </rPr>
      <t>Non-cash consideration:</t>
    </r>
  </si>
  <si>
    <t>Does the consideration include a non-cash component?</t>
  </si>
  <si>
    <t xml:space="preserve">Consideration payable to a customer includes cash amounts that an entity pays, or expects to pay, to the customer (or to other parties that purchase the Company' goods or services from the customer) and credits or other items (e.g. coupon or voucher) that can be applied against amounts owed to the Company (or to other parties that purchase the Company' goods or services from the customer). </t>
  </si>
  <si>
    <t xml:space="preserve">Is there any consideration payable to a customer (ASC 606-10-32-25, 32-26 and 32-27)? </t>
  </si>
  <si>
    <t xml:space="preserve">If answer of the previous question is "Yes", the following questions are relevant: </t>
  </si>
  <si>
    <r>
      <t xml:space="preserve">D. </t>
    </r>
    <r>
      <rPr>
        <b/>
        <u/>
        <sz val="10"/>
        <color rgb="FF000000"/>
        <rFont val="Calibri"/>
        <family val="2"/>
        <scheme val="minor"/>
      </rPr>
      <t xml:space="preserve">Significant financing component: </t>
    </r>
  </si>
  <si>
    <t xml:space="preserve">Is the period between the transfer of promised goods and services to a customer and the customer payment less than one year (also relevant in situations with regard to customer payments before transfer of goods and services) (ASC 606-10-32-18)? </t>
  </si>
  <si>
    <t>If one of the following questions are answered with "No", no indication for a financing component exists (practical expedient)</t>
  </si>
  <si>
    <t>The customer paid for the goods or services in advance, and the timing of the transfer of those goods or services is in the discretion of the customer.</t>
  </si>
  <si>
    <t>A substantial amount of the consideration promised by the customer is variable, and the variability is not substantially within the control of the customer or the entity.</t>
  </si>
  <si>
    <t>Differences between the promised consideration and the cash selling price arises for other reasons other than the provision of finance to either the customer or the entity.</t>
  </si>
  <si>
    <t>No Difference</t>
  </si>
  <si>
    <t xml:space="preserve">Please specify why the criteria mentioned above are met </t>
  </si>
  <si>
    <t xml:space="preserve">A significant financing component exists for which the entity needs to account </t>
  </si>
  <si>
    <r>
      <rPr>
        <b/>
        <sz val="10"/>
        <color rgb="FF000000"/>
        <rFont val="Calibri"/>
        <family val="2"/>
      </rPr>
      <t>C</t>
    </r>
    <r>
      <rPr>
        <sz val="10"/>
        <color rgb="FF000000"/>
        <rFont val="Calibri"/>
        <family val="2"/>
      </rPr>
      <t xml:space="preserve">. </t>
    </r>
    <r>
      <rPr>
        <b/>
        <u/>
        <sz val="10"/>
        <color rgb="FF000000"/>
        <rFont val="Calibri"/>
        <family val="2"/>
      </rPr>
      <t>Consideration payable to a customer:</t>
    </r>
    <r>
      <rPr>
        <b/>
        <sz val="10"/>
        <color rgb="FF000000"/>
        <rFont val="Calibri"/>
        <family val="2"/>
      </rPr>
      <t xml:space="preserve"> </t>
    </r>
  </si>
  <si>
    <t xml:space="preserve">Contract costs: </t>
  </si>
  <si>
    <t xml:space="preserve">Are there any costs in the scope of another accounting guidance? </t>
  </si>
  <si>
    <t>Identification whether there are any costs that the Company incurs to fulfil a contract with a customer that are eligible for capitalization (e.g. direct labour, direct material, directly related depreciation or amortization costs, explicitly chargeable costs, subcontractor costs).</t>
  </si>
  <si>
    <t>If all of the following questions are answered with "Yes", costs to fulfil a contract shall be capitalized.</t>
  </si>
  <si>
    <t xml:space="preserve">Criteria 1 </t>
  </si>
  <si>
    <t>The costs relate directly to a contract or to an anticipated contract that the Company can specifically identify.</t>
  </si>
  <si>
    <t xml:space="preserve">Criteria 2 </t>
  </si>
  <si>
    <t>The costs generate or enhance resources of the Company that will be used in satisfying (or in continuing to satisfy) performance obligations in the future.</t>
  </si>
  <si>
    <t xml:space="preserve">Criteria 3 </t>
  </si>
  <si>
    <t>The costs are expected to be recovered.</t>
  </si>
  <si>
    <t xml:space="preserve">If the conclusion is that costs of fulfilment shall be capitalized, please explain the background </t>
  </si>
  <si>
    <t>Non-refundable up-front fees</t>
  </si>
  <si>
    <t xml:space="preserve">Does the contract include non-refundable fees (e.g. fees for set-up, access, activation, initiation, joining or membership) paid at or near contract inception (rebuttable assumption 3 month after contract inception)? </t>
  </si>
  <si>
    <t xml:space="preserve">If answered "Yes", please explain the individual non-refundable fees of the specific contract in scope? </t>
  </si>
  <si>
    <t xml:space="preserve">Does the fee relate to specific goods or services transferred to customer? </t>
  </si>
  <si>
    <t xml:space="preserve">If answered "Yes", please list the specific related goods or services transferred to customer </t>
  </si>
  <si>
    <t xml:space="preserve">Does the fee relate to a identified performance obligation step 2 </t>
  </si>
  <si>
    <t>Input</t>
  </si>
  <si>
    <t>Output</t>
  </si>
  <si>
    <t>Yes / No</t>
  </si>
  <si>
    <t>Client Name –</t>
  </si>
  <si>
    <t>Type of contract –</t>
  </si>
  <si>
    <t>Principal</t>
  </si>
  <si>
    <t xml:space="preserve">Total Contract period (for amortization of Contract costs, including expected renewal):  </t>
  </si>
  <si>
    <t>Method</t>
  </si>
  <si>
    <t>Approach</t>
  </si>
  <si>
    <t>Expected Value Method</t>
  </si>
  <si>
    <t>Most Likely Method</t>
  </si>
  <si>
    <t>If the previous question was answered "Yes" please describe the type of non-cash consideration in the contract</t>
  </si>
  <si>
    <t>If fair value cannot be reasonably estimated, please describe the reasons for the non-identification of the fair value and the determination of the stand-alone selling price of the goods or services promised to the customer</t>
  </si>
  <si>
    <t>Can the fair value of the non-cash consideration reasonably be estimated?</t>
  </si>
  <si>
    <t xml:space="preserve">Please explain the reasonableness whether it is highly probable that a significant reversal in the amount of cumulative revenue recognized will not occur (ASC 606-10-32-11. (Please consider the likelihood and the magnitude of a revenue reversal) </t>
  </si>
  <si>
    <t>Explanation</t>
  </si>
  <si>
    <t>Principal vs. Agent</t>
  </si>
  <si>
    <t>Literature reference</t>
  </si>
  <si>
    <t>Yes / No/ N.A</t>
  </si>
  <si>
    <t>Remarks</t>
  </si>
  <si>
    <t>ASC 606-10-55-37</t>
  </si>
  <si>
    <t>General Principle: Is it critical to decide, whether the Company obtains control of the goods or services in advance of transferring those goods or services to the customer (not only momentarily) substantive?</t>
  </si>
  <si>
    <t>If is answered "Yes", please explain the background and fill out the following questions listed below</t>
  </si>
  <si>
    <t>ASC 606-10-55-39</t>
  </si>
  <si>
    <t>Is the Company responsible for providing customer support, resolving customer complaints and for the quality or suitability of the products or service (primarily responsible for fulfilment of the contract)?</t>
  </si>
  <si>
    <t xml:space="preserve">If answered "No", please explain the background </t>
  </si>
  <si>
    <t>Does the Company have the inventory risk (risk of loss due to factors such as physical damage, decline in value, or obsolescence either before or during shipment, or when the product is returned)?</t>
  </si>
  <si>
    <t>Inventory risk might exist even if no physical product is sold. For example, an entity might have inventory risk in a service arrangement if it is committed to pay the service provider even if the entity is unable to identify a customer to purchase the service.</t>
  </si>
  <si>
    <t>If answered "No", please explain the background</t>
  </si>
  <si>
    <t>Does the Company have discretion in establishing prices (Earning a fixed percentage of the consideration for each sale might indicate that the Company is an agent; only discretion to set prices within a range might indicate that the Company acts as an agent)?</t>
  </si>
  <si>
    <t>Embedded lease/ transfer of assets from customers (Only if hardware is sold along with providing services than this section is applicable)</t>
  </si>
  <si>
    <t>ASC 842</t>
  </si>
  <si>
    <r>
      <t xml:space="preserve">Determine whether the contract contains elements that fall within the scope of ASC 842 Leases. </t>
    </r>
    <r>
      <rPr>
        <b/>
        <sz val="10"/>
        <color theme="1"/>
        <rFont val="Calibri"/>
        <family val="2"/>
      </rPr>
      <t>for e.g. – hardware elements like; servers, computers, etc.</t>
    </r>
  </si>
  <si>
    <t xml:space="preserve">Embedded derivative (third currency contracts) </t>
  </si>
  <si>
    <t>ASC 815-15-15-10 (b)(1)</t>
  </si>
  <si>
    <t>Substantial party is evaluated applying ASC 815-15-15-12.</t>
  </si>
  <si>
    <t>ASC 815-15-25-1, 25-16 – 25-51A]</t>
  </si>
  <si>
    <t xml:space="preserve">Do the pricing terms contain any variable elements? (For example, formula-based pricing linked to inflation index, etc.) or Is there any clause in the contract for adjustment of billing rate based on FX rate fluctuation? </t>
  </si>
  <si>
    <t>If yes, evaluate whether the contract contains an embedded derivative.</t>
  </si>
  <si>
    <t>ASC 815-15-25-1</t>
  </si>
  <si>
    <t xml:space="preserve">Where an embedded derivative is identified, separate it from the host sales/ service contract. The embedded derivative will be carried at fair value through profit and loss account at each period end. </t>
  </si>
  <si>
    <t xml:space="preserve">(For example, in case of a foreign currency embedded derivative, the price of the sales/ service will be measured at the inception of the contract based on the forward rate for the future period. The changes in value of the foreign currency embedded derivative until realization of the price will be taken to profit and loss account)  </t>
  </si>
  <si>
    <t>ASC 606-10-50-22</t>
  </si>
  <si>
    <t>Practical expedients</t>
  </si>
  <si>
    <t xml:space="preserve">Checklist Reference no. - </t>
  </si>
  <si>
    <t xml:space="preserve">Vertical / Horizontal : </t>
  </si>
  <si>
    <t>Agent</t>
  </si>
  <si>
    <t>Does the contract price increase by an amount that reflect standalone selling price for the new goods or services (considering the circumstances of the contract) ?</t>
  </si>
  <si>
    <t>Promise is a distinct performance obligation</t>
  </si>
  <si>
    <t>Series of distinct performance obligation as below mentioned criteria is met:-
1. The goods or services are substantially the same.
2. Each distinct goods or service is a performance obligation satisfies over time.
3. The same method i.e (input) would be used to measure progress toward satisfaction of each distinct goods or services in the series.</t>
  </si>
  <si>
    <t>Bundle of goods or services is a single performance</t>
  </si>
  <si>
    <t>Conclusion Step 2 (Promises in the contract)</t>
  </si>
  <si>
    <t>i</t>
  </si>
  <si>
    <t>Variable consideration</t>
  </si>
  <si>
    <t>Is the consideration received a non-cash consideration (a non-cash consideration also include the customer contribution of goods or services to facilitate the Company fulfilment of the contract), if the Company obtains control of those contributed goods or services ?</t>
  </si>
  <si>
    <t>If the consideration payable to a customer includes a variable amount, an entity shall estimate the transaction price (including assessing whether the estimate of variable consideration is constrained) in accordance with paragraphs ASC 606-10-32-5 to 32-1350–58</t>
  </si>
  <si>
    <t>Can the entity reasonably estimate the fair value of the goods or service received ?</t>
  </si>
  <si>
    <t>Does the consideration payble exceed the fair value of the distinct good or services ?</t>
  </si>
  <si>
    <t>Conclusion</t>
  </si>
  <si>
    <t xml:space="preserve">Principal vs. Agent </t>
  </si>
  <si>
    <t>Output Folder -:</t>
  </si>
  <si>
    <t>Does the consideration payable to a customer (or to the customer's) represent a payable for a distinct goods or service ?</t>
  </si>
  <si>
    <t xml:space="preserve">Contract Value- TCV/ACV </t>
  </si>
  <si>
    <t>Existing Customer -:</t>
  </si>
  <si>
    <t>New Logo -:</t>
  </si>
  <si>
    <t>Remarks :</t>
  </si>
  <si>
    <t xml:space="preserve">Remarks: </t>
  </si>
  <si>
    <t xml:space="preserve">1. Determine stand-alone selling prices
</t>
  </si>
  <si>
    <t>2. Allocate the transaction price</t>
  </si>
  <si>
    <t>SOW Date -:</t>
  </si>
  <si>
    <t xml:space="preserve"> Term of the contracts -:</t>
  </si>
  <si>
    <t>Allocation of Transaction price</t>
  </si>
  <si>
    <t>Performance obligation</t>
  </si>
  <si>
    <t>Method used</t>
  </si>
  <si>
    <t>Standalone Selling price</t>
  </si>
  <si>
    <t>Allocation</t>
  </si>
  <si>
    <t>Allocated Transaction price</t>
  </si>
  <si>
    <t>Adjusted Market Assessment</t>
  </si>
  <si>
    <t>Cost Plus</t>
  </si>
  <si>
    <t xml:space="preserve">Residual </t>
  </si>
  <si>
    <t>Variable consideration consists of:</t>
  </si>
  <si>
    <t>Consideration Payable to customer :</t>
  </si>
  <si>
    <t>Conclusion :</t>
  </si>
  <si>
    <t>Key Elements of contract :</t>
  </si>
  <si>
    <t>Provisions/ Onerous contracts (where there are any penalty or warranty clauses or any non-cancellable or termination clauses in the contract)</t>
  </si>
  <si>
    <t>RRC Reference Number (if any)</t>
  </si>
  <si>
    <t>Step1 :</t>
  </si>
  <si>
    <t>Final Conclusion</t>
  </si>
  <si>
    <t>Step 2 :</t>
  </si>
  <si>
    <t>Step 3 :</t>
  </si>
  <si>
    <t>Step 4 :</t>
  </si>
  <si>
    <t>Select Month -:</t>
  </si>
  <si>
    <t>Since the variable considerations are measured monthly and a monthly provision for credit to be passed to the Customer for failure to meet achieve agreed service level is made by the service delivery team which is reviewed and approved by BU Finance Head of respective vertical. Based on the approval of BU Head, CRT Team accrues service credit, if any. This control ensures that a significant reversal in the amount of cumulative revenue recognized will not occur. (Control Ref. “INR 18”)</t>
  </si>
  <si>
    <t>Step 5 :</t>
  </si>
  <si>
    <t xml:space="preserve">Is the contract approved and the parties are committed to their obligation ((ASC 606-10-25-1(a) ) ? </t>
  </si>
  <si>
    <t xml:space="preserve">Are each parties' rights regarding the goods or services to be transferred identifiable (ASC 606-10-25-1(b)) ? </t>
  </si>
  <si>
    <t xml:space="preserve">Can the payment terms for the goods and services be identified (ASC 606-10-25-1(c)) ? </t>
  </si>
  <si>
    <t xml:space="preserve">Has the contract commercial substance (ASC 606-10-25-1(d)) ? </t>
  </si>
  <si>
    <t xml:space="preserve">Is the collection of consideration probable ("likely") (ASC 606-10-25-1(e)) ? </t>
  </si>
  <si>
    <t>Modification-:</t>
  </si>
  <si>
    <t>Checker :</t>
  </si>
  <si>
    <t>Current Status      (Maker) -:</t>
  </si>
  <si>
    <t xml:space="preserve">Rights to goods and services and payment terms can be identified </t>
  </si>
  <si>
    <t>If the answer is "Yes" to any of the above questions, the variable consideration may not be  probable and cannot be included in the transaction price until it is deemed probable that the variable consideration will not result in a significant revenue reversal.</t>
  </si>
  <si>
    <r>
      <rPr>
        <b/>
        <u/>
        <sz val="10"/>
        <color rgb="FF000000"/>
        <rFont val="Calibri"/>
        <family val="2"/>
        <scheme val="minor"/>
      </rPr>
      <t>Costs of fulfilling a contract</t>
    </r>
    <r>
      <rPr>
        <b/>
        <sz val="10"/>
        <color rgb="FF000000"/>
        <rFont val="Calibri"/>
        <family val="2"/>
        <scheme val="minor"/>
      </rPr>
      <t xml:space="preserve"> </t>
    </r>
  </si>
  <si>
    <t>No Select</t>
  </si>
  <si>
    <t>Observable price</t>
  </si>
  <si>
    <t>Method used/ Other</t>
  </si>
  <si>
    <t>Guidance: A single performance obligation is a promise in a contract with a customer to transfer to the customer either: (a) a good or service (or a bundle of goods or services) that is distinct or (b) a series of distinct goods or services that are substantially the same and that have the same pattern of transfer to the customer.</t>
  </si>
  <si>
    <t xml:space="preserve">Criterion 2
Is the Company promise to transfer the good or service separately identifiable from other promises in the contract (ASC 606-10-25-19(b))?? The following factors should be considered with regard to the above question: </t>
  </si>
  <si>
    <t>ASC 360- Property Plant and Equipment</t>
  </si>
  <si>
    <t>ASC 340 - Other Assets and deferred costs</t>
  </si>
  <si>
    <t>ASC 350 - Intangibles</t>
  </si>
  <si>
    <t>Banking &amp; Financial Services / Industry Specific BPO</t>
  </si>
  <si>
    <t>Change Order 01 (Icertis Id - ICMSOWAmendment_13525)</t>
  </si>
  <si>
    <t>TCV - $ 45,866 K</t>
  </si>
  <si>
    <t>ACV - $ 15,289 K</t>
  </si>
  <si>
    <t>MSA date :</t>
  </si>
  <si>
    <t>Change Order 01 Date -:</t>
  </si>
  <si>
    <t>Change Order 01 client sign Date -:</t>
  </si>
  <si>
    <t>07th February 2025</t>
  </si>
  <si>
    <t xml:space="preserve">Date of last Signature i.e. 07th February 2025 </t>
  </si>
  <si>
    <t>-</t>
  </si>
  <si>
    <t>February 2025</t>
  </si>
  <si>
    <t>This change order is to add New Roles and Production Rate in the existing SOW</t>
  </si>
  <si>
    <t>This checklist is prepared only to incorporate the change in the existing SOW through this change order. Refer Checklist 2024-25-75 for more details</t>
  </si>
  <si>
    <t>Scope of Services - Finance Crime Implementation and Outsourced Services</t>
  </si>
  <si>
    <t>SOW defines the pricing, risks and timing of the services, therefore commercial substance of the contract exists.</t>
  </si>
  <si>
    <t>Change Order 01 have been signed by both the parties to the contract.</t>
  </si>
  <si>
    <t>Scope of services has been defined in Schedule 1 " Description of services" of SOW and change order</t>
  </si>
  <si>
    <t>Payment Terms are mentioned in Schedule 6 " Service Fees" od SOW, Change Order and section 2 of MSA</t>
  </si>
  <si>
    <t>No contracts are combined as none of the above criteria are met.</t>
  </si>
  <si>
    <t>There are no contracts entered at or near the same time. Hence, combination of contract is not applicable.</t>
  </si>
  <si>
    <t>Account for modification as a separate contract</t>
  </si>
  <si>
    <t>Finance Crime Implementation and Outsourced Services (EDD (Enhanced Due Diligence) Support, Anti-Money Laundering Support and Crypto Anti Money Laundering Specialist)</t>
  </si>
  <si>
    <t>No financing component</t>
  </si>
  <si>
    <t>Since there is only 1 performance obligation, allocation of transaction price is not required</t>
  </si>
  <si>
    <t>There are no variable consideration identified in the Change Order 01</t>
  </si>
  <si>
    <t>No such cost in the contract</t>
  </si>
  <si>
    <t>No such fees in the contract</t>
  </si>
  <si>
    <t>Other Issues</t>
  </si>
  <si>
    <t>No such element</t>
  </si>
  <si>
    <t>No inventory risk involved</t>
  </si>
  <si>
    <t>Principal - Gross</t>
  </si>
  <si>
    <t>Billing Type - FTE based, COLA @ 4%, Overtime charges</t>
  </si>
  <si>
    <t>Pass through cost</t>
  </si>
  <si>
    <t>Termination Fees</t>
  </si>
  <si>
    <t>Revenue Recognition:</t>
  </si>
  <si>
    <t>Conclusion:</t>
  </si>
  <si>
    <r>
      <rPr>
        <b/>
        <sz val="10"/>
        <color theme="1"/>
        <rFont val="Calibri"/>
        <family val="2"/>
      </rPr>
      <t>COLA:</t>
    </r>
    <r>
      <rPr>
        <sz val="10"/>
        <color theme="1"/>
        <rFont val="Calibri"/>
        <family val="2"/>
      </rPr>
      <t xml:space="preserve"> Annual increase of 4% from the first anniversary of the Statement of Work (SOW). The increase in rates from each anniversary will be recovered for increase in cost of resources on account of inflation only.</t>
    </r>
  </si>
  <si>
    <t>The out of pocket costs (e.g. travel, meals, lodging) and the reimbursements therefor from the customer should be presented on a gross basis. This is because the goods or services giving rise to the out- of -pocket costs do not transfer a good or service to the customer and is rather used or consumed by the entity in fulfilling its performance obligation to the customer. The costs, while reimbursable, should be accounted for in the same manner as any other fulfillment costs incurred in satisfying a performance obligation to the customer.</t>
  </si>
  <si>
    <t xml:space="preserve">Pass through charges would be recognized as revenue as and when they are incurred. </t>
  </si>
  <si>
    <r>
      <t xml:space="preserve">Overtime: </t>
    </r>
    <r>
      <rPr>
        <sz val="10"/>
        <color theme="1"/>
        <rFont val="Calibri"/>
        <family val="2"/>
      </rPr>
      <t>30% premium to hourly rate for each role</t>
    </r>
  </si>
  <si>
    <r>
      <t>2.</t>
    </r>
    <r>
      <rPr>
        <b/>
        <sz val="7"/>
        <color theme="1"/>
        <rFont val="Times New Roman"/>
        <family val="1"/>
      </rPr>
      <t xml:space="preserve">       </t>
    </r>
    <r>
      <rPr>
        <b/>
        <sz val="10"/>
        <color theme="1"/>
        <rFont val="Calibri"/>
        <family val="2"/>
      </rPr>
      <t>Pass through Charges</t>
    </r>
  </si>
  <si>
    <r>
      <t>3.</t>
    </r>
    <r>
      <rPr>
        <b/>
        <sz val="7"/>
        <color theme="1"/>
        <rFont val="Times New Roman"/>
        <family val="1"/>
      </rPr>
      <t xml:space="preserve">       </t>
    </r>
    <r>
      <rPr>
        <b/>
        <sz val="10"/>
        <color theme="1"/>
        <rFont val="Calibri"/>
        <family val="2"/>
      </rPr>
      <t>Termination Charges</t>
    </r>
  </si>
  <si>
    <t>The Change Order 01 is to add new roles (EDD (Enhanced Due Diligence) Support, Anti-Money Laundering Support and Crypto Anti Money Laundering Specialist) in the existing SOW along with their production rates. Hence, there is increase in the scope of services and change to the price of the contract. Hence, modification of contract is applicable and accounting will be done prospectively.</t>
  </si>
  <si>
    <t>Revenue from the above services would be recognized over the period of time on the monthly basis based on no. of productive FTE hours x applicable hourly rate (Refer clause 6.5 of the SOW).</t>
  </si>
  <si>
    <t>22nd October 2024 
SOW End date :- This SOW will auto renew annually (each a “SOW Term”) unless either party provides at least 30 days’ prior written notice.</t>
  </si>
  <si>
    <t>12 months as per contract then it is auto renewal</t>
  </si>
  <si>
    <t>Finance Crime Implementation and Outsourced Services (EDD (Enhanced Due Diligence) Support, Anti-Money Laundering Support and Crypto Anti Money Laundering Specialist),Politically Exposed Persons (PEP) / Negative News Screening (NNS)</t>
  </si>
  <si>
    <t xml:space="preserve">As per above evaluation, we conclude that “Finance Crime Implementation and Outsourced Services (EDD (Enhanced Due Diligence) Support, Anti-Money Laundering Support and Crypto Anti Money Laundering Specialist,Politically Exposed Persons (PEP) / Negative News Screening (NNS))” are single performance obligation by applying series guidance. </t>
  </si>
  <si>
    <r>
      <t>1.</t>
    </r>
    <r>
      <rPr>
        <b/>
        <sz val="7"/>
        <color theme="1"/>
        <rFont val="Times New Roman"/>
        <family val="1"/>
      </rPr>
      <t xml:space="preserve">       </t>
    </r>
    <r>
      <rPr>
        <b/>
        <sz val="10"/>
        <color theme="1"/>
        <rFont val="Calibri"/>
        <family val="2"/>
      </rPr>
      <t>Service Charges (Finance Crime Implementation and Outsourced Services (EDD (Enhanced Due Diligence) Support, Anti-Money Laundering Support and Crypto Anti Money Laundering Specialist,Politically Exposed Persons (PEP) / Negative News Screening (NNS))</t>
    </r>
  </si>
  <si>
    <t>2024-25-118</t>
  </si>
  <si>
    <t>Whether the ABC is the principal or agent in the contract?</t>
  </si>
  <si>
    <t>C:\Users\u469295\OneDrive - ABC\Desktop\Revenue 24-25\February 2025\</t>
  </si>
  <si>
    <t>ABC Entity –</t>
  </si>
  <si>
    <t>ABC is one of the leading providers of BPM services. Company provides comprehensive data, voice and analytical services. Company transfers business process of the client which are typically companies head quartered in Europe, North America and Asia Pacific regions through delivery centers located in Costa Rica, India, the Philippines, Poland, South Africa, Romania, Sri Lanka, the UK and the US.
ABC designs, implements and operates comprehensive business processes for clients involving one or more data, voice and analytical component. BPM services include industry - specific processes that are tailored to address client’s business and industry practices, particularly in the travel and leisure, and BFSI industries, as well as business in the consumer products, retail, professional services, pharmaceuticals, media and entertainment, manufacturing, logistics, telecommunications and utilities industries. In addition, Company delivers shared services applicable across multiple industries in areas such as finance and accounting, research and analytics services. Company also provides a business transformation service which seeks to help the clients identify business and process optimization through technology enabled solutions, process design and improvements including the six sigma principles and other techniques and leveraging program management to achieve cost savings.</t>
  </si>
  <si>
    <t>XYZ, Inc., a Delaware corporation</t>
  </si>
  <si>
    <t>Master Services Agreement between XYZ and Supplier, dated April 6, 2023 (the “Agreement”) (as amended on April 1, 2024)</t>
  </si>
  <si>
    <t>Company’s Credit Rating Team performs a comprehensive study of the credit worthiness for new customers at pipeline stage i.e. before contract acceptance and execution stage through the S&amp;P Global ratings. Credit Rating Model (CRAM) is used for review of ratings and overdue status of the existing customers on a monthly basis.
ABC follows above established process for assessing the credit ratings of the prospective and existing Customers</t>
  </si>
  <si>
    <t>Progress is measured based on FTE consumed for performing the services. Therefore, method 2 i.e. measurement of progress based on Input appears to be appropriate.
Since ABC is using As-Invoiced practical expedient, the estimation of variable consideration and input method use has been foregone.</t>
  </si>
  <si>
    <t>ABCis the principal</t>
  </si>
  <si>
    <t>ABCis primarily responsible for fulfullment of contract.</t>
  </si>
  <si>
    <t xml:space="preserve">ABChas the discretion to establish the price. </t>
  </si>
  <si>
    <t>What is the currency of invoicing? Is this currency, the functional currency of either ABCor of the customer or any substantial party to the contract? If no, evaluate whether the contract contains a foreign currency embedded derivative.</t>
  </si>
  <si>
    <t>US Dollars is the functional currency of ABCGlobal Services (UK) International Limited</t>
  </si>
  <si>
    <t>The termination fee would be recognized as revenue only when there are no further obligations on ABC part with reference to provisioning of the services. Termination penalty is recorded as revenue on receipt basis.
As per clause 3.3 of MSA " Either party may terminate this Agreement for convenience by giving at least 60 days’ prior written notice to the other party. XYZmay terminate a SOW for convenience by giving at least 60 days’ prior written notice to Supplier."
XYZInc may, by giving at least 60 calendar days notice to the Supplier terminate the agrrement. Since the notice period of 60 days period is substantial in nature, this will discourage customer from termination and hence, we have considered 32 months as the term of the contract.</t>
  </si>
  <si>
    <t xml:space="preserve">ABC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</si>
</sst>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 #,##0.00_ ;_ * \-#,##0.00_ ;_ * &quot;-&quot;??_ ;_ @_ "/>
    <numFmt numFmtId="164" formatCode=";;;"/>
    <numFmt numFmtId="165" formatCode="#,##0.0;\-#,##0.0;\-;@"/>
    <numFmt numFmtId="166" formatCode="[$-14009]dd\ mmmm\ yyyy;@"/>
  </numFmts>
  <fonts count="34" x14ac:knownFonts="1">
    <font>
      <sz val="11"/>
      <color theme="1"/>
      <name val="Calibri"/>
      <family val="2"/>
      <scheme val="minor"/>
    </font>
    <font>
      <sz val="10"/>
      <color indexed="8"/>
      <name val="Calibri"/>
      <family val="2"/>
      <scheme val="minor"/>
    </font>
    <font>
      <b/>
      <sz val="11"/>
      <color indexed="9"/>
      <name val="Calibri"/>
      <family val="2"/>
      <scheme val="minor"/>
    </font>
    <font>
      <b/>
      <sz val="11"/>
      <color theme="1"/>
      <name val="Calibri"/>
      <family val="2"/>
      <scheme val="minor"/>
    </font>
    <font>
      <sz val="10"/>
      <color theme="1"/>
      <name val="Calibri"/>
      <family val="2"/>
    </font>
    <font>
      <b/>
      <sz val="10"/>
      <color theme="1"/>
      <name val="Calibri"/>
      <family val="2"/>
    </font>
    <font>
      <i/>
      <sz val="10"/>
      <color theme="1"/>
      <name val="Calibri"/>
      <family val="2"/>
    </font>
    <font>
      <sz val="7"/>
      <color theme="1"/>
      <name val="Times New Roman"/>
      <family val="1"/>
    </font>
    <font>
      <sz val="10"/>
      <color theme="1"/>
      <name val="Calibri"/>
      <family val="2"/>
      <scheme val="minor"/>
    </font>
    <font>
      <b/>
      <sz val="10"/>
      <color rgb="FF000000"/>
      <name val="Calibri"/>
      <family val="2"/>
    </font>
    <font>
      <sz val="10"/>
      <color rgb="FF000000"/>
      <name val="Calibri"/>
      <family val="2"/>
    </font>
    <font>
      <b/>
      <u/>
      <sz val="11"/>
      <color theme="1"/>
      <name val="Calibri"/>
      <family val="2"/>
      <scheme val="minor"/>
    </font>
    <font>
      <b/>
      <u/>
      <sz val="10"/>
      <color theme="1"/>
      <name val="Calibri"/>
      <family val="2"/>
      <scheme val="minor"/>
    </font>
    <font>
      <b/>
      <sz val="10"/>
      <color rgb="FF000000"/>
      <name val="Arial"/>
      <family val="2"/>
    </font>
    <font>
      <b/>
      <sz val="10"/>
      <color rgb="FF000000"/>
      <name val="Calibri"/>
      <family val="2"/>
      <scheme val="minor"/>
    </font>
    <font>
      <sz val="10"/>
      <color rgb="FF000000"/>
      <name val="Calibri"/>
      <family val="2"/>
      <scheme val="minor"/>
    </font>
    <font>
      <b/>
      <sz val="10"/>
      <color theme="1"/>
      <name val="Calibri"/>
      <family val="2"/>
      <scheme val="minor"/>
    </font>
    <font>
      <sz val="10"/>
      <name val="Calibri"/>
      <family val="2"/>
      <scheme val="minor"/>
    </font>
    <font>
      <b/>
      <sz val="10"/>
      <name val="Calibri"/>
      <family val="2"/>
      <scheme val="minor"/>
    </font>
    <font>
      <b/>
      <i/>
      <sz val="10"/>
      <color rgb="FF000000"/>
      <name val="Calibri"/>
      <family val="2"/>
    </font>
    <font>
      <b/>
      <u/>
      <sz val="10"/>
      <color theme="1"/>
      <name val="Calibri"/>
      <family val="2"/>
    </font>
    <font>
      <b/>
      <u/>
      <sz val="10"/>
      <color rgb="FF000000"/>
      <name val="Calibri"/>
      <family val="2"/>
      <scheme val="minor"/>
    </font>
    <font>
      <sz val="10"/>
      <color theme="1"/>
      <name val="Times New Roman"/>
      <family val="1"/>
    </font>
    <font>
      <b/>
      <u/>
      <sz val="10"/>
      <color rgb="FF000000"/>
      <name val="Calibri"/>
      <family val="2"/>
    </font>
    <font>
      <i/>
      <sz val="10"/>
      <color theme="1"/>
      <name val="Times New Roman"/>
      <family val="1"/>
    </font>
    <font>
      <b/>
      <i/>
      <sz val="10"/>
      <color theme="1"/>
      <name val="Calibri"/>
      <family val="2"/>
    </font>
    <font>
      <sz val="11"/>
      <name val="Calibri"/>
      <family val="2"/>
      <scheme val="minor"/>
    </font>
    <font>
      <sz val="11"/>
      <color theme="1"/>
      <name val="Calibri"/>
      <family val="2"/>
    </font>
    <font>
      <sz val="11"/>
      <color rgb="FF000000"/>
      <name val="Calibri"/>
      <family val="2"/>
    </font>
    <font>
      <b/>
      <sz val="11"/>
      <color rgb="FF000000"/>
      <name val="Calibri"/>
      <family val="2"/>
    </font>
    <font>
      <u/>
      <sz val="11"/>
      <color theme="10"/>
      <name val="Calibri"/>
      <family val="2"/>
      <scheme val="minor"/>
    </font>
    <font>
      <b/>
      <sz val="9"/>
      <color theme="1"/>
      <name val="Calibri"/>
      <family val="2"/>
    </font>
    <font>
      <sz val="10"/>
      <color rgb="FF1F497D"/>
      <name val="Calibri"/>
      <family val="2"/>
    </font>
    <font>
      <b/>
      <sz val="7"/>
      <color theme="1"/>
      <name val="Times New Roman"/>
      <family val="1"/>
    </font>
  </fonts>
  <fills count="11">
    <fill>
      <patternFill patternType="none"/>
    </fill>
    <fill>
      <patternFill patternType="gray125"/>
    </fill>
    <fill>
      <patternFill patternType="solid">
        <fgColor indexed="30"/>
        <bgColor indexed="64"/>
      </patternFill>
    </fill>
    <fill>
      <patternFill patternType="solid">
        <fgColor theme="7" tint="0.79998168889431442"/>
        <bgColor indexed="64"/>
      </patternFill>
    </fill>
    <fill>
      <patternFill patternType="solid">
        <fgColor theme="7"/>
        <bgColor indexed="64"/>
      </patternFill>
    </fill>
    <fill>
      <patternFill patternType="solid">
        <fgColor theme="0" tint="-0.14999847407452621"/>
        <bgColor indexed="64"/>
      </patternFill>
    </fill>
    <fill>
      <patternFill patternType="solid">
        <fgColor theme="0"/>
        <bgColor indexed="64"/>
      </patternFill>
    </fill>
    <fill>
      <patternFill patternType="solid">
        <fgColor rgb="FFE5B8B7"/>
        <bgColor indexed="64"/>
      </patternFill>
    </fill>
    <fill>
      <patternFill patternType="solid">
        <fgColor theme="0" tint="-4.9989318521683403E-2"/>
        <bgColor indexed="64"/>
      </patternFill>
    </fill>
    <fill>
      <patternFill patternType="solid">
        <fgColor rgb="FFD99594"/>
        <bgColor indexed="64"/>
      </patternFill>
    </fill>
    <fill>
      <patternFill patternType="solid">
        <fgColor theme="2" tint="-0.249977111117893"/>
        <bgColor indexed="64"/>
      </patternFill>
    </fill>
  </fills>
  <borders count="61">
    <border>
      <left/>
      <right/>
      <top/>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bottom/>
      <diagonal/>
    </border>
    <border>
      <left style="medium">
        <color rgb="FFF79646"/>
      </left>
      <right style="medium">
        <color rgb="FFF79646"/>
      </right>
      <top style="medium">
        <color rgb="FFF79646"/>
      </top>
      <bottom style="medium">
        <color rgb="FFF79646"/>
      </bottom>
      <diagonal/>
    </border>
    <border>
      <left style="medium">
        <color rgb="FFF79646"/>
      </left>
      <right style="medium">
        <color rgb="FFF79646"/>
      </right>
      <top/>
      <bottom style="medium">
        <color rgb="FFF79646"/>
      </bottom>
      <diagonal/>
    </border>
    <border>
      <left/>
      <right style="medium">
        <color rgb="FFF79646"/>
      </right>
      <top style="medium">
        <color rgb="FFF79646"/>
      </top>
      <bottom style="medium">
        <color rgb="FFF79646"/>
      </bottom>
      <diagonal/>
    </border>
    <border>
      <left/>
      <right style="medium">
        <color rgb="FFF79646"/>
      </right>
      <top/>
      <bottom style="medium">
        <color rgb="FFF79646"/>
      </bottom>
      <diagonal/>
    </border>
    <border>
      <left style="thin">
        <color rgb="FF00338D"/>
      </left>
      <right style="thin">
        <color rgb="FF00338D"/>
      </right>
      <top style="thin">
        <color rgb="FF00338D"/>
      </top>
      <bottom style="thin">
        <color rgb="FF00338D"/>
      </bottom>
      <diagonal/>
    </border>
    <border>
      <left style="medium">
        <color rgb="FFF79646"/>
      </left>
      <right/>
      <top/>
      <bottom/>
      <diagonal/>
    </border>
    <border>
      <left style="medium">
        <color rgb="FFF79646"/>
      </left>
      <right/>
      <top style="medium">
        <color rgb="FFF79646"/>
      </top>
      <bottom style="medium">
        <color rgb="FFF79646"/>
      </bottom>
      <diagonal/>
    </border>
    <border>
      <left style="medium">
        <color rgb="FFF79646"/>
      </left>
      <right style="medium">
        <color rgb="FFF79646"/>
      </right>
      <top/>
      <bottom/>
      <diagonal/>
    </border>
    <border>
      <left style="medium">
        <color rgb="FFF79646"/>
      </left>
      <right style="medium">
        <color rgb="FFF79646"/>
      </right>
      <top style="medium">
        <color rgb="FFF79646"/>
      </top>
      <bottom/>
      <diagonal/>
    </border>
    <border>
      <left/>
      <right style="medium">
        <color rgb="FFF79646"/>
      </right>
      <top/>
      <bottom/>
      <diagonal/>
    </border>
    <border>
      <left/>
      <right style="medium">
        <color rgb="FFF79646"/>
      </right>
      <top style="medium">
        <color rgb="FFF79646"/>
      </top>
      <bottom/>
      <diagonal/>
    </border>
    <border>
      <left style="medium">
        <color rgb="FFF79646"/>
      </left>
      <right/>
      <top style="medium">
        <color rgb="FFF79646"/>
      </top>
      <bottom/>
      <diagonal/>
    </border>
    <border>
      <left style="medium">
        <color rgb="FFF79646"/>
      </left>
      <right/>
      <top/>
      <bottom style="medium">
        <color rgb="FFF79646"/>
      </bottom>
      <diagonal/>
    </border>
    <border>
      <left/>
      <right/>
      <top style="medium">
        <color rgb="FFF79646"/>
      </top>
      <bottom style="medium">
        <color rgb="FFF79646"/>
      </bottom>
      <diagonal/>
    </border>
    <border>
      <left/>
      <right/>
      <top/>
      <bottom style="medium">
        <color rgb="FFF79646"/>
      </bottom>
      <diagonal/>
    </border>
    <border>
      <left/>
      <right/>
      <top style="medium">
        <color rgb="FFF79646"/>
      </top>
      <bottom/>
      <diagonal/>
    </border>
    <border>
      <left style="medium">
        <color theme="5"/>
      </left>
      <right style="medium">
        <color theme="5"/>
      </right>
      <top style="medium">
        <color theme="5"/>
      </top>
      <bottom style="medium">
        <color theme="5"/>
      </bottom>
      <diagonal/>
    </border>
    <border>
      <left style="medium">
        <color theme="5"/>
      </left>
      <right/>
      <top style="medium">
        <color theme="5"/>
      </top>
      <bottom style="medium">
        <color theme="5"/>
      </bottom>
      <diagonal/>
    </border>
    <border>
      <left/>
      <right/>
      <top style="medium">
        <color theme="5"/>
      </top>
      <bottom style="medium">
        <color theme="5"/>
      </bottom>
      <diagonal/>
    </border>
    <border>
      <left/>
      <right style="medium">
        <color theme="5"/>
      </right>
      <top style="medium">
        <color theme="5"/>
      </top>
      <bottom style="medium">
        <color theme="5"/>
      </bottom>
      <diagonal/>
    </border>
    <border>
      <left/>
      <right/>
      <top style="medium">
        <color theme="5"/>
      </top>
      <bottom/>
      <diagonal/>
    </border>
    <border>
      <left style="medium">
        <color theme="5"/>
      </left>
      <right/>
      <top style="medium">
        <color theme="5"/>
      </top>
      <bottom/>
      <diagonal/>
    </border>
    <border>
      <left/>
      <right style="medium">
        <color theme="5"/>
      </right>
      <top style="medium">
        <color theme="5"/>
      </top>
      <bottom/>
      <diagonal/>
    </border>
    <border>
      <left style="medium">
        <color theme="5"/>
      </left>
      <right/>
      <top/>
      <bottom style="medium">
        <color theme="5"/>
      </bottom>
      <diagonal/>
    </border>
    <border>
      <left/>
      <right/>
      <top/>
      <bottom style="medium">
        <color theme="5"/>
      </bottom>
      <diagonal/>
    </border>
    <border>
      <left/>
      <right style="medium">
        <color theme="5"/>
      </right>
      <top/>
      <bottom style="medium">
        <color theme="5"/>
      </bottom>
      <diagonal/>
    </border>
    <border>
      <left style="medium">
        <color theme="5"/>
      </left>
      <right style="thin">
        <color rgb="FF00338D"/>
      </right>
      <top style="medium">
        <color theme="5"/>
      </top>
      <bottom/>
      <diagonal/>
    </border>
    <border>
      <left/>
      <right style="medium">
        <color rgb="FFF79646"/>
      </right>
      <top style="medium">
        <color rgb="FFF79646"/>
      </top>
      <bottom style="medium">
        <color theme="5"/>
      </bottom>
      <diagonal/>
    </border>
    <border>
      <left/>
      <right/>
      <top style="medium">
        <color rgb="FFF79646"/>
      </top>
      <bottom style="medium">
        <color theme="5"/>
      </bottom>
      <diagonal/>
    </border>
    <border>
      <left style="medium">
        <color rgb="FFF79646"/>
      </left>
      <right/>
      <top style="medium">
        <color rgb="FFF79646"/>
      </top>
      <bottom style="medium">
        <color theme="5"/>
      </bottom>
      <diagonal/>
    </border>
    <border>
      <left style="medium">
        <color rgb="FFF79646"/>
      </left>
      <right/>
      <top style="medium">
        <color theme="5"/>
      </top>
      <bottom style="medium">
        <color theme="5"/>
      </bottom>
      <diagonal/>
    </border>
    <border>
      <left/>
      <right style="medium">
        <color rgb="FFF79646"/>
      </right>
      <top style="medium">
        <color theme="5"/>
      </top>
      <bottom style="medium">
        <color theme="5"/>
      </bottom>
      <diagonal/>
    </border>
    <border>
      <left style="medium">
        <color theme="5"/>
      </left>
      <right/>
      <top/>
      <bottom/>
      <diagonal/>
    </border>
    <border>
      <left/>
      <right style="medium">
        <color theme="5"/>
      </right>
      <top/>
      <bottom/>
      <diagonal/>
    </border>
    <border>
      <left style="thin">
        <color indexed="64"/>
      </left>
      <right style="thin">
        <color indexed="64"/>
      </right>
      <top style="thin">
        <color indexed="64"/>
      </top>
      <bottom style="thin">
        <color indexed="64"/>
      </bottom>
      <diagonal/>
    </border>
    <border>
      <left/>
      <right style="medium">
        <color indexed="64"/>
      </right>
      <top/>
      <bottom style="medium">
        <color theme="5"/>
      </bottom>
      <diagonal/>
    </border>
    <border>
      <left style="medium">
        <color rgb="FFFF9933"/>
      </left>
      <right/>
      <top style="medium">
        <color rgb="FFFF9933"/>
      </top>
      <bottom style="medium">
        <color rgb="FFFF9933"/>
      </bottom>
      <diagonal/>
    </border>
    <border>
      <left/>
      <right/>
      <top style="medium">
        <color rgb="FFFF9933"/>
      </top>
      <bottom style="medium">
        <color rgb="FFFF9933"/>
      </bottom>
      <diagonal/>
    </border>
    <border>
      <left/>
      <right style="medium">
        <color rgb="FFFF9933"/>
      </right>
      <top style="medium">
        <color rgb="FFFF9933"/>
      </top>
      <bottom style="medium">
        <color rgb="FFFF9933"/>
      </bottom>
      <diagonal/>
    </border>
    <border>
      <left style="medium">
        <color rgb="FFFF9933"/>
      </left>
      <right/>
      <top style="medium">
        <color rgb="FFFF9933"/>
      </top>
      <bottom/>
      <diagonal/>
    </border>
    <border>
      <left/>
      <right/>
      <top style="medium">
        <color rgb="FFFF9933"/>
      </top>
      <bottom/>
      <diagonal/>
    </border>
    <border>
      <left style="medium">
        <color theme="5"/>
      </left>
      <right/>
      <top style="medium">
        <color rgb="FFFF9933"/>
      </top>
      <bottom/>
      <diagonal/>
    </border>
    <border>
      <left/>
      <right style="medium">
        <color rgb="FFFF9933"/>
      </right>
      <top style="medium">
        <color rgb="FFFF9933"/>
      </top>
      <bottom/>
      <diagonal/>
    </border>
    <border>
      <left style="medium">
        <color rgb="FFFF9933"/>
      </left>
      <right/>
      <top/>
      <bottom style="medium">
        <color rgb="FFFF9933"/>
      </bottom>
      <diagonal/>
    </border>
    <border>
      <left/>
      <right style="medium">
        <color rgb="FFFF9933"/>
      </right>
      <top/>
      <bottom style="medium">
        <color rgb="FFFF9933"/>
      </bottom>
      <diagonal/>
    </border>
    <border>
      <left style="medium">
        <color rgb="FFFF9933"/>
      </left>
      <right style="medium">
        <color rgb="FFF79646"/>
      </right>
      <top style="medium">
        <color rgb="FFFF9933"/>
      </top>
      <bottom/>
      <diagonal/>
    </border>
    <border>
      <left style="medium">
        <color rgb="FFFF9933"/>
      </left>
      <right style="medium">
        <color rgb="FFFF9933"/>
      </right>
      <top style="medium">
        <color rgb="FFFF9933"/>
      </top>
      <bottom/>
      <diagonal/>
    </border>
    <border>
      <left style="medium">
        <color rgb="FFFF9933"/>
      </left>
      <right style="medium">
        <color rgb="FFFF9933"/>
      </right>
      <top/>
      <bottom style="medium">
        <color rgb="FFFF9933"/>
      </bottom>
      <diagonal/>
    </border>
    <border>
      <left/>
      <right style="medium">
        <color rgb="FFF79646"/>
      </right>
      <top style="medium">
        <color rgb="FFFF9933"/>
      </top>
      <bottom/>
      <diagonal/>
    </border>
    <border>
      <left style="medium">
        <color rgb="FFFF9933"/>
      </left>
      <right style="medium">
        <color rgb="FFFF9933"/>
      </right>
      <top style="medium">
        <color rgb="FFFF9933"/>
      </top>
      <bottom style="medium">
        <color rgb="FFFF9933"/>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rgb="FFF79646"/>
      </left>
      <right style="medium">
        <color theme="5"/>
      </right>
      <top style="medium">
        <color rgb="FFF79646"/>
      </top>
      <bottom/>
      <diagonal/>
    </border>
    <border>
      <left style="medium">
        <color rgb="FFF79646"/>
      </left>
      <right style="medium">
        <color theme="5"/>
      </right>
      <top/>
      <bottom style="medium">
        <color rgb="FFF79646"/>
      </bottom>
      <diagonal/>
    </border>
    <border>
      <left style="medium">
        <color rgb="FFF79646"/>
      </left>
      <right style="medium">
        <color theme="5"/>
      </right>
      <top/>
      <bottom/>
      <diagonal/>
    </border>
  </borders>
  <cellStyleXfs count="2">
    <xf numFmtId="0" fontId="0" fillId="0" borderId="0"/>
    <xf numFmtId="0" fontId="30" fillId="0" borderId="0" applyNumberFormat="0" applyFill="0" applyBorder="0" applyAlignment="0" applyProtection="0"/>
  </cellStyleXfs>
  <cellXfs count="335">
    <xf numFmtId="0" fontId="0" fillId="0" borderId="0" xfId="0"/>
    <xf numFmtId="0" fontId="1" fillId="0" borderId="1" xfId="0" applyFont="1" applyBorder="1" applyAlignment="1">
      <alignment horizontal="center" vertical="center"/>
    </xf>
    <xf numFmtId="0" fontId="2" fillId="2" borderId="1" xfId="0" applyFont="1" applyFill="1" applyBorder="1" applyAlignment="1">
      <alignment horizontal="center" vertical="center"/>
    </xf>
    <xf numFmtId="15" fontId="1" fillId="0" borderId="1" xfId="0" applyNumberFormat="1" applyFont="1" applyBorder="1" applyAlignment="1">
      <alignment horizontal="center" vertical="center"/>
    </xf>
    <xf numFmtId="9" fontId="1" fillId="0" borderId="1" xfId="0" applyNumberFormat="1" applyFont="1" applyBorder="1" applyAlignment="1">
      <alignment horizontal="center" vertical="center"/>
    </xf>
    <xf numFmtId="16" fontId="1" fillId="0" borderId="1" xfId="0" applyNumberFormat="1" applyFont="1" applyBorder="1" applyAlignment="1">
      <alignment horizontal="center" vertical="center"/>
    </xf>
    <xf numFmtId="0" fontId="0" fillId="0" borderId="0" xfId="0" applyProtection="1">
      <protection locked="0"/>
    </xf>
    <xf numFmtId="0" fontId="0" fillId="0" borderId="0" xfId="0" applyAlignment="1">
      <alignment horizontal="center"/>
    </xf>
    <xf numFmtId="16" fontId="0" fillId="0" borderId="0" xfId="0" applyNumberFormat="1"/>
    <xf numFmtId="9" fontId="0" fillId="0" borderId="0" xfId="0" applyNumberFormat="1"/>
    <xf numFmtId="0" fontId="1" fillId="3" borderId="1" xfId="0" applyFont="1" applyFill="1" applyBorder="1" applyAlignment="1">
      <alignment horizontal="center" vertical="center"/>
    </xf>
    <xf numFmtId="0" fontId="2" fillId="4" borderId="2" xfId="0" applyFont="1" applyFill="1" applyBorder="1" applyAlignment="1">
      <alignment horizontal="center" vertical="center"/>
    </xf>
    <xf numFmtId="0" fontId="3" fillId="0" borderId="0" xfId="0" applyFont="1"/>
    <xf numFmtId="0" fontId="0" fillId="5" borderId="0" xfId="0" applyFill="1" applyProtection="1">
      <protection locked="0"/>
    </xf>
    <xf numFmtId="164" fontId="0" fillId="5" borderId="0" xfId="0" applyNumberFormat="1" applyFill="1" applyAlignment="1" applyProtection="1">
      <alignment vertical="center"/>
      <protection locked="0"/>
    </xf>
    <xf numFmtId="0" fontId="5" fillId="0" borderId="0" xfId="0" applyFont="1" applyAlignment="1">
      <alignment vertical="center"/>
    </xf>
    <xf numFmtId="0" fontId="0" fillId="6" borderId="0" xfId="0" applyFill="1" applyProtection="1">
      <protection locked="0"/>
    </xf>
    <xf numFmtId="164" fontId="0" fillId="6" borderId="0" xfId="0" applyNumberFormat="1" applyFill="1" applyAlignment="1" applyProtection="1">
      <alignment vertical="center"/>
      <protection locked="0"/>
    </xf>
    <xf numFmtId="0" fontId="13" fillId="0" borderId="7" xfId="0" applyFont="1" applyBorder="1" applyAlignment="1">
      <alignment vertical="center" wrapText="1"/>
    </xf>
    <xf numFmtId="0" fontId="8" fillId="6" borderId="0" xfId="0" applyFont="1" applyFill="1" applyProtection="1">
      <protection locked="0"/>
    </xf>
    <xf numFmtId="0" fontId="16" fillId="6" borderId="0" xfId="0" applyFont="1" applyFill="1" applyProtection="1">
      <protection locked="0"/>
    </xf>
    <xf numFmtId="0" fontId="0" fillId="6" borderId="0" xfId="0" applyFill="1" applyAlignment="1" applyProtection="1">
      <alignment horizontal="left"/>
      <protection locked="0"/>
    </xf>
    <xf numFmtId="0" fontId="9" fillId="0" borderId="0" xfId="0" applyFont="1" applyAlignment="1">
      <alignment vertical="center"/>
    </xf>
    <xf numFmtId="165" fontId="17" fillId="6" borderId="0" xfId="0" applyNumberFormat="1" applyFont="1" applyFill="1" applyAlignment="1" applyProtection="1">
      <alignment vertical="center" wrapText="1"/>
      <protection locked="0"/>
    </xf>
    <xf numFmtId="0" fontId="15" fillId="6" borderId="0" xfId="0" applyFont="1" applyFill="1" applyAlignment="1" applyProtection="1">
      <alignment horizontal="left" vertical="center"/>
      <protection locked="0"/>
    </xf>
    <xf numFmtId="165" fontId="17" fillId="6" borderId="0" xfId="0" applyNumberFormat="1" applyFont="1" applyFill="1" applyAlignment="1" applyProtection="1">
      <alignment horizontal="left" vertical="top" wrapText="1"/>
      <protection locked="0"/>
    </xf>
    <xf numFmtId="165" fontId="17" fillId="6" borderId="0" xfId="0" applyNumberFormat="1" applyFont="1" applyFill="1" applyAlignment="1" applyProtection="1">
      <alignment horizontal="left" vertical="center" wrapText="1"/>
      <protection locked="0"/>
    </xf>
    <xf numFmtId="0" fontId="4" fillId="0" borderId="4" xfId="0" applyFont="1" applyBorder="1" applyAlignment="1">
      <alignment vertical="center" wrapText="1"/>
    </xf>
    <xf numFmtId="0" fontId="4" fillId="0" borderId="6" xfId="0" applyFont="1" applyBorder="1" applyAlignment="1">
      <alignment vertical="center" wrapText="1"/>
    </xf>
    <xf numFmtId="0" fontId="5" fillId="0" borderId="3" xfId="0" applyFont="1" applyBorder="1" applyAlignment="1">
      <alignment vertical="center" wrapText="1"/>
    </xf>
    <xf numFmtId="0" fontId="5" fillId="0" borderId="5" xfId="0" applyFont="1" applyBorder="1" applyAlignment="1">
      <alignment vertical="center" wrapText="1"/>
    </xf>
    <xf numFmtId="0" fontId="4" fillId="0" borderId="11" xfId="0" applyFont="1" applyBorder="1" applyAlignment="1">
      <alignment horizontal="justify" vertical="center" wrapText="1"/>
    </xf>
    <xf numFmtId="0" fontId="4" fillId="0" borderId="4" xfId="0" applyFont="1" applyBorder="1" applyAlignment="1">
      <alignment horizontal="justify" vertical="center" wrapText="1"/>
    </xf>
    <xf numFmtId="0" fontId="9" fillId="0" borderId="0" xfId="0" applyFont="1" applyAlignment="1" applyProtection="1">
      <alignment vertical="center"/>
      <protection locked="0"/>
    </xf>
    <xf numFmtId="0" fontId="9" fillId="0" borderId="3" xfId="0" applyFont="1" applyBorder="1" applyAlignment="1" applyProtection="1">
      <alignment vertical="center" wrapText="1"/>
      <protection locked="0"/>
    </xf>
    <xf numFmtId="0" fontId="9" fillId="0" borderId="4" xfId="0" applyFont="1" applyBorder="1" applyAlignment="1" applyProtection="1">
      <alignment vertical="center" wrapText="1"/>
      <protection locked="0"/>
    </xf>
    <xf numFmtId="0" fontId="10" fillId="0" borderId="6" xfId="0" applyFont="1" applyBorder="1" applyAlignment="1" applyProtection="1">
      <alignment vertical="center" wrapText="1"/>
      <protection locked="0"/>
    </xf>
    <xf numFmtId="165" fontId="18" fillId="8" borderId="29" xfId="0" applyNumberFormat="1" applyFont="1" applyFill="1" applyBorder="1" applyAlignment="1">
      <alignment vertical="center" wrapText="1"/>
    </xf>
    <xf numFmtId="165" fontId="17" fillId="6" borderId="19" xfId="0" applyNumberFormat="1" applyFont="1" applyFill="1" applyBorder="1" applyAlignment="1" applyProtection="1">
      <alignment vertical="center" wrapText="1"/>
      <protection locked="0"/>
    </xf>
    <xf numFmtId="165" fontId="18" fillId="6" borderId="19" xfId="0" applyNumberFormat="1" applyFont="1" applyFill="1" applyBorder="1" applyAlignment="1" applyProtection="1">
      <alignment vertical="center" wrapText="1"/>
      <protection locked="0"/>
    </xf>
    <xf numFmtId="0" fontId="8" fillId="0" borderId="0" xfId="0" applyFont="1"/>
    <xf numFmtId="0" fontId="8" fillId="0" borderId="0" xfId="0" applyFont="1" applyProtection="1">
      <protection locked="0"/>
    </xf>
    <xf numFmtId="0" fontId="10" fillId="0" borderId="19" xfId="0" applyFont="1" applyBorder="1" applyAlignment="1">
      <alignment horizontal="justify" vertical="center" wrapText="1"/>
    </xf>
    <xf numFmtId="0" fontId="5" fillId="0" borderId="16" xfId="0" applyFont="1" applyBorder="1" applyAlignment="1">
      <alignment vertical="center" wrapText="1"/>
    </xf>
    <xf numFmtId="0" fontId="3" fillId="5" borderId="37" xfId="0" applyFont="1" applyFill="1" applyBorder="1" applyAlignment="1" applyProtection="1">
      <alignment vertical="center"/>
      <protection locked="0"/>
    </xf>
    <xf numFmtId="0" fontId="0" fillId="5" borderId="37" xfId="0" applyFill="1" applyBorder="1" applyAlignment="1" applyProtection="1">
      <alignment vertical="center"/>
      <protection locked="0"/>
    </xf>
    <xf numFmtId="0" fontId="10" fillId="0" borderId="3" xfId="0" applyFont="1" applyBorder="1" applyAlignment="1" applyProtection="1">
      <alignment horizontal="left" vertical="center" wrapText="1"/>
      <protection locked="0"/>
    </xf>
    <xf numFmtId="0" fontId="6" fillId="6" borderId="4" xfId="0" applyFont="1" applyFill="1" applyBorder="1" applyAlignment="1" applyProtection="1">
      <alignment vertical="center"/>
      <protection locked="0"/>
    </xf>
    <xf numFmtId="0" fontId="6" fillId="6" borderId="6" xfId="0" applyFont="1" applyFill="1" applyBorder="1" applyAlignment="1" applyProtection="1">
      <alignment vertical="center"/>
      <protection locked="0"/>
    </xf>
    <xf numFmtId="0" fontId="10" fillId="0" borderId="5" xfId="0" applyFont="1" applyBorder="1" applyAlignment="1" applyProtection="1">
      <alignment vertical="center" wrapText="1"/>
      <protection locked="0"/>
    </xf>
    <xf numFmtId="0" fontId="22" fillId="0" borderId="0" xfId="0" applyFont="1" applyAlignment="1" applyProtection="1">
      <alignment vertical="center" wrapText="1"/>
      <protection locked="0"/>
    </xf>
    <xf numFmtId="0" fontId="9" fillId="0" borderId="9" xfId="0" applyFont="1" applyBorder="1" applyAlignment="1" applyProtection="1">
      <alignment horizontal="center" vertical="center" wrapText="1"/>
      <protection locked="0"/>
    </xf>
    <xf numFmtId="0" fontId="9" fillId="0" borderId="3" xfId="0" applyFont="1" applyBorder="1" applyAlignment="1" applyProtection="1">
      <alignment horizontal="center" vertical="center" wrapText="1"/>
      <protection locked="0"/>
    </xf>
    <xf numFmtId="0" fontId="9" fillId="0" borderId="5" xfId="0" applyFont="1" applyBorder="1" applyAlignment="1" applyProtection="1">
      <alignment horizontal="center" vertical="center" wrapText="1"/>
      <protection locked="0"/>
    </xf>
    <xf numFmtId="0" fontId="0" fillId="6" borderId="0" xfId="0" applyFill="1"/>
    <xf numFmtId="0" fontId="6" fillId="6" borderId="5" xfId="0" applyFont="1" applyFill="1" applyBorder="1" applyAlignment="1" applyProtection="1">
      <alignment vertical="center"/>
      <protection locked="0"/>
    </xf>
    <xf numFmtId="0" fontId="6" fillId="6" borderId="3" xfId="0" applyFont="1" applyFill="1" applyBorder="1" applyAlignment="1" applyProtection="1">
      <alignment vertical="center"/>
      <protection locked="0"/>
    </xf>
    <xf numFmtId="0" fontId="20" fillId="0" borderId="0" xfId="0" applyFont="1" applyAlignment="1">
      <alignment vertical="center"/>
    </xf>
    <xf numFmtId="0" fontId="10" fillId="0" borderId="3" xfId="0" applyFont="1" applyBorder="1" applyAlignment="1">
      <alignment vertical="center" wrapText="1"/>
    </xf>
    <xf numFmtId="0" fontId="10" fillId="0" borderId="4" xfId="0" applyFont="1" applyBorder="1" applyAlignment="1">
      <alignment vertical="center" wrapText="1"/>
    </xf>
    <xf numFmtId="0" fontId="12" fillId="0" borderId="0" xfId="0" applyFont="1"/>
    <xf numFmtId="0" fontId="9" fillId="0" borderId="9" xfId="0" applyFont="1" applyBorder="1" applyAlignment="1">
      <alignment horizontal="left" vertical="center" wrapText="1"/>
    </xf>
    <xf numFmtId="0" fontId="9" fillId="0" borderId="3" xfId="0" applyFont="1" applyBorder="1" applyAlignment="1">
      <alignment vertical="center" wrapText="1"/>
    </xf>
    <xf numFmtId="0" fontId="11" fillId="6" borderId="0" xfId="0" applyFont="1" applyFill="1"/>
    <xf numFmtId="0" fontId="8" fillId="6" borderId="0" xfId="0" applyFont="1" applyFill="1"/>
    <xf numFmtId="0" fontId="10" fillId="0" borderId="0" xfId="0" applyFont="1" applyAlignment="1">
      <alignment horizontal="justify" vertical="center"/>
    </xf>
    <xf numFmtId="0" fontId="15" fillId="0" borderId="0" xfId="0" applyFont="1" applyAlignment="1">
      <alignment horizontal="left" vertical="center"/>
    </xf>
    <xf numFmtId="0" fontId="14" fillId="7" borderId="3" xfId="0" applyFont="1" applyFill="1" applyBorder="1" applyAlignment="1" applyProtection="1">
      <alignment vertical="center"/>
      <protection locked="0"/>
    </xf>
    <xf numFmtId="0" fontId="14" fillId="7" borderId="9" xfId="0" applyFont="1" applyFill="1" applyBorder="1" applyAlignment="1" applyProtection="1">
      <alignment vertical="center"/>
      <protection locked="0"/>
    </xf>
    <xf numFmtId="0" fontId="15" fillId="6" borderId="0" xfId="0" applyFont="1" applyFill="1" applyAlignment="1" applyProtection="1">
      <alignment horizontal="left" vertical="center" wrapText="1"/>
      <protection locked="0"/>
    </xf>
    <xf numFmtId="0" fontId="14" fillId="7" borderId="19" xfId="0" applyFont="1" applyFill="1" applyBorder="1" applyAlignment="1" applyProtection="1">
      <alignment horizontal="left" vertical="center"/>
      <protection locked="0"/>
    </xf>
    <xf numFmtId="0" fontId="4" fillId="6" borderId="3" xfId="0" applyFont="1" applyFill="1" applyBorder="1" applyAlignment="1" applyProtection="1">
      <alignment vertical="center"/>
      <protection locked="0"/>
    </xf>
    <xf numFmtId="0" fontId="4" fillId="6" borderId="4" xfId="0" applyFont="1" applyFill="1" applyBorder="1" applyAlignment="1" applyProtection="1">
      <alignment vertical="center"/>
      <protection locked="0"/>
    </xf>
    <xf numFmtId="0" fontId="4" fillId="6" borderId="4" xfId="0" applyFont="1" applyFill="1" applyBorder="1" applyAlignment="1" applyProtection="1">
      <alignment horizontal="left" vertical="center" wrapText="1"/>
      <protection locked="0"/>
    </xf>
    <xf numFmtId="0" fontId="10" fillId="0" borderId="5" xfId="0" applyFont="1" applyBorder="1" applyAlignment="1" applyProtection="1">
      <alignment horizontal="left" vertical="center" wrapText="1"/>
      <protection locked="0"/>
    </xf>
    <xf numFmtId="0" fontId="28" fillId="0" borderId="0" xfId="0" applyFont="1" applyAlignment="1">
      <alignment vertical="center"/>
    </xf>
    <xf numFmtId="0" fontId="27" fillId="0" borderId="0" xfId="0" applyFont="1" applyAlignment="1">
      <alignment vertical="center" wrapText="1"/>
    </xf>
    <xf numFmtId="0" fontId="29" fillId="0" borderId="0" xfId="0" applyFont="1" applyAlignment="1">
      <alignment vertical="center"/>
    </xf>
    <xf numFmtId="0" fontId="3" fillId="6" borderId="0" xfId="0" applyFont="1" applyFill="1" applyProtection="1">
      <protection locked="0"/>
    </xf>
    <xf numFmtId="0" fontId="5" fillId="0" borderId="48" xfId="0" applyFont="1" applyBorder="1" applyAlignment="1">
      <alignment vertical="center" wrapText="1"/>
    </xf>
    <xf numFmtId="0" fontId="5" fillId="0" borderId="43" xfId="0" applyFont="1" applyBorder="1" applyAlignment="1">
      <alignment vertical="center" wrapText="1"/>
    </xf>
    <xf numFmtId="0" fontId="6" fillId="6" borderId="10" xfId="0" applyFont="1" applyFill="1" applyBorder="1" applyAlignment="1" applyProtection="1">
      <alignment vertical="center"/>
      <protection locked="0"/>
    </xf>
    <xf numFmtId="0" fontId="6" fillId="6" borderId="52" xfId="0" applyFont="1" applyFill="1" applyBorder="1" applyAlignment="1" applyProtection="1">
      <alignment vertical="center"/>
      <protection locked="0"/>
    </xf>
    <xf numFmtId="0" fontId="3" fillId="0" borderId="52" xfId="0" applyFont="1" applyBorder="1"/>
    <xf numFmtId="43" fontId="0" fillId="0" borderId="0" xfId="0" applyNumberFormat="1"/>
    <xf numFmtId="43" fontId="10" fillId="0" borderId="17" xfId="0" applyNumberFormat="1" applyFont="1" applyBorder="1" applyAlignment="1" applyProtection="1">
      <alignment vertical="center" wrapText="1"/>
      <protection locked="0"/>
    </xf>
    <xf numFmtId="43" fontId="10" fillId="0" borderId="6" xfId="0" applyNumberFormat="1" applyFont="1" applyBorder="1" applyAlignment="1" applyProtection="1">
      <alignment vertical="center" wrapText="1"/>
      <protection locked="0"/>
    </xf>
    <xf numFmtId="0" fontId="3" fillId="0" borderId="40" xfId="0" applyFont="1" applyBorder="1"/>
    <xf numFmtId="0" fontId="3" fillId="0" borderId="41" xfId="0" applyFont="1" applyBorder="1"/>
    <xf numFmtId="17" fontId="26" fillId="6" borderId="37" xfId="0" applyNumberFormat="1" applyFont="1" applyFill="1" applyBorder="1" applyAlignment="1">
      <alignment horizontal="center" vertical="center"/>
    </xf>
    <xf numFmtId="0" fontId="0" fillId="5" borderId="53" xfId="0" applyFill="1" applyBorder="1" applyAlignment="1" applyProtection="1">
      <alignment vertical="center"/>
      <protection locked="0"/>
    </xf>
    <xf numFmtId="0" fontId="3" fillId="5" borderId="53" xfId="0" applyFont="1" applyFill="1" applyBorder="1" applyAlignment="1" applyProtection="1">
      <alignment horizontal="center" vertical="center"/>
      <protection locked="0"/>
    </xf>
    <xf numFmtId="0" fontId="0" fillId="6" borderId="0" xfId="0" applyFill="1" applyAlignment="1" applyProtection="1">
      <alignment horizontal="left" vertical="top"/>
      <protection locked="0"/>
    </xf>
    <xf numFmtId="165" fontId="17" fillId="6" borderId="22" xfId="0" applyNumberFormat="1" applyFont="1" applyFill="1" applyBorder="1" applyAlignment="1" applyProtection="1">
      <alignment vertical="center" wrapText="1"/>
      <protection locked="0"/>
    </xf>
    <xf numFmtId="0" fontId="10" fillId="0" borderId="52" xfId="0" applyFont="1" applyBorder="1" applyAlignment="1" applyProtection="1">
      <alignment horizontal="left" vertical="top" wrapText="1"/>
      <protection locked="0"/>
    </xf>
    <xf numFmtId="0" fontId="10" fillId="0" borderId="52" xfId="0" applyFont="1" applyBorder="1" applyAlignment="1" applyProtection="1">
      <alignment horizontal="left" vertical="center" wrapText="1"/>
      <protection locked="0"/>
    </xf>
    <xf numFmtId="0" fontId="10" fillId="0" borderId="10" xfId="0" applyFont="1" applyBorder="1" applyAlignment="1">
      <alignment horizontal="justify" vertical="center" wrapText="1"/>
    </xf>
    <xf numFmtId="43" fontId="10" fillId="0" borderId="0" xfId="0" applyNumberFormat="1" applyFont="1" applyAlignment="1" applyProtection="1">
      <alignment vertical="center" wrapText="1"/>
      <protection locked="0"/>
    </xf>
    <xf numFmtId="0" fontId="30" fillId="6" borderId="0" xfId="1" applyFill="1" applyProtection="1">
      <protection locked="0"/>
    </xf>
    <xf numFmtId="0" fontId="15" fillId="0" borderId="0" xfId="0" applyFont="1" applyAlignment="1" applyProtection="1">
      <alignment vertical="center"/>
      <protection locked="0"/>
    </xf>
    <xf numFmtId="0" fontId="14" fillId="0" borderId="0" xfId="0" applyFont="1" applyAlignment="1" applyProtection="1">
      <alignment vertical="center"/>
      <protection locked="0"/>
    </xf>
    <xf numFmtId="0" fontId="10" fillId="0" borderId="0" xfId="0" applyFont="1" applyAlignment="1" applyProtection="1">
      <alignment vertical="center"/>
      <protection locked="0"/>
    </xf>
    <xf numFmtId="0" fontId="9" fillId="0" borderId="13" xfId="0" applyFont="1" applyBorder="1" applyAlignment="1" applyProtection="1">
      <alignment vertical="center" wrapText="1"/>
      <protection locked="0"/>
    </xf>
    <xf numFmtId="0" fontId="10" fillId="0" borderId="0" xfId="0" applyFont="1" applyAlignment="1" applyProtection="1">
      <alignment horizontal="left" vertical="center" wrapText="1"/>
      <protection locked="0"/>
    </xf>
    <xf numFmtId="0" fontId="9" fillId="0" borderId="19" xfId="0" applyFont="1" applyBorder="1" applyAlignment="1" applyProtection="1">
      <alignment vertical="center" wrapText="1"/>
      <protection locked="0"/>
    </xf>
    <xf numFmtId="0" fontId="10" fillId="0" borderId="9" xfId="0" applyFont="1" applyBorder="1" applyAlignment="1" applyProtection="1">
      <alignment horizontal="left" vertical="center" wrapText="1"/>
      <protection locked="0"/>
    </xf>
    <xf numFmtId="0" fontId="9" fillId="0" borderId="13" xfId="0" applyFont="1" applyBorder="1" applyAlignment="1" applyProtection="1">
      <alignment horizontal="left" vertical="center" wrapText="1"/>
      <protection locked="0"/>
    </xf>
    <xf numFmtId="0" fontId="10" fillId="0" borderId="9" xfId="0" applyFont="1" applyBorder="1" applyAlignment="1" applyProtection="1">
      <alignment horizontal="left" vertical="top" wrapText="1"/>
      <protection locked="0"/>
    </xf>
    <xf numFmtId="0" fontId="10" fillId="0" borderId="3" xfId="0" applyFont="1" applyBorder="1" applyAlignment="1">
      <alignment horizontal="left" vertical="center" wrapText="1"/>
    </xf>
    <xf numFmtId="0" fontId="4" fillId="6" borderId="4" xfId="0" applyFont="1" applyFill="1" applyBorder="1" applyAlignment="1" applyProtection="1">
      <alignment horizontal="left" vertical="center"/>
      <protection locked="0"/>
    </xf>
    <xf numFmtId="0" fontId="10" fillId="0" borderId="19" xfId="0" applyFont="1" applyBorder="1" applyAlignment="1" applyProtection="1">
      <alignment horizontal="left" vertical="center" wrapText="1"/>
      <protection locked="0"/>
    </xf>
    <xf numFmtId="0" fontId="10" fillId="0" borderId="13" xfId="0" applyFont="1" applyBorder="1" applyAlignment="1" applyProtection="1">
      <alignment horizontal="left" vertical="center" wrapText="1"/>
      <protection locked="0"/>
    </xf>
    <xf numFmtId="0" fontId="4" fillId="6" borderId="0" xfId="0" applyFont="1" applyFill="1" applyAlignment="1" applyProtection="1">
      <alignment vertical="center"/>
      <protection locked="0"/>
    </xf>
    <xf numFmtId="0" fontId="6" fillId="6" borderId="0" xfId="0" applyFont="1" applyFill="1" applyAlignment="1" applyProtection="1">
      <alignment horizontal="center" vertical="center"/>
      <protection locked="0"/>
    </xf>
    <xf numFmtId="0" fontId="5" fillId="6" borderId="0" xfId="0" applyFont="1" applyFill="1" applyAlignment="1" applyProtection="1">
      <alignment vertical="center"/>
      <protection locked="0"/>
    </xf>
    <xf numFmtId="0" fontId="4" fillId="6" borderId="0" xfId="0" applyFont="1" applyFill="1" applyAlignment="1" applyProtection="1">
      <alignment horizontal="left" vertical="center" indent="4"/>
      <protection locked="0"/>
    </xf>
    <xf numFmtId="0" fontId="4" fillId="6" borderId="0" xfId="0" quotePrefix="1" applyFont="1" applyFill="1" applyAlignment="1" applyProtection="1">
      <alignment horizontal="justify" vertical="center"/>
      <protection locked="0"/>
    </xf>
    <xf numFmtId="0" fontId="4" fillId="6" borderId="0" xfId="0" applyFont="1" applyFill="1" applyAlignment="1" applyProtection="1">
      <alignment horizontal="justify" vertical="center"/>
      <protection locked="0"/>
    </xf>
    <xf numFmtId="0" fontId="10" fillId="0" borderId="9" xfId="0" applyFont="1" applyBorder="1" applyAlignment="1">
      <alignment horizontal="left" vertical="center" wrapText="1"/>
    </xf>
    <xf numFmtId="0" fontId="10" fillId="0" borderId="5" xfId="0" applyFont="1" applyBorder="1" applyAlignment="1">
      <alignment horizontal="left" vertical="center" wrapText="1"/>
    </xf>
    <xf numFmtId="165" fontId="17" fillId="6" borderId="19" xfId="0" applyNumberFormat="1" applyFont="1" applyFill="1" applyBorder="1" applyAlignment="1">
      <alignment vertical="center" wrapText="1"/>
    </xf>
    <xf numFmtId="0" fontId="25" fillId="6" borderId="5" xfId="0" applyFont="1" applyFill="1" applyBorder="1" applyAlignment="1" applyProtection="1">
      <alignment horizontal="left" vertical="center"/>
      <protection locked="0"/>
    </xf>
    <xf numFmtId="0" fontId="6" fillId="6" borderId="5" xfId="0" applyFont="1" applyFill="1" applyBorder="1" applyAlignment="1" applyProtection="1">
      <alignment horizontal="left" vertical="center"/>
      <protection locked="0"/>
    </xf>
    <xf numFmtId="0" fontId="6" fillId="6" borderId="6" xfId="0" applyFont="1" applyFill="1" applyBorder="1" applyAlignment="1" applyProtection="1">
      <alignment horizontal="left" vertical="center"/>
      <protection locked="0"/>
    </xf>
    <xf numFmtId="0" fontId="6" fillId="6" borderId="12" xfId="0" applyFont="1" applyFill="1" applyBorder="1" applyAlignment="1" applyProtection="1">
      <alignment horizontal="left" vertical="center"/>
      <protection locked="0"/>
    </xf>
    <xf numFmtId="0" fontId="6" fillId="6" borderId="52" xfId="0" applyFont="1" applyFill="1" applyBorder="1" applyAlignment="1" applyProtection="1">
      <alignment horizontal="left" vertical="center"/>
      <protection locked="0"/>
    </xf>
    <xf numFmtId="166" fontId="6" fillId="6" borderId="6" xfId="0" applyNumberFormat="1" applyFont="1" applyFill="1" applyBorder="1" applyAlignment="1" applyProtection="1">
      <alignment horizontal="left" vertical="center"/>
      <protection locked="0"/>
    </xf>
    <xf numFmtId="165" fontId="17" fillId="6" borderId="19" xfId="0" applyNumberFormat="1" applyFont="1" applyFill="1" applyBorder="1" applyAlignment="1" applyProtection="1">
      <alignment horizontal="left" vertical="center" wrapText="1"/>
      <protection locked="0"/>
    </xf>
    <xf numFmtId="165" fontId="17" fillId="6" borderId="19" xfId="0" applyNumberFormat="1" applyFont="1" applyFill="1" applyBorder="1" applyAlignment="1" applyProtection="1">
      <alignment horizontal="left" vertical="top" wrapText="1"/>
      <protection locked="0"/>
    </xf>
    <xf numFmtId="0" fontId="10" fillId="0" borderId="17" xfId="0" applyFont="1" applyBorder="1" applyAlignment="1" applyProtection="1">
      <alignment horizontal="left" vertical="center" wrapText="1"/>
      <protection locked="0"/>
    </xf>
    <xf numFmtId="0" fontId="10" fillId="0" borderId="59" xfId="0" applyFont="1" applyBorder="1" applyAlignment="1" applyProtection="1">
      <alignment vertical="center" wrapText="1"/>
      <protection locked="0"/>
    </xf>
    <xf numFmtId="0" fontId="4" fillId="0" borderId="12" xfId="0" applyFont="1" applyBorder="1" applyAlignment="1">
      <alignment horizontal="left" vertical="top" wrapText="1"/>
    </xf>
    <xf numFmtId="0" fontId="4" fillId="0" borderId="6" xfId="0" applyFont="1" applyBorder="1" applyAlignment="1">
      <alignment horizontal="left" vertical="top" wrapText="1"/>
    </xf>
    <xf numFmtId="164" fontId="0" fillId="6" borderId="0" xfId="0" applyNumberFormat="1" applyFill="1" applyAlignment="1" applyProtection="1">
      <alignment horizontal="left" vertical="top"/>
      <protection locked="0"/>
    </xf>
    <xf numFmtId="164" fontId="8" fillId="6" borderId="0" xfId="0" applyNumberFormat="1" applyFont="1" applyFill="1" applyAlignment="1" applyProtection="1">
      <alignment horizontal="left" vertical="top"/>
      <protection locked="0"/>
    </xf>
    <xf numFmtId="0" fontId="5" fillId="0" borderId="5" xfId="0" applyFont="1" applyBorder="1" applyAlignment="1">
      <alignment horizontal="left" vertical="top" wrapText="1"/>
    </xf>
    <xf numFmtId="0" fontId="4" fillId="0" borderId="19" xfId="0" applyFont="1" applyBorder="1" applyAlignment="1">
      <alignment horizontal="left" vertical="top" wrapText="1"/>
    </xf>
    <xf numFmtId="0" fontId="0" fillId="0" borderId="0" xfId="0" applyAlignment="1">
      <alignment horizontal="left" vertical="top"/>
    </xf>
    <xf numFmtId="0" fontId="5" fillId="0" borderId="51" xfId="0" applyFont="1" applyBorder="1" applyAlignment="1">
      <alignment horizontal="left" vertical="top" wrapText="1"/>
    </xf>
    <xf numFmtId="0" fontId="12" fillId="6" borderId="0" xfId="0" applyFont="1" applyFill="1" applyProtection="1">
      <protection locked="0"/>
    </xf>
    <xf numFmtId="0" fontId="31" fillId="6" borderId="0" xfId="0" applyFont="1" applyFill="1" applyAlignment="1" applyProtection="1">
      <alignment vertical="center"/>
      <protection locked="0"/>
    </xf>
    <xf numFmtId="166" fontId="6" fillId="6" borderId="4" xfId="0" quotePrefix="1" applyNumberFormat="1" applyFont="1" applyFill="1" applyBorder="1" applyAlignment="1" applyProtection="1">
      <alignment horizontal="left" vertical="center"/>
      <protection locked="0"/>
    </xf>
    <xf numFmtId="0" fontId="20" fillId="10" borderId="0" xfId="0" applyFont="1" applyFill="1" applyAlignment="1">
      <alignment horizontal="left" vertical="top" wrapText="1"/>
    </xf>
    <xf numFmtId="0" fontId="32" fillId="0" borderId="0" xfId="0" applyFont="1" applyAlignment="1">
      <alignment horizontal="left" vertical="top" wrapText="1"/>
    </xf>
    <xf numFmtId="0" fontId="5" fillId="0" borderId="0" xfId="0" applyFont="1" applyAlignment="1">
      <alignment horizontal="left" vertical="top" wrapText="1"/>
    </xf>
    <xf numFmtId="0" fontId="4" fillId="0" borderId="0" xfId="0" applyFont="1" applyAlignment="1">
      <alignment horizontal="left" vertical="top" wrapText="1"/>
    </xf>
    <xf numFmtId="0" fontId="0" fillId="6" borderId="0" xfId="0" applyFill="1" applyAlignment="1" applyProtection="1">
      <alignment vertical="top" wrapText="1"/>
      <protection locked="0"/>
    </xf>
    <xf numFmtId="164" fontId="0" fillId="6" borderId="0" xfId="0" applyNumberFormat="1" applyFill="1" applyAlignment="1" applyProtection="1">
      <alignment vertical="top" wrapText="1"/>
      <protection locked="0"/>
    </xf>
    <xf numFmtId="0" fontId="28" fillId="0" borderId="0" xfId="0" applyFont="1" applyAlignment="1">
      <alignment vertical="center"/>
    </xf>
    <xf numFmtId="0" fontId="3" fillId="5" borderId="54" xfId="0" applyFont="1" applyFill="1" applyBorder="1" applyAlignment="1" applyProtection="1">
      <alignment horizontal="left" vertical="center" wrapText="1"/>
      <protection locked="0"/>
    </xf>
    <xf numFmtId="0" fontId="3" fillId="5" borderId="55" xfId="0" applyFont="1" applyFill="1" applyBorder="1" applyAlignment="1" applyProtection="1">
      <alignment horizontal="left" vertical="center" wrapText="1"/>
      <protection locked="0"/>
    </xf>
    <xf numFmtId="0" fontId="3" fillId="5" borderId="54" xfId="0" applyFont="1" applyFill="1" applyBorder="1" applyAlignment="1" applyProtection="1">
      <alignment horizontal="center" vertical="center"/>
      <protection locked="0"/>
    </xf>
    <xf numFmtId="0" fontId="3" fillId="5" borderId="55" xfId="0" applyFont="1" applyFill="1" applyBorder="1" applyAlignment="1" applyProtection="1">
      <alignment horizontal="center" vertical="center"/>
      <protection locked="0"/>
    </xf>
    <xf numFmtId="0" fontId="6" fillId="6" borderId="9" xfId="0" applyFont="1" applyFill="1" applyBorder="1" applyAlignment="1" applyProtection="1">
      <alignment horizontal="left" vertical="center"/>
      <protection locked="0"/>
    </xf>
    <xf numFmtId="0" fontId="6" fillId="6" borderId="5" xfId="0" applyFont="1" applyFill="1" applyBorder="1" applyAlignment="1" applyProtection="1">
      <alignment horizontal="left" vertical="center"/>
      <protection locked="0"/>
    </xf>
    <xf numFmtId="0" fontId="6" fillId="6" borderId="9" xfId="0" applyFont="1" applyFill="1" applyBorder="1" applyAlignment="1" applyProtection="1">
      <alignment horizontal="left" vertical="center" wrapText="1"/>
      <protection locked="0"/>
    </xf>
    <xf numFmtId="0" fontId="6" fillId="6" borderId="14" xfId="0" applyFont="1" applyFill="1" applyBorder="1" applyAlignment="1" applyProtection="1">
      <alignment horizontal="left" vertical="center"/>
      <protection locked="0"/>
    </xf>
    <xf numFmtId="0" fontId="6" fillId="6" borderId="15" xfId="0" applyFont="1" applyFill="1" applyBorder="1" applyAlignment="1" applyProtection="1">
      <alignment horizontal="left" vertical="center"/>
      <protection locked="0"/>
    </xf>
    <xf numFmtId="0" fontId="4" fillId="6" borderId="0" xfId="0" applyFont="1" applyFill="1" applyAlignment="1" applyProtection="1">
      <alignment horizontal="left" vertical="top" wrapText="1"/>
      <protection locked="0"/>
    </xf>
    <xf numFmtId="0" fontId="4" fillId="6" borderId="0" xfId="0" applyFont="1" applyFill="1" applyAlignment="1" applyProtection="1">
      <alignment horizontal="left" vertical="center" wrapText="1"/>
      <protection locked="0"/>
    </xf>
    <xf numFmtId="0" fontId="6" fillId="6" borderId="39" xfId="0" applyFont="1" applyFill="1" applyBorder="1" applyAlignment="1" applyProtection="1">
      <alignment vertical="center"/>
      <protection locked="0"/>
    </xf>
    <xf numFmtId="0" fontId="6" fillId="6" borderId="40" xfId="0" applyFont="1" applyFill="1" applyBorder="1" applyAlignment="1" applyProtection="1">
      <alignment vertical="center"/>
      <protection locked="0"/>
    </xf>
    <xf numFmtId="0" fontId="6" fillId="6" borderId="41" xfId="0" applyFont="1" applyFill="1" applyBorder="1" applyAlignment="1" applyProtection="1">
      <alignment vertical="center"/>
      <protection locked="0"/>
    </xf>
    <xf numFmtId="0" fontId="9" fillId="7" borderId="8" xfId="0" applyFont="1" applyFill="1" applyBorder="1" applyAlignment="1">
      <alignment horizontal="left" vertical="center"/>
    </xf>
    <xf numFmtId="0" fontId="9" fillId="7" borderId="0" xfId="0" applyFont="1" applyFill="1" applyAlignment="1">
      <alignment horizontal="left" vertical="center"/>
    </xf>
    <xf numFmtId="0" fontId="10" fillId="0" borderId="9" xfId="0" applyFont="1" applyBorder="1" applyAlignment="1">
      <alignment horizontal="left" vertical="center" wrapText="1"/>
    </xf>
    <xf numFmtId="0" fontId="10" fillId="0" borderId="16" xfId="0" applyFont="1" applyBorder="1" applyAlignment="1">
      <alignment horizontal="left" vertical="center" wrapText="1"/>
    </xf>
    <xf numFmtId="0" fontId="10" fillId="0" borderId="5" xfId="0" applyFont="1" applyBorder="1" applyAlignment="1">
      <alignment horizontal="left" vertical="center" wrapText="1"/>
    </xf>
    <xf numFmtId="0" fontId="9" fillId="0" borderId="9" xfId="0" applyFont="1" applyBorder="1" applyAlignment="1">
      <alignment horizontal="center" vertical="center" wrapText="1"/>
    </xf>
    <xf numFmtId="0" fontId="9" fillId="0" borderId="5" xfId="0" applyFont="1" applyBorder="1" applyAlignment="1">
      <alignment horizontal="center" vertical="center" wrapText="1"/>
    </xf>
    <xf numFmtId="0" fontId="10" fillId="0" borderId="9" xfId="0" applyFont="1" applyBorder="1" applyAlignment="1">
      <alignment horizontal="left" vertical="top" wrapText="1"/>
    </xf>
    <xf numFmtId="0" fontId="10" fillId="0" borderId="5" xfId="0" applyFont="1" applyBorder="1" applyAlignment="1">
      <alignment horizontal="left" vertical="top" wrapText="1"/>
    </xf>
    <xf numFmtId="0" fontId="10" fillId="0" borderId="16" xfId="0" applyFont="1" applyBorder="1" applyAlignment="1">
      <alignment horizontal="left" vertical="top" wrapText="1"/>
    </xf>
    <xf numFmtId="0" fontId="9" fillId="0" borderId="20" xfId="0" applyFont="1" applyBorder="1" applyAlignment="1">
      <alignment horizontal="left" vertical="top" wrapText="1"/>
    </xf>
    <xf numFmtId="0" fontId="9" fillId="0" borderId="21" xfId="0" applyFont="1" applyBorder="1" applyAlignment="1">
      <alignment horizontal="left" vertical="top" wrapText="1"/>
    </xf>
    <xf numFmtId="0" fontId="9" fillId="0" borderId="22" xfId="0" applyFont="1" applyBorder="1" applyAlignment="1">
      <alignment horizontal="left" vertical="top" wrapText="1"/>
    </xf>
    <xf numFmtId="0" fontId="11" fillId="6" borderId="0" xfId="0" applyFont="1" applyFill="1"/>
    <xf numFmtId="0" fontId="10" fillId="0" borderId="20" xfId="0" applyFont="1" applyBorder="1" applyAlignment="1" applyProtection="1">
      <alignment horizontal="left" vertical="center" wrapText="1"/>
      <protection locked="0"/>
    </xf>
    <xf numFmtId="0" fontId="10" fillId="0" borderId="21" xfId="0" applyFont="1" applyBorder="1" applyAlignment="1" applyProtection="1">
      <alignment horizontal="left" vertical="center" wrapText="1"/>
      <protection locked="0"/>
    </xf>
    <xf numFmtId="0" fontId="10" fillId="0" borderId="22" xfId="0" applyFont="1" applyBorder="1" applyAlignment="1" applyProtection="1">
      <alignment horizontal="left" vertical="center" wrapText="1"/>
      <protection locked="0"/>
    </xf>
    <xf numFmtId="0" fontId="10" fillId="0" borderId="9" xfId="0" applyFont="1" applyBorder="1" applyAlignment="1" applyProtection="1">
      <alignment horizontal="left" vertical="center" wrapText="1"/>
      <protection locked="0"/>
    </xf>
    <xf numFmtId="0" fontId="10" fillId="0" borderId="16" xfId="0" applyFont="1" applyBorder="1" applyAlignment="1" applyProtection="1">
      <alignment horizontal="left" vertical="center" wrapText="1"/>
      <protection locked="0"/>
    </xf>
    <xf numFmtId="0" fontId="10" fillId="0" borderId="5" xfId="0" applyFont="1" applyBorder="1" applyAlignment="1" applyProtection="1">
      <alignment horizontal="left" vertical="center" wrapText="1"/>
      <protection locked="0"/>
    </xf>
    <xf numFmtId="0" fontId="9" fillId="0" borderId="9" xfId="0" applyFont="1" applyBorder="1" applyAlignment="1">
      <alignment horizontal="left" vertical="top" wrapText="1"/>
    </xf>
    <xf numFmtId="0" fontId="9" fillId="0" borderId="16" xfId="0" applyFont="1" applyBorder="1" applyAlignment="1">
      <alignment horizontal="left" vertical="top" wrapText="1"/>
    </xf>
    <xf numFmtId="0" fontId="9" fillId="0" borderId="5" xfId="0" applyFont="1" applyBorder="1" applyAlignment="1">
      <alignment horizontal="left" vertical="top" wrapText="1"/>
    </xf>
    <xf numFmtId="0" fontId="10" fillId="0" borderId="9" xfId="0" applyFont="1" applyBorder="1" applyAlignment="1" applyProtection="1">
      <alignment vertical="center" wrapText="1"/>
      <protection locked="0"/>
    </xf>
    <xf numFmtId="0" fontId="10" fillId="0" borderId="16" xfId="0" applyFont="1" applyBorder="1" applyAlignment="1" applyProtection="1">
      <alignment vertical="center" wrapText="1"/>
      <protection locked="0"/>
    </xf>
    <xf numFmtId="0" fontId="10" fillId="0" borderId="5" xfId="0" applyFont="1" applyBorder="1" applyAlignment="1" applyProtection="1">
      <alignment vertical="center" wrapText="1"/>
      <protection locked="0"/>
    </xf>
    <xf numFmtId="0" fontId="14" fillId="7" borderId="9" xfId="0" applyFont="1" applyFill="1" applyBorder="1" applyAlignment="1" applyProtection="1">
      <alignment horizontal="left" vertical="center" wrapText="1"/>
      <protection locked="0"/>
    </xf>
    <xf numFmtId="0" fontId="14" fillId="7" borderId="16" xfId="0" applyFont="1" applyFill="1" applyBorder="1" applyAlignment="1" applyProtection="1">
      <alignment horizontal="left" vertical="center"/>
      <protection locked="0"/>
    </xf>
    <xf numFmtId="0" fontId="14" fillId="7" borderId="5" xfId="0" applyFont="1" applyFill="1" applyBorder="1" applyAlignment="1" applyProtection="1">
      <alignment horizontal="left" vertical="center"/>
      <protection locked="0"/>
    </xf>
    <xf numFmtId="0" fontId="10" fillId="0" borderId="9" xfId="0" applyFont="1" applyBorder="1" applyAlignment="1" applyProtection="1">
      <alignment vertical="top" wrapText="1"/>
      <protection locked="0"/>
    </xf>
    <xf numFmtId="0" fontId="10" fillId="0" borderId="16" xfId="0" applyFont="1" applyBorder="1" applyAlignment="1" applyProtection="1">
      <alignment vertical="top" wrapText="1"/>
      <protection locked="0"/>
    </xf>
    <xf numFmtId="0" fontId="10" fillId="0" borderId="5" xfId="0" applyFont="1" applyBorder="1" applyAlignment="1" applyProtection="1">
      <alignment vertical="top" wrapText="1"/>
      <protection locked="0"/>
    </xf>
    <xf numFmtId="0" fontId="14" fillId="7" borderId="9" xfId="0" applyFont="1" applyFill="1" applyBorder="1" applyAlignment="1" applyProtection="1">
      <alignment horizontal="left" vertical="center"/>
      <protection locked="0"/>
    </xf>
    <xf numFmtId="0" fontId="9" fillId="0" borderId="9" xfId="0" applyFont="1" applyBorder="1" applyAlignment="1" applyProtection="1">
      <alignment horizontal="left" vertical="center" wrapText="1"/>
      <protection locked="0"/>
    </xf>
    <xf numFmtId="0" fontId="9" fillId="0" borderId="16" xfId="0" applyFont="1" applyBorder="1" applyAlignment="1" applyProtection="1">
      <alignment horizontal="left" vertical="center" wrapText="1"/>
      <protection locked="0"/>
    </xf>
    <xf numFmtId="0" fontId="9" fillId="0" borderId="5" xfId="0" applyFont="1" applyBorder="1" applyAlignment="1" applyProtection="1">
      <alignment horizontal="left" vertical="center" wrapText="1"/>
      <protection locked="0"/>
    </xf>
    <xf numFmtId="0" fontId="0" fillId="6" borderId="18" xfId="0" applyFill="1" applyBorder="1" applyAlignment="1" applyProtection="1">
      <alignment horizontal="left" vertical="top" wrapText="1"/>
      <protection locked="0"/>
    </xf>
    <xf numFmtId="0" fontId="16" fillId="6" borderId="17" xfId="0" applyFont="1" applyFill="1" applyBorder="1" applyAlignment="1" applyProtection="1">
      <alignment horizontal="left" vertical="top" wrapText="1"/>
      <protection locked="0"/>
    </xf>
    <xf numFmtId="0" fontId="15" fillId="6" borderId="9" xfId="0" applyFont="1" applyFill="1" applyBorder="1" applyAlignment="1" applyProtection="1">
      <alignment horizontal="left" vertical="center" wrapText="1"/>
      <protection locked="0"/>
    </xf>
    <xf numFmtId="0" fontId="15" fillId="6" borderId="16" xfId="0" applyFont="1" applyFill="1" applyBorder="1" applyAlignment="1" applyProtection="1">
      <alignment horizontal="left" vertical="center" wrapText="1"/>
      <protection locked="0"/>
    </xf>
    <xf numFmtId="0" fontId="15" fillId="6" borderId="5" xfId="0" applyFont="1" applyFill="1" applyBorder="1" applyAlignment="1" applyProtection="1">
      <alignment horizontal="left" vertical="center" wrapText="1"/>
      <protection locked="0"/>
    </xf>
    <xf numFmtId="0" fontId="15" fillId="6" borderId="9" xfId="0" applyFont="1" applyFill="1" applyBorder="1" applyAlignment="1" applyProtection="1">
      <alignment vertical="center"/>
      <protection locked="0"/>
    </xf>
    <xf numFmtId="0" fontId="15" fillId="6" borderId="16" xfId="0" applyFont="1" applyFill="1" applyBorder="1" applyAlignment="1" applyProtection="1">
      <alignment vertical="center"/>
      <protection locked="0"/>
    </xf>
    <xf numFmtId="0" fontId="15" fillId="6" borderId="5" xfId="0" applyFont="1" applyFill="1" applyBorder="1" applyAlignment="1" applyProtection="1">
      <alignment vertical="center"/>
      <protection locked="0"/>
    </xf>
    <xf numFmtId="0" fontId="14" fillId="6" borderId="9" xfId="0" applyFont="1" applyFill="1" applyBorder="1" applyAlignment="1" applyProtection="1">
      <alignment horizontal="left" vertical="center"/>
      <protection locked="0"/>
    </xf>
    <xf numFmtId="0" fontId="14" fillId="6" borderId="16" xfId="0" applyFont="1" applyFill="1" applyBorder="1" applyAlignment="1" applyProtection="1">
      <alignment horizontal="left" vertical="center"/>
      <protection locked="0"/>
    </xf>
    <xf numFmtId="0" fontId="14" fillId="6" borderId="5" xfId="0" applyFont="1" applyFill="1" applyBorder="1" applyAlignment="1" applyProtection="1">
      <alignment horizontal="left" vertical="center"/>
      <protection locked="0"/>
    </xf>
    <xf numFmtId="0" fontId="9" fillId="0" borderId="9" xfId="0" applyFont="1" applyBorder="1" applyAlignment="1" applyProtection="1">
      <alignment vertical="center" wrapText="1"/>
      <protection locked="0"/>
    </xf>
    <xf numFmtId="0" fontId="9" fillId="0" borderId="5" xfId="0" applyFont="1" applyBorder="1" applyAlignment="1" applyProtection="1">
      <alignment vertical="center" wrapText="1"/>
      <protection locked="0"/>
    </xf>
    <xf numFmtId="0" fontId="15" fillId="6" borderId="9" xfId="0" applyFont="1" applyFill="1" applyBorder="1" applyAlignment="1" applyProtection="1">
      <alignment horizontal="left" vertical="center"/>
      <protection locked="0"/>
    </xf>
    <xf numFmtId="0" fontId="15" fillId="6" borderId="16" xfId="0" applyFont="1" applyFill="1" applyBorder="1" applyAlignment="1" applyProtection="1">
      <alignment horizontal="left" vertical="center"/>
      <protection locked="0"/>
    </xf>
    <xf numFmtId="0" fontId="15" fillId="6" borderId="5" xfId="0" applyFont="1" applyFill="1" applyBorder="1" applyAlignment="1" applyProtection="1">
      <alignment horizontal="left" vertical="center"/>
      <protection locked="0"/>
    </xf>
    <xf numFmtId="0" fontId="14" fillId="6" borderId="9" xfId="0" applyFont="1" applyFill="1" applyBorder="1" applyAlignment="1" applyProtection="1">
      <alignment horizontal="left" vertical="center" wrapText="1"/>
      <protection locked="0"/>
    </xf>
    <xf numFmtId="0" fontId="14" fillId="6" borderId="16" xfId="0" applyFont="1" applyFill="1" applyBorder="1" applyAlignment="1" applyProtection="1">
      <alignment horizontal="left" vertical="center" wrapText="1"/>
      <protection locked="0"/>
    </xf>
    <xf numFmtId="0" fontId="14" fillId="6" borderId="5" xfId="0" applyFont="1" applyFill="1" applyBorder="1" applyAlignment="1" applyProtection="1">
      <alignment horizontal="left" vertical="center" wrapText="1"/>
      <protection locked="0"/>
    </xf>
    <xf numFmtId="0" fontId="15" fillId="6" borderId="9" xfId="0" applyFont="1" applyFill="1" applyBorder="1" applyAlignment="1" applyProtection="1">
      <alignment horizontal="left" vertical="top" wrapText="1"/>
      <protection locked="0"/>
    </xf>
    <xf numFmtId="0" fontId="15" fillId="6" borderId="16" xfId="0" applyFont="1" applyFill="1" applyBorder="1" applyAlignment="1" applyProtection="1">
      <alignment horizontal="left" vertical="top" wrapText="1"/>
      <protection locked="0"/>
    </xf>
    <xf numFmtId="0" fontId="15" fillId="6" borderId="5" xfId="0" applyFont="1" applyFill="1" applyBorder="1" applyAlignment="1" applyProtection="1">
      <alignment horizontal="left" vertical="top" wrapText="1"/>
      <protection locked="0"/>
    </xf>
    <xf numFmtId="0" fontId="14" fillId="6" borderId="0" xfId="0" applyFont="1" applyFill="1" applyAlignment="1" applyProtection="1">
      <alignment horizontal="left" vertical="center"/>
      <protection locked="0"/>
    </xf>
    <xf numFmtId="0" fontId="18" fillId="0" borderId="20" xfId="0" applyFont="1" applyBorder="1" applyAlignment="1" applyProtection="1">
      <alignment horizontal="left" vertical="center" wrapText="1"/>
      <protection locked="0"/>
    </xf>
    <xf numFmtId="0" fontId="18" fillId="0" borderId="21" xfId="0" applyFont="1" applyBorder="1" applyAlignment="1" applyProtection="1">
      <alignment horizontal="left" vertical="center" wrapText="1"/>
      <protection locked="0"/>
    </xf>
    <xf numFmtId="0" fontId="18" fillId="0" borderId="22" xfId="0" applyFont="1" applyBorder="1" applyAlignment="1" applyProtection="1">
      <alignment horizontal="left" vertical="center" wrapText="1"/>
      <protection locked="0"/>
    </xf>
    <xf numFmtId="0" fontId="14" fillId="6" borderId="14" xfId="0" applyFont="1" applyFill="1" applyBorder="1" applyAlignment="1" applyProtection="1">
      <alignment horizontal="left" vertical="center"/>
      <protection locked="0"/>
    </xf>
    <xf numFmtId="0" fontId="14" fillId="6" borderId="18" xfId="0" applyFont="1" applyFill="1" applyBorder="1" applyAlignment="1" applyProtection="1">
      <alignment horizontal="left" vertical="center"/>
      <protection locked="0"/>
    </xf>
    <xf numFmtId="0" fontId="14" fillId="6" borderId="13" xfId="0" applyFont="1" applyFill="1" applyBorder="1" applyAlignment="1" applyProtection="1">
      <alignment horizontal="left" vertical="center"/>
      <protection locked="0"/>
    </xf>
    <xf numFmtId="0" fontId="9" fillId="0" borderId="20" xfId="0" applyFont="1" applyBorder="1" applyAlignment="1" applyProtection="1">
      <alignment horizontal="left" vertical="center" wrapText="1"/>
      <protection locked="0"/>
    </xf>
    <xf numFmtId="0" fontId="9" fillId="0" borderId="21" xfId="0" applyFont="1" applyBorder="1" applyAlignment="1" applyProtection="1">
      <alignment horizontal="left" vertical="center" wrapText="1"/>
      <protection locked="0"/>
    </xf>
    <xf numFmtId="0" fontId="9" fillId="0" borderId="22" xfId="0" applyFont="1" applyBorder="1" applyAlignment="1" applyProtection="1">
      <alignment horizontal="left" vertical="center" wrapText="1"/>
      <protection locked="0"/>
    </xf>
    <xf numFmtId="0" fontId="10" fillId="0" borderId="33" xfId="0" applyFont="1" applyBorder="1" applyAlignment="1" applyProtection="1">
      <alignment horizontal="left" vertical="center" wrapText="1"/>
      <protection locked="0"/>
    </xf>
    <xf numFmtId="0" fontId="10" fillId="0" borderId="34" xfId="0" applyFont="1" applyBorder="1" applyAlignment="1" applyProtection="1">
      <alignment horizontal="left" vertical="center" wrapText="1"/>
      <protection locked="0"/>
    </xf>
    <xf numFmtId="0" fontId="9" fillId="0" borderId="32" xfId="0" applyFont="1" applyBorder="1" applyAlignment="1" applyProtection="1">
      <alignment horizontal="left" vertical="center" wrapText="1"/>
      <protection locked="0"/>
    </xf>
    <xf numFmtId="0" fontId="9" fillId="0" borderId="31" xfId="0" applyFont="1" applyBorder="1" applyAlignment="1" applyProtection="1">
      <alignment horizontal="left" vertical="center" wrapText="1"/>
      <protection locked="0"/>
    </xf>
    <xf numFmtId="0" fontId="9" fillId="0" borderId="30" xfId="0" applyFont="1" applyBorder="1" applyAlignment="1" applyProtection="1">
      <alignment horizontal="left" vertical="center" wrapText="1"/>
      <protection locked="0"/>
    </xf>
    <xf numFmtId="0" fontId="19" fillId="0" borderId="11" xfId="0" applyFont="1" applyBorder="1" applyAlignment="1" applyProtection="1">
      <alignment horizontal="center" vertical="center" wrapText="1"/>
      <protection locked="0"/>
    </xf>
    <xf numFmtId="0" fontId="19" fillId="0" borderId="4" xfId="0" applyFont="1" applyBorder="1" applyAlignment="1" applyProtection="1">
      <alignment horizontal="center" vertical="center" wrapText="1"/>
      <protection locked="0"/>
    </xf>
    <xf numFmtId="0" fontId="15" fillId="6" borderId="15" xfId="0" applyFont="1" applyFill="1" applyBorder="1" applyAlignment="1" applyProtection="1">
      <alignment horizontal="left" vertical="center" wrapText="1"/>
      <protection locked="0"/>
    </xf>
    <xf numFmtId="0" fontId="15" fillId="6" borderId="17" xfId="0" applyFont="1" applyFill="1" applyBorder="1" applyAlignment="1" applyProtection="1">
      <alignment horizontal="left" vertical="center" wrapText="1"/>
      <protection locked="0"/>
    </xf>
    <xf numFmtId="0" fontId="15" fillId="6" borderId="6" xfId="0" applyFont="1" applyFill="1" applyBorder="1" applyAlignment="1" applyProtection="1">
      <alignment horizontal="left" vertical="center" wrapText="1"/>
      <protection locked="0"/>
    </xf>
    <xf numFmtId="0" fontId="14" fillId="7" borderId="20" xfId="0" applyFont="1" applyFill="1" applyBorder="1" applyAlignment="1" applyProtection="1">
      <alignment horizontal="left" vertical="center"/>
      <protection locked="0"/>
    </xf>
    <xf numFmtId="0" fontId="14" fillId="7" borderId="21" xfId="0" applyFont="1" applyFill="1" applyBorder="1" applyAlignment="1" applyProtection="1">
      <alignment horizontal="left" vertical="center"/>
      <protection locked="0"/>
    </xf>
    <xf numFmtId="0" fontId="14" fillId="7" borderId="22" xfId="0" applyFont="1" applyFill="1" applyBorder="1" applyAlignment="1" applyProtection="1">
      <alignment horizontal="left" vertical="center"/>
      <protection locked="0"/>
    </xf>
    <xf numFmtId="0" fontId="14" fillId="6" borderId="17" xfId="0" applyFont="1" applyFill="1" applyBorder="1" applyAlignment="1" applyProtection="1">
      <alignment horizontal="left" vertical="center"/>
      <protection locked="0"/>
    </xf>
    <xf numFmtId="0" fontId="14" fillId="6" borderId="6" xfId="0" applyFont="1" applyFill="1" applyBorder="1" applyAlignment="1" applyProtection="1">
      <alignment horizontal="left" vertical="center"/>
      <protection locked="0"/>
    </xf>
    <xf numFmtId="0" fontId="14" fillId="6" borderId="31" xfId="0" applyFont="1" applyFill="1" applyBorder="1" applyAlignment="1" applyProtection="1">
      <alignment horizontal="left" vertical="center"/>
      <protection locked="0"/>
    </xf>
    <xf numFmtId="0" fontId="14" fillId="6" borderId="30" xfId="0" applyFont="1" applyFill="1" applyBorder="1" applyAlignment="1" applyProtection="1">
      <alignment horizontal="left" vertical="center"/>
      <protection locked="0"/>
    </xf>
    <xf numFmtId="0" fontId="14" fillId="7" borderId="14" xfId="0" applyFont="1" applyFill="1" applyBorder="1" applyAlignment="1" applyProtection="1">
      <alignment horizontal="center" vertical="center"/>
      <protection locked="0"/>
    </xf>
    <xf numFmtId="0" fontId="14" fillId="7" borderId="15" xfId="0" applyFont="1" applyFill="1" applyBorder="1" applyAlignment="1" applyProtection="1">
      <alignment horizontal="center" vertical="center"/>
      <protection locked="0"/>
    </xf>
    <xf numFmtId="0" fontId="14" fillId="7" borderId="26" xfId="0" applyFont="1" applyFill="1" applyBorder="1" applyAlignment="1" applyProtection="1">
      <alignment horizontal="left" vertical="center"/>
      <protection locked="0"/>
    </xf>
    <xf numFmtId="0" fontId="14" fillId="7" borderId="27" xfId="0" applyFont="1" applyFill="1" applyBorder="1" applyAlignment="1" applyProtection="1">
      <alignment horizontal="left" vertical="center"/>
      <protection locked="0"/>
    </xf>
    <xf numFmtId="0" fontId="14" fillId="7" borderId="38" xfId="0" applyFont="1" applyFill="1" applyBorder="1" applyAlignment="1" applyProtection="1">
      <alignment horizontal="left" vertical="center"/>
      <protection locked="0"/>
    </xf>
    <xf numFmtId="165" fontId="17" fillId="6" borderId="20" xfId="0" applyNumberFormat="1" applyFont="1" applyFill="1" applyBorder="1" applyAlignment="1" applyProtection="1">
      <alignment horizontal="left" vertical="center" wrapText="1"/>
      <protection locked="0"/>
    </xf>
    <xf numFmtId="165" fontId="17" fillId="6" borderId="21" xfId="0" applyNumberFormat="1" applyFont="1" applyFill="1" applyBorder="1" applyAlignment="1" applyProtection="1">
      <alignment horizontal="left" vertical="center" wrapText="1"/>
      <protection locked="0"/>
    </xf>
    <xf numFmtId="165" fontId="17" fillId="6" borderId="22" xfId="0" applyNumberFormat="1" applyFont="1" applyFill="1" applyBorder="1" applyAlignment="1" applyProtection="1">
      <alignment horizontal="left" vertical="center" wrapText="1"/>
      <protection locked="0"/>
    </xf>
    <xf numFmtId="0" fontId="14" fillId="7" borderId="20" xfId="0" applyFont="1" applyFill="1" applyBorder="1" applyAlignment="1">
      <alignment horizontal="left" vertical="center" wrapText="1"/>
    </xf>
    <xf numFmtId="0" fontId="14" fillId="7" borderId="21" xfId="0" applyFont="1" applyFill="1" applyBorder="1" applyAlignment="1">
      <alignment horizontal="left" vertical="center" wrapText="1"/>
    </xf>
    <xf numFmtId="0" fontId="14" fillId="7" borderId="22" xfId="0" applyFont="1" applyFill="1" applyBorder="1" applyAlignment="1">
      <alignment horizontal="left" vertical="center" wrapText="1"/>
    </xf>
    <xf numFmtId="165" fontId="17" fillId="6" borderId="20" xfId="0" applyNumberFormat="1" applyFont="1" applyFill="1" applyBorder="1" applyAlignment="1" applyProtection="1">
      <alignment horizontal="left" vertical="top" wrapText="1"/>
      <protection locked="0"/>
    </xf>
    <xf numFmtId="165" fontId="17" fillId="6" borderId="21" xfId="0" applyNumberFormat="1" applyFont="1" applyFill="1" applyBorder="1" applyAlignment="1" applyProtection="1">
      <alignment horizontal="left" vertical="top" wrapText="1"/>
      <protection locked="0"/>
    </xf>
    <xf numFmtId="165" fontId="17" fillId="6" borderId="22" xfId="0" applyNumberFormat="1" applyFont="1" applyFill="1" applyBorder="1" applyAlignment="1" applyProtection="1">
      <alignment horizontal="left" vertical="top" wrapText="1"/>
      <protection locked="0"/>
    </xf>
    <xf numFmtId="165" fontId="18" fillId="6" borderId="24" xfId="0" applyNumberFormat="1" applyFont="1" applyFill="1" applyBorder="1" applyAlignment="1" applyProtection="1">
      <alignment horizontal="left" vertical="center" wrapText="1"/>
      <protection locked="0"/>
    </xf>
    <xf numFmtId="165" fontId="18" fillId="6" borderId="23" xfId="0" applyNumberFormat="1" applyFont="1" applyFill="1" applyBorder="1" applyAlignment="1" applyProtection="1">
      <alignment horizontal="left" vertical="center" wrapText="1"/>
      <protection locked="0"/>
    </xf>
    <xf numFmtId="165" fontId="18" fillId="6" borderId="25" xfId="0" applyNumberFormat="1" applyFont="1" applyFill="1" applyBorder="1" applyAlignment="1" applyProtection="1">
      <alignment horizontal="left" vertical="center" wrapText="1"/>
      <protection locked="0"/>
    </xf>
    <xf numFmtId="0" fontId="14" fillId="7" borderId="20" xfId="0" applyFont="1" applyFill="1" applyBorder="1" applyAlignment="1">
      <alignment horizontal="left" vertical="center"/>
    </xf>
    <xf numFmtId="0" fontId="14" fillId="7" borderId="21" xfId="0" applyFont="1" applyFill="1" applyBorder="1" applyAlignment="1">
      <alignment horizontal="left" vertical="center"/>
    </xf>
    <xf numFmtId="0" fontId="14" fillId="7" borderId="22" xfId="0" applyFont="1" applyFill="1" applyBorder="1" applyAlignment="1">
      <alignment horizontal="left" vertical="center"/>
    </xf>
    <xf numFmtId="165" fontId="17" fillId="6" borderId="23" xfId="0" applyNumberFormat="1" applyFont="1" applyFill="1" applyBorder="1" applyAlignment="1" applyProtection="1">
      <alignment horizontal="left" vertical="center" wrapText="1"/>
      <protection locked="0"/>
    </xf>
    <xf numFmtId="165" fontId="17" fillId="6" borderId="25" xfId="0" applyNumberFormat="1" applyFont="1" applyFill="1" applyBorder="1" applyAlignment="1" applyProtection="1">
      <alignment horizontal="left" vertical="center" wrapText="1"/>
      <protection locked="0"/>
    </xf>
    <xf numFmtId="0" fontId="14" fillId="7" borderId="56" xfId="0" applyFont="1" applyFill="1" applyBorder="1" applyAlignment="1">
      <alignment horizontal="left" vertical="center"/>
    </xf>
    <xf numFmtId="0" fontId="14" fillId="7" borderId="57" xfId="0" applyFont="1" applyFill="1" applyBorder="1" applyAlignment="1">
      <alignment horizontal="left" vertical="center"/>
    </xf>
    <xf numFmtId="0" fontId="14" fillId="7" borderId="53" xfId="0" applyFont="1" applyFill="1" applyBorder="1" applyAlignment="1">
      <alignment horizontal="left" vertical="center"/>
    </xf>
    <xf numFmtId="0" fontId="10" fillId="0" borderId="26" xfId="0" applyFont="1" applyBorder="1" applyAlignment="1" applyProtection="1">
      <alignment horizontal="left" vertical="center" wrapText="1"/>
      <protection locked="0"/>
    </xf>
    <xf numFmtId="0" fontId="10" fillId="0" borderId="27" xfId="0" applyFont="1" applyBorder="1" applyAlignment="1" applyProtection="1">
      <alignment horizontal="left" vertical="center" wrapText="1"/>
      <protection locked="0"/>
    </xf>
    <xf numFmtId="0" fontId="10" fillId="0" borderId="28" xfId="0" applyFont="1" applyBorder="1" applyAlignment="1" applyProtection="1">
      <alignment horizontal="left" vertical="center" wrapText="1"/>
      <protection locked="0"/>
    </xf>
    <xf numFmtId="0" fontId="24" fillId="0" borderId="20" xfId="0" applyFont="1" applyBorder="1" applyAlignment="1" applyProtection="1">
      <alignment horizontal="left" vertical="center"/>
      <protection locked="0"/>
    </xf>
    <xf numFmtId="0" fontId="24" fillId="0" borderId="21" xfId="0" applyFont="1" applyBorder="1" applyAlignment="1" applyProtection="1">
      <alignment horizontal="left" vertical="center"/>
      <protection locked="0"/>
    </xf>
    <xf numFmtId="0" fontId="24" fillId="0" borderId="22" xfId="0" applyFont="1" applyBorder="1" applyAlignment="1" applyProtection="1">
      <alignment horizontal="left" vertical="center"/>
      <protection locked="0"/>
    </xf>
    <xf numFmtId="0" fontId="14" fillId="9" borderId="20" xfId="0" applyFont="1" applyFill="1" applyBorder="1" applyAlignment="1" applyProtection="1">
      <alignment horizontal="left" vertical="center" wrapText="1"/>
      <protection locked="0"/>
    </xf>
    <xf numFmtId="0" fontId="14" fillId="9" borderId="21" xfId="0" applyFont="1" applyFill="1" applyBorder="1" applyAlignment="1" applyProtection="1">
      <alignment horizontal="left" vertical="center" wrapText="1"/>
      <protection locked="0"/>
    </xf>
    <xf numFmtId="0" fontId="14" fillId="9" borderId="22" xfId="0" applyFont="1" applyFill="1" applyBorder="1" applyAlignment="1" applyProtection="1">
      <alignment horizontal="left" vertical="center" wrapText="1"/>
      <protection locked="0"/>
    </xf>
    <xf numFmtId="0" fontId="9" fillId="0" borderId="24" xfId="0" applyFont="1" applyBorder="1" applyAlignment="1" applyProtection="1">
      <alignment horizontal="left" vertical="center" wrapText="1"/>
      <protection locked="0"/>
    </xf>
    <xf numFmtId="0" fontId="9" fillId="0" borderId="25" xfId="0" applyFont="1" applyBorder="1" applyAlignment="1" applyProtection="1">
      <alignment horizontal="left" vertical="center" wrapText="1"/>
      <protection locked="0"/>
    </xf>
    <xf numFmtId="0" fontId="9" fillId="0" borderId="14" xfId="0" applyFont="1" applyBorder="1" applyAlignment="1" applyProtection="1">
      <alignment horizontal="left" vertical="center" wrapText="1"/>
      <protection locked="0"/>
    </xf>
    <xf numFmtId="0" fontId="9" fillId="0" borderId="13" xfId="0" applyFont="1" applyBorder="1" applyAlignment="1" applyProtection="1">
      <alignment horizontal="left" vertical="center" wrapText="1"/>
      <protection locked="0"/>
    </xf>
    <xf numFmtId="0" fontId="14" fillId="9" borderId="20" xfId="0" applyFont="1" applyFill="1" applyBorder="1" applyAlignment="1" applyProtection="1">
      <alignment horizontal="center" vertical="center" wrapText="1"/>
      <protection locked="0"/>
    </xf>
    <xf numFmtId="0" fontId="14" fillId="9" borderId="21" xfId="0" applyFont="1" applyFill="1" applyBorder="1" applyAlignment="1" applyProtection="1">
      <alignment horizontal="center" vertical="center" wrapText="1"/>
      <protection locked="0"/>
    </xf>
    <xf numFmtId="0" fontId="14" fillId="9" borderId="22" xfId="0" applyFont="1" applyFill="1" applyBorder="1" applyAlignment="1" applyProtection="1">
      <alignment horizontal="center" vertical="center" wrapText="1"/>
      <protection locked="0"/>
    </xf>
    <xf numFmtId="0" fontId="10" fillId="0" borderId="20" xfId="0" applyFont="1" applyBorder="1" applyAlignment="1" applyProtection="1">
      <alignment horizontal="left" vertical="top" wrapText="1"/>
      <protection locked="0"/>
    </xf>
    <xf numFmtId="0" fontId="10" fillId="0" borderId="21" xfId="0" applyFont="1" applyBorder="1" applyAlignment="1" applyProtection="1">
      <alignment horizontal="left" vertical="top" wrapText="1"/>
      <protection locked="0"/>
    </xf>
    <xf numFmtId="0" fontId="10" fillId="0" borderId="22" xfId="0" applyFont="1" applyBorder="1" applyAlignment="1" applyProtection="1">
      <alignment horizontal="left" vertical="top" wrapText="1"/>
      <protection locked="0"/>
    </xf>
    <xf numFmtId="0" fontId="10" fillId="0" borderId="20" xfId="0" applyFont="1" applyBorder="1" applyAlignment="1" applyProtection="1">
      <alignment horizontal="center" vertical="center" wrapText="1"/>
      <protection locked="0"/>
    </xf>
    <xf numFmtId="0" fontId="10" fillId="0" borderId="22" xfId="0" applyFont="1" applyBorder="1" applyAlignment="1" applyProtection="1">
      <alignment horizontal="center" vertical="center" wrapText="1"/>
      <protection locked="0"/>
    </xf>
    <xf numFmtId="0" fontId="4" fillId="0" borderId="58" xfId="0" applyFont="1" applyBorder="1" applyAlignment="1" applyProtection="1">
      <alignment horizontal="left" vertical="center" wrapText="1"/>
      <protection locked="0"/>
    </xf>
    <xf numFmtId="0" fontId="4" fillId="0" borderId="59" xfId="0" applyFont="1" applyBorder="1" applyAlignment="1" applyProtection="1">
      <alignment horizontal="left" vertical="center" wrapText="1"/>
      <protection locked="0"/>
    </xf>
    <xf numFmtId="0" fontId="10" fillId="0" borderId="11" xfId="0" applyFont="1" applyBorder="1" applyAlignment="1">
      <alignment horizontal="justify" vertical="center" wrapText="1"/>
    </xf>
    <xf numFmtId="0" fontId="10" fillId="0" borderId="4" xfId="0" applyFont="1" applyBorder="1" applyAlignment="1">
      <alignment horizontal="justify" vertical="center" wrapText="1"/>
    </xf>
    <xf numFmtId="0" fontId="10" fillId="0" borderId="58" xfId="0" applyFont="1" applyBorder="1" applyAlignment="1" applyProtection="1">
      <alignment horizontal="left" vertical="center" wrapText="1"/>
      <protection locked="0"/>
    </xf>
    <xf numFmtId="0" fontId="10" fillId="0" borderId="59" xfId="0" applyFont="1" applyBorder="1" applyAlignment="1" applyProtection="1">
      <alignment horizontal="left" vertical="center" wrapText="1"/>
      <protection locked="0"/>
    </xf>
    <xf numFmtId="0" fontId="10" fillId="0" borderId="10" xfId="0" applyFont="1" applyBorder="1" applyAlignment="1">
      <alignment horizontal="justify" vertical="center" wrapText="1"/>
    </xf>
    <xf numFmtId="0" fontId="10" fillId="0" borderId="60" xfId="0" applyFont="1" applyBorder="1" applyAlignment="1" applyProtection="1">
      <alignment horizontal="left" vertical="center" wrapText="1"/>
      <protection locked="0"/>
    </xf>
    <xf numFmtId="0" fontId="4" fillId="0" borderId="20" xfId="0" applyFont="1" applyBorder="1" applyAlignment="1">
      <alignment horizontal="center" vertical="center" wrapText="1"/>
    </xf>
    <xf numFmtId="0" fontId="4" fillId="0" borderId="22" xfId="0" applyFont="1" applyBorder="1" applyAlignment="1">
      <alignment horizontal="center" vertical="center" wrapText="1"/>
    </xf>
    <xf numFmtId="0" fontId="14" fillId="9" borderId="20" xfId="0" applyFont="1" applyFill="1" applyBorder="1" applyAlignment="1">
      <alignment horizontal="left" vertical="center" wrapText="1"/>
    </xf>
    <xf numFmtId="0" fontId="14" fillId="9" borderId="21" xfId="0" applyFont="1" applyFill="1" applyBorder="1" applyAlignment="1">
      <alignment horizontal="left" vertical="center" wrapText="1"/>
    </xf>
    <xf numFmtId="0" fontId="14" fillId="9" borderId="22" xfId="0" applyFont="1" applyFill="1" applyBorder="1" applyAlignment="1">
      <alignment horizontal="left" vertical="center" wrapText="1"/>
    </xf>
    <xf numFmtId="0" fontId="5" fillId="0" borderId="20" xfId="0" applyFont="1" applyBorder="1" applyAlignment="1">
      <alignment horizontal="center" vertical="center" wrapText="1"/>
    </xf>
    <xf numFmtId="0" fontId="5" fillId="0" borderId="22" xfId="0" applyFont="1" applyBorder="1" applyAlignment="1">
      <alignment horizontal="center" vertical="center" wrapText="1"/>
    </xf>
    <xf numFmtId="0" fontId="4" fillId="0" borderId="24" xfId="0" applyFont="1" applyBorder="1" applyAlignment="1" applyProtection="1">
      <alignment horizontal="center" vertical="center" wrapText="1"/>
      <protection locked="0"/>
    </xf>
    <xf numFmtId="0" fontId="4" fillId="0" borderId="25" xfId="0" applyFont="1" applyBorder="1" applyAlignment="1" applyProtection="1">
      <alignment horizontal="center" vertical="center" wrapText="1"/>
      <protection locked="0"/>
    </xf>
    <xf numFmtId="0" fontId="4" fillId="0" borderId="26" xfId="0" applyFont="1" applyBorder="1" applyAlignment="1" applyProtection="1">
      <alignment horizontal="center" vertical="center" wrapText="1"/>
      <protection locked="0"/>
    </xf>
    <xf numFmtId="0" fontId="4" fillId="0" borderId="28" xfId="0" applyFont="1" applyBorder="1" applyAlignment="1" applyProtection="1">
      <alignment horizontal="center" vertical="center" wrapText="1"/>
      <protection locked="0"/>
    </xf>
    <xf numFmtId="0" fontId="10" fillId="0" borderId="24" xfId="0" applyFont="1" applyBorder="1" applyAlignment="1" applyProtection="1">
      <alignment horizontal="center" vertical="center" wrapText="1"/>
      <protection locked="0"/>
    </xf>
    <xf numFmtId="0" fontId="10" fillId="0" borderId="25" xfId="0" applyFont="1" applyBorder="1" applyAlignment="1" applyProtection="1">
      <alignment horizontal="center" vertical="center" wrapText="1"/>
      <protection locked="0"/>
    </xf>
    <xf numFmtId="0" fontId="10" fillId="0" borderId="26" xfId="0" applyFont="1" applyBorder="1" applyAlignment="1" applyProtection="1">
      <alignment horizontal="center" vertical="center" wrapText="1"/>
      <protection locked="0"/>
    </xf>
    <xf numFmtId="0" fontId="10" fillId="0" borderId="28" xfId="0" applyFont="1" applyBorder="1" applyAlignment="1" applyProtection="1">
      <alignment horizontal="center" vertical="center" wrapText="1"/>
      <protection locked="0"/>
    </xf>
    <xf numFmtId="0" fontId="9" fillId="0" borderId="20" xfId="0" applyFont="1" applyBorder="1" applyAlignment="1">
      <alignment horizontal="center" vertical="center" wrapText="1"/>
    </xf>
    <xf numFmtId="0" fontId="9" fillId="0" borderId="22" xfId="0" applyFont="1" applyBorder="1" applyAlignment="1">
      <alignment horizontal="center" vertical="center" wrapText="1"/>
    </xf>
    <xf numFmtId="0" fontId="10" fillId="0" borderId="35" xfId="0" applyFont="1" applyBorder="1" applyAlignment="1" applyProtection="1">
      <alignment horizontal="center" vertical="center" wrapText="1"/>
      <protection locked="0"/>
    </xf>
    <xf numFmtId="0" fontId="10" fillId="0" borderId="36" xfId="0" applyFont="1" applyBorder="1" applyAlignment="1" applyProtection="1">
      <alignment horizontal="center" vertical="center" wrapText="1"/>
      <protection locked="0"/>
    </xf>
    <xf numFmtId="0" fontId="10" fillId="0" borderId="11" xfId="0" applyFont="1" applyBorder="1" applyAlignment="1">
      <alignment vertical="center" wrapText="1"/>
    </xf>
    <xf numFmtId="0" fontId="10" fillId="0" borderId="4" xfId="0" applyFont="1" applyBorder="1" applyAlignment="1">
      <alignment vertical="center" wrapText="1"/>
    </xf>
    <xf numFmtId="0" fontId="5" fillId="0" borderId="44" xfId="0" applyFont="1" applyBorder="1" applyAlignment="1">
      <alignment horizontal="center" vertical="center" wrapText="1"/>
    </xf>
    <xf numFmtId="0" fontId="5" fillId="0" borderId="45" xfId="0" applyFont="1" applyBorder="1" applyAlignment="1">
      <alignment horizontal="center" vertical="center" wrapText="1"/>
    </xf>
    <xf numFmtId="0" fontId="4" fillId="0" borderId="49" xfId="0" applyFont="1" applyBorder="1" applyAlignment="1">
      <alignment horizontal="center" vertical="center" wrapText="1"/>
    </xf>
    <xf numFmtId="0" fontId="4" fillId="0" borderId="50" xfId="0" applyFont="1" applyBorder="1" applyAlignment="1">
      <alignment horizontal="center" vertical="center" wrapText="1"/>
    </xf>
    <xf numFmtId="0" fontId="4" fillId="0" borderId="49" xfId="0" applyFont="1" applyBorder="1" applyAlignment="1">
      <alignment horizontal="left" vertical="top" wrapText="1"/>
    </xf>
    <xf numFmtId="0" fontId="4" fillId="0" borderId="50" xfId="0" applyFont="1" applyBorder="1" applyAlignment="1">
      <alignment horizontal="left" vertical="top" wrapText="1"/>
    </xf>
    <xf numFmtId="0" fontId="4" fillId="0" borderId="42" xfId="0" applyFont="1" applyBorder="1" applyAlignment="1">
      <alignment horizontal="center" vertical="center" wrapText="1"/>
    </xf>
    <xf numFmtId="0" fontId="4" fillId="0" borderId="45" xfId="0" applyFont="1" applyBorder="1" applyAlignment="1">
      <alignment horizontal="center" vertical="center" wrapText="1"/>
    </xf>
    <xf numFmtId="0" fontId="4" fillId="0" borderId="46" xfId="0" applyFont="1" applyBorder="1" applyAlignment="1">
      <alignment horizontal="center" vertical="center" wrapText="1"/>
    </xf>
    <xf numFmtId="0" fontId="4" fillId="0" borderId="47" xfId="0" applyFont="1" applyBorder="1" applyAlignment="1">
      <alignment horizontal="center" vertical="center" wrapText="1"/>
    </xf>
    <xf numFmtId="0" fontId="3" fillId="0" borderId="0" xfId="0" applyFont="1" applyAlignment="1">
      <alignment horizontal="center"/>
    </xf>
    <xf numFmtId="164" fontId="0" fillId="0" borderId="0" xfId="0" applyNumberFormat="1" applyAlignment="1">
      <alignment horizontal="center" vertical="center"/>
    </xf>
  </cellXfs>
  <cellStyles count="2">
    <cellStyle name="Hyperlink" xfId="1" builtinId="8"/>
    <cellStyle name="Normal" xfId="0" builtinId="0"/>
  </cellStyles>
  <dxfs count="21">
    <dxf>
      <fill>
        <patternFill>
          <bgColor rgb="FFFF0000"/>
        </patternFill>
      </fill>
    </dxf>
    <dxf>
      <fill>
        <patternFill>
          <bgColor theme="7"/>
        </patternFill>
      </fill>
    </dxf>
    <dxf>
      <fill>
        <patternFill>
          <bgColor rgb="FF92D05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fill>
        <patternFill>
          <bgColor rgb="FFFFC7CE"/>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92D050"/>
        </patternFill>
      </fill>
    </dxf>
    <dxf>
      <fill>
        <patternFill>
          <bgColor rgb="FFFF5050"/>
        </patternFill>
      </fill>
    </dxf>
    <dxf>
      <fill>
        <patternFill>
          <bgColor rgb="FF92D050"/>
        </patternFill>
      </fill>
    </dxf>
    <dxf>
      <fill>
        <patternFill>
          <bgColor rgb="FFFF5050"/>
        </patternFill>
      </fill>
    </dxf>
  </dxfs>
  <tableStyles count="0" defaultTableStyle="TableStyleMedium2" defaultPivotStyle="PivotStyleLight16"/>
  <colors>
    <mruColors>
      <color rgb="FFFF5050"/>
      <color rgb="FFFF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Contract Clause'!A1"/><Relationship Id="rId2" Type="http://schemas.openxmlformats.org/officeDocument/2006/relationships/hyperlink" Target="#Intro!A1"/><Relationship Id="rId1" Type="http://schemas.openxmlformats.org/officeDocument/2006/relationships/hyperlink" Target="#Dashboard!A1"/><Relationship Id="rId6" Type="http://schemas.openxmlformats.org/officeDocument/2006/relationships/hyperlink" Target="#Mapping!A1"/><Relationship Id="rId5" Type="http://schemas.openxmlformats.org/officeDocument/2006/relationships/hyperlink" Target="#Conclusion!A1"/><Relationship Id="rId4" Type="http://schemas.openxmlformats.org/officeDocument/2006/relationships/hyperlink" Target="#Assesment!A1"/></Relationships>
</file>

<file path=xl/drawings/_rels/drawing2.xml.rels><?xml version="1.0" encoding="UTF-8" standalone="yes"?>
<Relationships xmlns="http://schemas.openxmlformats.org/package/2006/relationships"><Relationship Id="rId8" Type="http://schemas.openxmlformats.org/officeDocument/2006/relationships/hyperlink" Target="#'Other Issues'!A1"/><Relationship Id="rId3" Type="http://schemas.openxmlformats.org/officeDocument/2006/relationships/hyperlink" Target="#'Step 2'!A1"/><Relationship Id="rId7" Type="http://schemas.openxmlformats.org/officeDocument/2006/relationships/hyperlink" Target="#Cost!A1"/><Relationship Id="rId2" Type="http://schemas.openxmlformats.org/officeDocument/2006/relationships/hyperlink" Target="#'Step 1'!A1"/><Relationship Id="rId1" Type="http://schemas.openxmlformats.org/officeDocument/2006/relationships/hyperlink" Target="#Dashboard!A1"/><Relationship Id="rId6" Type="http://schemas.openxmlformats.org/officeDocument/2006/relationships/hyperlink" Target="#'Step 5'!A1"/><Relationship Id="rId5" Type="http://schemas.openxmlformats.org/officeDocument/2006/relationships/hyperlink" Target="#'Step 4'!A1"/><Relationship Id="rId10" Type="http://schemas.openxmlformats.org/officeDocument/2006/relationships/hyperlink" Target="#Assesment!A1"/><Relationship Id="rId4" Type="http://schemas.openxmlformats.org/officeDocument/2006/relationships/hyperlink" Target="#'Step 3'!A1"/><Relationship Id="rId9" Type="http://schemas.openxmlformats.org/officeDocument/2006/relationships/hyperlink" Target="#'Contract Clause'!A1"/></Relationships>
</file>

<file path=xl/drawings/_rels/drawing3.xml.rels><?xml version="1.0" encoding="UTF-8" standalone="yes"?>
<Relationships xmlns="http://schemas.openxmlformats.org/package/2006/relationships"><Relationship Id="rId8" Type="http://schemas.openxmlformats.org/officeDocument/2006/relationships/hyperlink" Target="#Cost!A1"/><Relationship Id="rId3" Type="http://schemas.openxmlformats.org/officeDocument/2006/relationships/hyperlink" Target="#'Step 1'!A1"/><Relationship Id="rId7" Type="http://schemas.openxmlformats.org/officeDocument/2006/relationships/hyperlink" Target="#'Step 5'!A1"/><Relationship Id="rId2" Type="http://schemas.openxmlformats.org/officeDocument/2006/relationships/hyperlink" Target="#Intro!A1"/><Relationship Id="rId1" Type="http://schemas.openxmlformats.org/officeDocument/2006/relationships/hyperlink" Target="#Dashboard!A1"/><Relationship Id="rId6" Type="http://schemas.openxmlformats.org/officeDocument/2006/relationships/hyperlink" Target="#'Step 4'!A1"/><Relationship Id="rId11" Type="http://schemas.openxmlformats.org/officeDocument/2006/relationships/hyperlink" Target="#Assesment!A1"/><Relationship Id="rId5" Type="http://schemas.openxmlformats.org/officeDocument/2006/relationships/hyperlink" Target="#'Step 3'!A1"/><Relationship Id="rId10" Type="http://schemas.openxmlformats.org/officeDocument/2006/relationships/hyperlink" Target="#'Contract Clause'!A1"/><Relationship Id="rId4" Type="http://schemas.openxmlformats.org/officeDocument/2006/relationships/hyperlink" Target="#'Step 2'!A1"/><Relationship Id="rId9" Type="http://schemas.openxmlformats.org/officeDocument/2006/relationships/hyperlink" Target="#'Other Issues'!A1"/></Relationships>
</file>

<file path=xl/drawings/_rels/drawing4.xml.rels><?xml version="1.0" encoding="UTF-8" standalone="yes"?>
<Relationships xmlns="http://schemas.openxmlformats.org/package/2006/relationships"><Relationship Id="rId8" Type="http://schemas.openxmlformats.org/officeDocument/2006/relationships/hyperlink" Target="#Cost!A1"/><Relationship Id="rId3" Type="http://schemas.openxmlformats.org/officeDocument/2006/relationships/hyperlink" Target="#'Step 1'!A1"/><Relationship Id="rId7" Type="http://schemas.openxmlformats.org/officeDocument/2006/relationships/hyperlink" Target="#'Step 5'!A1"/><Relationship Id="rId2" Type="http://schemas.openxmlformats.org/officeDocument/2006/relationships/hyperlink" Target="#Intro!A1"/><Relationship Id="rId1" Type="http://schemas.openxmlformats.org/officeDocument/2006/relationships/hyperlink" Target="#Dashboard!A1"/><Relationship Id="rId6" Type="http://schemas.openxmlformats.org/officeDocument/2006/relationships/hyperlink" Target="#'Step 4'!A1"/><Relationship Id="rId11" Type="http://schemas.openxmlformats.org/officeDocument/2006/relationships/hyperlink" Target="#Assesment!A1"/><Relationship Id="rId5" Type="http://schemas.openxmlformats.org/officeDocument/2006/relationships/hyperlink" Target="#'Step 3'!A1"/><Relationship Id="rId10" Type="http://schemas.openxmlformats.org/officeDocument/2006/relationships/hyperlink" Target="#'Contract Clause'!A1"/><Relationship Id="rId4" Type="http://schemas.openxmlformats.org/officeDocument/2006/relationships/hyperlink" Target="#'Step 2'!A1"/><Relationship Id="rId9" Type="http://schemas.openxmlformats.org/officeDocument/2006/relationships/hyperlink" Target="#'Other Issues'!A1"/></Relationships>
</file>

<file path=xl/drawings/_rels/drawing5.xml.rels><?xml version="1.0" encoding="UTF-8" standalone="yes"?>
<Relationships xmlns="http://schemas.openxmlformats.org/package/2006/relationships"><Relationship Id="rId8" Type="http://schemas.openxmlformats.org/officeDocument/2006/relationships/hyperlink" Target="#Cost!A1"/><Relationship Id="rId3" Type="http://schemas.openxmlformats.org/officeDocument/2006/relationships/hyperlink" Target="#'Step 1'!A1"/><Relationship Id="rId7" Type="http://schemas.openxmlformats.org/officeDocument/2006/relationships/hyperlink" Target="#'Step 5'!A1"/><Relationship Id="rId2" Type="http://schemas.openxmlformats.org/officeDocument/2006/relationships/hyperlink" Target="#Intro!A1"/><Relationship Id="rId1" Type="http://schemas.openxmlformats.org/officeDocument/2006/relationships/hyperlink" Target="#Dashboard!A1"/><Relationship Id="rId6" Type="http://schemas.openxmlformats.org/officeDocument/2006/relationships/hyperlink" Target="#'Step 4'!A1"/><Relationship Id="rId11" Type="http://schemas.openxmlformats.org/officeDocument/2006/relationships/hyperlink" Target="#Assesment!A1"/><Relationship Id="rId5" Type="http://schemas.openxmlformats.org/officeDocument/2006/relationships/hyperlink" Target="#'Step 3'!A1"/><Relationship Id="rId10" Type="http://schemas.openxmlformats.org/officeDocument/2006/relationships/hyperlink" Target="#'Contract Clause'!A1"/><Relationship Id="rId4" Type="http://schemas.openxmlformats.org/officeDocument/2006/relationships/hyperlink" Target="#'Step 2'!A1"/><Relationship Id="rId9" Type="http://schemas.openxmlformats.org/officeDocument/2006/relationships/hyperlink" Target="#'Other Issues'!A1"/></Relationships>
</file>

<file path=xl/drawings/_rels/drawing6.xml.rels><?xml version="1.0" encoding="UTF-8" standalone="yes"?>
<Relationships xmlns="http://schemas.openxmlformats.org/package/2006/relationships"><Relationship Id="rId3" Type="http://schemas.openxmlformats.org/officeDocument/2006/relationships/hyperlink" Target="#'Other Issues'!A1"/><Relationship Id="rId2" Type="http://schemas.openxmlformats.org/officeDocument/2006/relationships/hyperlink" Target="#Cost!A1"/><Relationship Id="rId1" Type="http://schemas.openxmlformats.org/officeDocument/2006/relationships/hyperlink" Target="#'Step 5'!A1"/><Relationship Id="rId5" Type="http://schemas.openxmlformats.org/officeDocument/2006/relationships/hyperlink" Target="#Assesment!A1"/><Relationship Id="rId4" Type="http://schemas.openxmlformats.org/officeDocument/2006/relationships/hyperlink" Target="#'Contract Clause'!A1"/></Relationships>
</file>

<file path=xl/drawings/_rels/drawing7.xml.rels><?xml version="1.0" encoding="UTF-8" standalone="yes"?>
<Relationships xmlns="http://schemas.openxmlformats.org/package/2006/relationships"><Relationship Id="rId8" Type="http://schemas.openxmlformats.org/officeDocument/2006/relationships/hyperlink" Target="#Cost!A1"/><Relationship Id="rId3" Type="http://schemas.openxmlformats.org/officeDocument/2006/relationships/hyperlink" Target="#'Step 1'!A1"/><Relationship Id="rId7" Type="http://schemas.openxmlformats.org/officeDocument/2006/relationships/hyperlink" Target="#'Step 5'!A1"/><Relationship Id="rId2" Type="http://schemas.openxmlformats.org/officeDocument/2006/relationships/hyperlink" Target="#Intro!A1"/><Relationship Id="rId1" Type="http://schemas.openxmlformats.org/officeDocument/2006/relationships/hyperlink" Target="#Dashboard!A1"/><Relationship Id="rId6" Type="http://schemas.openxmlformats.org/officeDocument/2006/relationships/hyperlink" Target="#'Step 4'!A1"/><Relationship Id="rId11" Type="http://schemas.openxmlformats.org/officeDocument/2006/relationships/hyperlink" Target="#Assesment!A1"/><Relationship Id="rId5" Type="http://schemas.openxmlformats.org/officeDocument/2006/relationships/hyperlink" Target="#'Step 3'!A1"/><Relationship Id="rId10" Type="http://schemas.openxmlformats.org/officeDocument/2006/relationships/hyperlink" Target="#'Contract Clause'!A1"/><Relationship Id="rId4" Type="http://schemas.openxmlformats.org/officeDocument/2006/relationships/hyperlink" Target="#'Step 2'!A1"/><Relationship Id="rId9" Type="http://schemas.openxmlformats.org/officeDocument/2006/relationships/hyperlink" Target="#'Other Issues'!A1"/></Relationships>
</file>

<file path=xl/drawings/_rels/drawing8.xml.rels><?xml version="1.0" encoding="UTF-8" standalone="yes"?>
<Relationships xmlns="http://schemas.openxmlformats.org/package/2006/relationships"><Relationship Id="rId8" Type="http://schemas.openxmlformats.org/officeDocument/2006/relationships/hyperlink" Target="#Cost!A1"/><Relationship Id="rId3" Type="http://schemas.openxmlformats.org/officeDocument/2006/relationships/hyperlink" Target="#'Step 1'!A1"/><Relationship Id="rId7" Type="http://schemas.openxmlformats.org/officeDocument/2006/relationships/hyperlink" Target="#'Step 5'!A1"/><Relationship Id="rId2" Type="http://schemas.openxmlformats.org/officeDocument/2006/relationships/hyperlink" Target="#Intro!A1"/><Relationship Id="rId1" Type="http://schemas.openxmlformats.org/officeDocument/2006/relationships/hyperlink" Target="#Dashboard!A1"/><Relationship Id="rId6" Type="http://schemas.openxmlformats.org/officeDocument/2006/relationships/hyperlink" Target="#'Step 4'!A1"/><Relationship Id="rId11" Type="http://schemas.openxmlformats.org/officeDocument/2006/relationships/hyperlink" Target="#Assesment!A1"/><Relationship Id="rId5" Type="http://schemas.openxmlformats.org/officeDocument/2006/relationships/hyperlink" Target="#'Step 3'!A1"/><Relationship Id="rId10" Type="http://schemas.openxmlformats.org/officeDocument/2006/relationships/hyperlink" Target="#'Contract Clause'!A1"/><Relationship Id="rId4" Type="http://schemas.openxmlformats.org/officeDocument/2006/relationships/hyperlink" Target="#'Step 2'!A1"/><Relationship Id="rId9" Type="http://schemas.openxmlformats.org/officeDocument/2006/relationships/hyperlink" Target="#'Other Issues'!A1"/></Relationships>
</file>

<file path=xl/drawings/_rels/drawing9.xml.rels><?xml version="1.0" encoding="UTF-8" standalone="yes"?>
<Relationships xmlns="http://schemas.openxmlformats.org/package/2006/relationships"><Relationship Id="rId8" Type="http://schemas.openxmlformats.org/officeDocument/2006/relationships/hyperlink" Target="#'Step 3'!A1"/><Relationship Id="rId3" Type="http://schemas.openxmlformats.org/officeDocument/2006/relationships/hyperlink" Target="#'Step 4'!A1"/><Relationship Id="rId7" Type="http://schemas.openxmlformats.org/officeDocument/2006/relationships/hyperlink" Target="#'Step 2'!A1"/><Relationship Id="rId2" Type="http://schemas.openxmlformats.org/officeDocument/2006/relationships/hyperlink" Target="#Assesment!A1"/><Relationship Id="rId1" Type="http://schemas.openxmlformats.org/officeDocument/2006/relationships/hyperlink" Target="#'Contract Clause'!A1"/><Relationship Id="rId6" Type="http://schemas.openxmlformats.org/officeDocument/2006/relationships/hyperlink" Target="#'Step 1'!A1"/><Relationship Id="rId11" Type="http://schemas.openxmlformats.org/officeDocument/2006/relationships/hyperlink" Target="#'Other Issues'!A1"/><Relationship Id="rId5" Type="http://schemas.openxmlformats.org/officeDocument/2006/relationships/hyperlink" Target="#Intro!A1"/><Relationship Id="rId10" Type="http://schemas.openxmlformats.org/officeDocument/2006/relationships/hyperlink" Target="#Cost!A1"/><Relationship Id="rId4" Type="http://schemas.openxmlformats.org/officeDocument/2006/relationships/hyperlink" Target="#Dashboard!A1"/><Relationship Id="rId9" Type="http://schemas.openxmlformats.org/officeDocument/2006/relationships/hyperlink" Target="#'Step 5'!A1"/></Relationships>
</file>

<file path=xl/drawings/_rels/drawing10.xml.rels><?xml version="1.0" encoding="UTF-8" standalone="yes"?>
<Relationships xmlns="http://schemas.openxmlformats.org/package/2006/relationships"><Relationship Id="rId3" Type="http://schemas.openxmlformats.org/officeDocument/2006/relationships/hyperlink" Target="#'Contract Clause'!A1"/><Relationship Id="rId2" Type="http://schemas.openxmlformats.org/officeDocument/2006/relationships/hyperlink" Target="#Intro!A1"/><Relationship Id="rId1" Type="http://schemas.openxmlformats.org/officeDocument/2006/relationships/hyperlink" Target="#Dashboard!A1"/><Relationship Id="rId6" Type="http://schemas.openxmlformats.org/officeDocument/2006/relationships/hyperlink" Target="#Mapping!A1"/><Relationship Id="rId5" Type="http://schemas.openxmlformats.org/officeDocument/2006/relationships/hyperlink" Target="#Conclusion!A1"/><Relationship Id="rId4" Type="http://schemas.openxmlformats.org/officeDocument/2006/relationships/hyperlink" Target="#Assesment!A1"/></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654050</xdr:colOff>
      <xdr:row>28</xdr:row>
      <xdr:rowOff>165099</xdr:rowOff>
    </xdr:to>
    <xdr:grpSp>
      <xdr:nvGrpSpPr>
        <xdr:cNvPr id="10" name="Group 9">
          <a:extLst>
            <a:ext uri="{FF2B5EF4-FFF2-40B4-BE49-F238E27FC236}">
              <a16:creationId xmlns:a16="http://schemas.microsoft.com/office/drawing/2014/main" id="{00000000-0008-0000-0000-00000A000000}"/>
            </a:ext>
          </a:extLst>
        </xdr:cNvPr>
        <xdr:cNvGrpSpPr/>
      </xdr:nvGrpSpPr>
      <xdr:grpSpPr>
        <a:xfrm>
          <a:off x="0" y="0"/>
          <a:ext cx="13893800" cy="5499099"/>
          <a:chOff x="0" y="0"/>
          <a:chExt cx="14653315" cy="5795347"/>
        </a:xfrm>
      </xdr:grpSpPr>
      <xdr:sp macro="" textlink="">
        <xdr:nvSpPr>
          <xdr:cNvPr id="2" name="Rectangle 1">
            <a:extLst>
              <a:ext uri="{FF2B5EF4-FFF2-40B4-BE49-F238E27FC236}">
                <a16:creationId xmlns:a16="http://schemas.microsoft.com/office/drawing/2014/main" id="{00000000-0008-0000-0000-000002000000}"/>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Rectangle 2">
            <a:extLst>
              <a:ext uri="{FF2B5EF4-FFF2-40B4-BE49-F238E27FC236}">
                <a16:creationId xmlns:a16="http://schemas.microsoft.com/office/drawing/2014/main" id="{00000000-0008-0000-0000-000003000000}"/>
              </a:ext>
            </a:extLst>
          </xdr:cNvPr>
          <xdr:cNvSpPr/>
        </xdr:nvSpPr>
        <xdr:spPr>
          <a:xfrm>
            <a:off x="0" y="381449"/>
            <a:ext cx="1364274" cy="5413898"/>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hlinkClick xmlns:r="http://schemas.openxmlformats.org/officeDocument/2006/relationships" r:id="rId1"/>
            <a:extLst>
              <a:ext uri="{FF2B5EF4-FFF2-40B4-BE49-F238E27FC236}">
                <a16:creationId xmlns:a16="http://schemas.microsoft.com/office/drawing/2014/main" id="{00000000-0008-0000-0000-000004000000}"/>
              </a:ext>
            </a:extLst>
          </xdr:cNvPr>
          <xdr:cNvSpPr/>
        </xdr:nvSpPr>
        <xdr:spPr>
          <a:xfrm>
            <a:off x="0" y="452753"/>
            <a:ext cx="1364274" cy="247184"/>
          </a:xfrm>
          <a:prstGeom prst="rect">
            <a:avLst/>
          </a:prstGeom>
          <a:solidFill>
            <a:schemeClr val="accent4"/>
          </a:solidFill>
        </xdr:spPr>
        <xdr:txBody>
          <a:bodyPr wrap="square" lIns="91440" tIns="45720" rIns="91440" bIns="45720" anchor="ctr">
            <a:spAutoFit/>
          </a:bodyPr>
          <a:lstStyle/>
          <a:p>
            <a:pPr algn="l"/>
            <a:r>
              <a:rPr lang="en-US" sz="1000" b="0" cap="none" spc="0">
                <a:ln w="0"/>
                <a:solidFill>
                  <a:schemeClr val="tx1"/>
                </a:solidFill>
                <a:effectLst/>
                <a:latin typeface="Arial" panose="020B0604020202020204" pitchFamily="34" charset="0"/>
                <a:cs typeface="Arial" panose="020B0604020202020204" pitchFamily="34" charset="0"/>
              </a:rPr>
              <a:t>Home</a:t>
            </a:r>
            <a:r>
              <a:rPr lang="en-US" sz="1000" b="0" cap="none" spc="0" baseline="0">
                <a:ln w="0"/>
                <a:solidFill>
                  <a:schemeClr val="tx1"/>
                </a:solidFill>
                <a:effectLst/>
                <a:latin typeface="Arial" panose="020B0604020202020204" pitchFamily="34" charset="0"/>
                <a:cs typeface="Arial" panose="020B0604020202020204" pitchFamily="34" charset="0"/>
              </a:rPr>
              <a:t> Page</a:t>
            </a:r>
            <a:endParaRPr lang="en-US" sz="1000" b="0" cap="none" spc="0">
              <a:ln w="0"/>
              <a:solidFill>
                <a:schemeClr val="tx1"/>
              </a:solidFill>
              <a:effectLst/>
              <a:latin typeface="Arial" panose="020B0604020202020204" pitchFamily="34" charset="0"/>
              <a:cs typeface="Arial" panose="020B0604020202020204" pitchFamily="34" charset="0"/>
            </a:endParaRPr>
          </a:p>
        </xdr:txBody>
      </xdr:sp>
      <xdr:sp macro="" textlink="">
        <xdr:nvSpPr>
          <xdr:cNvPr id="5" name="Rectangle 4">
            <a:hlinkClick xmlns:r="http://schemas.openxmlformats.org/officeDocument/2006/relationships" r:id="rId2" tooltip="Gantt View"/>
            <a:extLst>
              <a:ext uri="{FF2B5EF4-FFF2-40B4-BE49-F238E27FC236}">
                <a16:creationId xmlns:a16="http://schemas.microsoft.com/office/drawing/2014/main" id="{00000000-0008-0000-0000-000005000000}"/>
              </a:ext>
            </a:extLst>
          </xdr:cNvPr>
          <xdr:cNvSpPr/>
        </xdr:nvSpPr>
        <xdr:spPr>
          <a:xfrm>
            <a:off x="0" y="773961"/>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Introduction</a:t>
            </a:r>
          </a:p>
        </xdr:txBody>
      </xdr:sp>
    </xdr:grpSp>
    <xdr:clientData/>
  </xdr:twoCellAnchor>
  <xdr:twoCellAnchor editAs="absolute">
    <xdr:from>
      <xdr:col>3</xdr:col>
      <xdr:colOff>654050</xdr:colOff>
      <xdr:row>0</xdr:row>
      <xdr:rowOff>44450</xdr:rowOff>
    </xdr:from>
    <xdr:to>
      <xdr:col>5</xdr:col>
      <xdr:colOff>4740275</xdr:colOff>
      <xdr:row>3</xdr:row>
      <xdr:rowOff>6236</xdr:rowOff>
    </xdr:to>
    <xdr:sp macro="" textlink="">
      <xdr:nvSpPr>
        <xdr:cNvPr id="11" name="Rectangle 10">
          <a:extLst>
            <a:ext uri="{FF2B5EF4-FFF2-40B4-BE49-F238E27FC236}">
              <a16:creationId xmlns:a16="http://schemas.microsoft.com/office/drawing/2014/main" id="{00000000-0008-0000-0000-00000B000000}"/>
            </a:ext>
          </a:extLst>
        </xdr:cNvPr>
        <xdr:cNvSpPr/>
      </xdr:nvSpPr>
      <xdr:spPr>
        <a:xfrm>
          <a:off x="2578100" y="44450"/>
          <a:ext cx="648652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7</xdr:row>
      <xdr:rowOff>101600</xdr:rowOff>
    </xdr:from>
    <xdr:to>
      <xdr:col>1</xdr:col>
      <xdr:colOff>529641</xdr:colOff>
      <xdr:row>8</xdr:row>
      <xdr:rowOff>151998</xdr:rowOff>
    </xdr:to>
    <xdr:sp macro="" textlink="">
      <xdr:nvSpPr>
        <xdr:cNvPr id="50" name="Rectangle 49">
          <a:hlinkClick xmlns:r="http://schemas.openxmlformats.org/officeDocument/2006/relationships" r:id="rId3" tooltip="Risks and Issues"/>
          <a:extLst>
            <a:ext uri="{FF2B5EF4-FFF2-40B4-BE49-F238E27FC236}">
              <a16:creationId xmlns:a16="http://schemas.microsoft.com/office/drawing/2014/main" id="{CD863B64-B272-4EB6-9219-292E150D7651}"/>
            </a:ext>
          </a:extLst>
        </xdr:cNvPr>
        <xdr:cNvSpPr/>
      </xdr:nvSpPr>
      <xdr:spPr>
        <a:xfrm>
          <a:off x="0" y="113030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9</xdr:row>
      <xdr:rowOff>38100</xdr:rowOff>
    </xdr:from>
    <xdr:to>
      <xdr:col>1</xdr:col>
      <xdr:colOff>529641</xdr:colOff>
      <xdr:row>9</xdr:row>
      <xdr:rowOff>272648</xdr:rowOff>
    </xdr:to>
    <xdr:sp macro="" textlink="">
      <xdr:nvSpPr>
        <xdr:cNvPr id="51" name="Rectangle 50">
          <a:hlinkClick xmlns:r="http://schemas.openxmlformats.org/officeDocument/2006/relationships" r:id="rId4" tooltip="Risks and Issues"/>
          <a:extLst>
            <a:ext uri="{FF2B5EF4-FFF2-40B4-BE49-F238E27FC236}">
              <a16:creationId xmlns:a16="http://schemas.microsoft.com/office/drawing/2014/main" id="{455DFDCF-38D6-4E2B-84F2-3737FE243AFA}"/>
            </a:ext>
          </a:extLst>
        </xdr:cNvPr>
        <xdr:cNvSpPr/>
      </xdr:nvSpPr>
      <xdr:spPr>
        <a:xfrm>
          <a:off x="0" y="143510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5</xdr:col>
      <xdr:colOff>1416050</xdr:colOff>
      <xdr:row>10</xdr:row>
      <xdr:rowOff>158750</xdr:rowOff>
    </xdr:from>
    <xdr:to>
      <xdr:col>5</xdr:col>
      <xdr:colOff>2432050</xdr:colOff>
      <xdr:row>11</xdr:row>
      <xdr:rowOff>171450</xdr:rowOff>
    </xdr:to>
    <xdr:sp macro="[0]!CreateNew" textlink="">
      <xdr:nvSpPr>
        <xdr:cNvPr id="12" name="Rectangle: Rounded Corners 11">
          <a:extLst>
            <a:ext uri="{FF2B5EF4-FFF2-40B4-BE49-F238E27FC236}">
              <a16:creationId xmlns:a16="http://schemas.microsoft.com/office/drawing/2014/main" id="{B7579287-686E-9A37-231A-D28597AB3F82}"/>
            </a:ext>
          </a:extLst>
        </xdr:cNvPr>
        <xdr:cNvSpPr/>
      </xdr:nvSpPr>
      <xdr:spPr>
        <a:xfrm>
          <a:off x="5740400" y="1936750"/>
          <a:ext cx="1016000" cy="355600"/>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1100" b="1"/>
            <a:t>Create</a:t>
          </a:r>
          <a:r>
            <a:rPr lang="en-IN" sz="1100" b="1" baseline="0"/>
            <a:t> New</a:t>
          </a:r>
          <a:endParaRPr lang="en-IN" sz="1100" b="1"/>
        </a:p>
      </xdr:txBody>
    </xdr:sp>
    <xdr:clientData/>
  </xdr:twoCellAnchor>
  <xdr:twoCellAnchor>
    <xdr:from>
      <xdr:col>4</xdr:col>
      <xdr:colOff>76200</xdr:colOff>
      <xdr:row>9</xdr:row>
      <xdr:rowOff>44450</xdr:rowOff>
    </xdr:from>
    <xdr:to>
      <xdr:col>4</xdr:col>
      <xdr:colOff>908050</xdr:colOff>
      <xdr:row>9</xdr:row>
      <xdr:rowOff>323850</xdr:rowOff>
    </xdr:to>
    <xdr:sp macro="[0]!SelectFolder_OutputFolder" textlink="">
      <xdr:nvSpPr>
        <xdr:cNvPr id="13" name="Rectangle: Rounded Corners 12">
          <a:extLst>
            <a:ext uri="{FF2B5EF4-FFF2-40B4-BE49-F238E27FC236}">
              <a16:creationId xmlns:a16="http://schemas.microsoft.com/office/drawing/2014/main" id="{6EE558E6-3A1C-411E-8CCB-6A74419690C5}"/>
            </a:ext>
          </a:extLst>
        </xdr:cNvPr>
        <xdr:cNvSpPr/>
      </xdr:nvSpPr>
      <xdr:spPr>
        <a:xfrm>
          <a:off x="3086100" y="1441450"/>
          <a:ext cx="831850" cy="279400"/>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1100" b="1"/>
            <a:t>Browse</a:t>
          </a:r>
        </a:p>
      </xdr:txBody>
    </xdr:sp>
    <xdr:clientData/>
  </xdr:twoCellAnchor>
  <xdr:twoCellAnchor>
    <xdr:from>
      <xdr:col>0</xdr:col>
      <xdr:colOff>0</xdr:colOff>
      <xdr:row>10</xdr:row>
      <xdr:rowOff>19050</xdr:rowOff>
    </xdr:from>
    <xdr:to>
      <xdr:col>1</xdr:col>
      <xdr:colOff>529641</xdr:colOff>
      <xdr:row>10</xdr:row>
      <xdr:rowOff>258859</xdr:rowOff>
    </xdr:to>
    <xdr:sp macro="" textlink="">
      <xdr:nvSpPr>
        <xdr:cNvPr id="24" name="Rectangle 23">
          <a:hlinkClick xmlns:r="http://schemas.openxmlformats.org/officeDocument/2006/relationships" r:id="rId5" tooltip="Heatmap View"/>
          <a:extLst>
            <a:ext uri="{FF2B5EF4-FFF2-40B4-BE49-F238E27FC236}">
              <a16:creationId xmlns:a16="http://schemas.microsoft.com/office/drawing/2014/main" id="{4EF14F12-052D-4EC7-AFD0-AB66223AC4DB}"/>
            </a:ext>
          </a:extLst>
        </xdr:cNvPr>
        <xdr:cNvSpPr/>
      </xdr:nvSpPr>
      <xdr:spPr>
        <a:xfrm>
          <a:off x="0" y="1797050"/>
          <a:ext cx="1170991" cy="239809"/>
        </a:xfrm>
        <a:prstGeom prst="rect">
          <a:avLst/>
        </a:prstGeom>
        <a:solidFill>
          <a:schemeClr val="tx2">
            <a:lumMod val="75000"/>
          </a:schemeClr>
        </a:solidFill>
      </xdr:spPr>
      <xdr:txBody>
        <a:bodyPr wrap="square" lIns="91440" tIns="45720" rIns="91440" bIns="45720" anchor="ctr">
          <a:no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Comclusion</a:t>
          </a:r>
        </a:p>
      </xdr:txBody>
    </xdr:sp>
    <xdr:clientData/>
  </xdr:twoCellAnchor>
  <xdr:twoCellAnchor>
    <xdr:from>
      <xdr:col>0</xdr:col>
      <xdr:colOff>0</xdr:colOff>
      <xdr:row>11</xdr:row>
      <xdr:rowOff>95250</xdr:rowOff>
    </xdr:from>
    <xdr:to>
      <xdr:col>1</xdr:col>
      <xdr:colOff>529641</xdr:colOff>
      <xdr:row>12</xdr:row>
      <xdr:rowOff>81059</xdr:rowOff>
    </xdr:to>
    <xdr:sp macro="" textlink="">
      <xdr:nvSpPr>
        <xdr:cNvPr id="25" name="Rectangle 24">
          <a:hlinkClick xmlns:r="http://schemas.openxmlformats.org/officeDocument/2006/relationships" r:id="rId6" tooltip="Heatmap View"/>
          <a:extLst>
            <a:ext uri="{FF2B5EF4-FFF2-40B4-BE49-F238E27FC236}">
              <a16:creationId xmlns:a16="http://schemas.microsoft.com/office/drawing/2014/main" id="{989A529C-A95C-4F3D-BA76-B37E216E8FFE}"/>
            </a:ext>
          </a:extLst>
        </xdr:cNvPr>
        <xdr:cNvSpPr/>
      </xdr:nvSpPr>
      <xdr:spPr>
        <a:xfrm>
          <a:off x="0" y="2216150"/>
          <a:ext cx="1170991" cy="239809"/>
        </a:xfrm>
        <a:prstGeom prst="rect">
          <a:avLst/>
        </a:prstGeom>
        <a:solidFill>
          <a:schemeClr val="tx2">
            <a:lumMod val="75000"/>
          </a:schemeClr>
        </a:solidFill>
      </xdr:spPr>
      <xdr:txBody>
        <a:bodyPr wrap="square" lIns="91440" tIns="45720" rIns="91440" bIns="45720" anchor="ctr">
          <a:no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Mapping</a:t>
          </a:r>
        </a:p>
      </xdr:txBody>
    </xdr:sp>
    <xdr:clientData/>
  </xdr:twoCellAnchor>
  <xdr:twoCellAnchor>
    <xdr:from>
      <xdr:col>5</xdr:col>
      <xdr:colOff>1447800</xdr:colOff>
      <xdr:row>15</xdr:row>
      <xdr:rowOff>127000</xdr:rowOff>
    </xdr:from>
    <xdr:to>
      <xdr:col>5</xdr:col>
      <xdr:colOff>2470150</xdr:colOff>
      <xdr:row>17</xdr:row>
      <xdr:rowOff>139700</xdr:rowOff>
    </xdr:to>
    <xdr:sp macro="[0]!Review" textlink="">
      <xdr:nvSpPr>
        <xdr:cNvPr id="6" name="Rectangle: Rounded Corners 5">
          <a:extLst>
            <a:ext uri="{FF2B5EF4-FFF2-40B4-BE49-F238E27FC236}">
              <a16:creationId xmlns:a16="http://schemas.microsoft.com/office/drawing/2014/main" id="{3E1F438B-DB44-4E0B-A04C-E0AFB39F1063}"/>
            </a:ext>
          </a:extLst>
        </xdr:cNvPr>
        <xdr:cNvSpPr/>
      </xdr:nvSpPr>
      <xdr:spPr>
        <a:xfrm>
          <a:off x="5772150" y="3181350"/>
          <a:ext cx="1022350" cy="3556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000" b="1">
              <a:latin typeface="+mn-lt"/>
            </a:rPr>
            <a:t>Review</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19050</xdr:colOff>
      <xdr:row>0</xdr:row>
      <xdr:rowOff>0</xdr:rowOff>
    </xdr:from>
    <xdr:to>
      <xdr:col>10</xdr:col>
      <xdr:colOff>596903</xdr:colOff>
      <xdr:row>10</xdr:row>
      <xdr:rowOff>336550</xdr:rowOff>
    </xdr:to>
    <xdr:grpSp>
      <xdr:nvGrpSpPr>
        <xdr:cNvPr id="2" name="Group 1">
          <a:extLst>
            <a:ext uri="{FF2B5EF4-FFF2-40B4-BE49-F238E27FC236}">
              <a16:creationId xmlns:a16="http://schemas.microsoft.com/office/drawing/2014/main" id="{ECCA609C-682F-4844-B119-DFA328EB2E0A}"/>
            </a:ext>
          </a:extLst>
        </xdr:cNvPr>
        <xdr:cNvGrpSpPr/>
      </xdr:nvGrpSpPr>
      <xdr:grpSpPr>
        <a:xfrm>
          <a:off x="19050" y="0"/>
          <a:ext cx="13893803" cy="2273300"/>
          <a:chOff x="0" y="0"/>
          <a:chExt cx="14653315" cy="2292590"/>
        </a:xfrm>
      </xdr:grpSpPr>
      <xdr:sp macro="" textlink="">
        <xdr:nvSpPr>
          <xdr:cNvPr id="3" name="Rectangle 2">
            <a:extLst>
              <a:ext uri="{FF2B5EF4-FFF2-40B4-BE49-F238E27FC236}">
                <a16:creationId xmlns:a16="http://schemas.microsoft.com/office/drawing/2014/main" id="{B07A090C-9656-F832-2489-8B8A52017ECE}"/>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hlinkClick xmlns:r="http://schemas.openxmlformats.org/officeDocument/2006/relationships" r:id="rId1"/>
            <a:extLst>
              <a:ext uri="{FF2B5EF4-FFF2-40B4-BE49-F238E27FC236}">
                <a16:creationId xmlns:a16="http://schemas.microsoft.com/office/drawing/2014/main" id="{251BAE88-A3B3-8E0C-D1DB-23BA83A0B708}"/>
              </a:ext>
            </a:extLst>
          </xdr:cNvPr>
          <xdr:cNvSpPr/>
        </xdr:nvSpPr>
        <xdr:spPr>
          <a:xfrm>
            <a:off x="0" y="449981"/>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7" name="Rectangle 6">
            <a:hlinkClick xmlns:r="http://schemas.openxmlformats.org/officeDocument/2006/relationships" r:id="rId2" tooltip="Resource View"/>
            <a:extLst>
              <a:ext uri="{FF2B5EF4-FFF2-40B4-BE49-F238E27FC236}">
                <a16:creationId xmlns:a16="http://schemas.microsoft.com/office/drawing/2014/main" id="{0949087A-9D06-C2A2-3A7F-2F62BA3DAFD3}"/>
              </a:ext>
            </a:extLst>
          </xdr:cNvPr>
          <xdr:cNvSpPr/>
        </xdr:nvSpPr>
        <xdr:spPr>
          <a:xfrm>
            <a:off x="0" y="1048323"/>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1</a:t>
            </a:r>
          </a:p>
        </xdr:txBody>
      </xdr:sp>
      <xdr:sp macro="" textlink="">
        <xdr:nvSpPr>
          <xdr:cNvPr id="8" name="Rectangle 7">
            <a:hlinkClick xmlns:r="http://schemas.openxmlformats.org/officeDocument/2006/relationships" r:id="rId3" tooltip="Timeline View"/>
            <a:extLst>
              <a:ext uri="{FF2B5EF4-FFF2-40B4-BE49-F238E27FC236}">
                <a16:creationId xmlns:a16="http://schemas.microsoft.com/office/drawing/2014/main" id="{0027EF4C-0DAB-0253-2D9B-7A0105FC55F5}"/>
              </a:ext>
            </a:extLst>
          </xdr:cNvPr>
          <xdr:cNvSpPr/>
        </xdr:nvSpPr>
        <xdr:spPr>
          <a:xfrm>
            <a:off x="0" y="1362839"/>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2</a:t>
            </a:r>
          </a:p>
        </xdr:txBody>
      </xdr:sp>
      <xdr:sp macro="" textlink="">
        <xdr:nvSpPr>
          <xdr:cNvPr id="9" name="Rectangle 8">
            <a:hlinkClick xmlns:r="http://schemas.openxmlformats.org/officeDocument/2006/relationships" r:id="rId4" tooltip="Heatmap View"/>
            <a:extLst>
              <a:ext uri="{FF2B5EF4-FFF2-40B4-BE49-F238E27FC236}">
                <a16:creationId xmlns:a16="http://schemas.microsoft.com/office/drawing/2014/main" id="{FF815796-77C4-A5B7-F0F5-93264EAAB4E1}"/>
              </a:ext>
            </a:extLst>
          </xdr:cNvPr>
          <xdr:cNvSpPr/>
        </xdr:nvSpPr>
        <xdr:spPr>
          <a:xfrm>
            <a:off x="0" y="1704123"/>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3</a:t>
            </a:r>
          </a:p>
        </xdr:txBody>
      </xdr:sp>
      <xdr:sp macro="" textlink="">
        <xdr:nvSpPr>
          <xdr:cNvPr id="10" name="Rectangle 9">
            <a:hlinkClick xmlns:r="http://schemas.openxmlformats.org/officeDocument/2006/relationships" r:id="rId5" tooltip="Risks and Issues"/>
            <a:extLst>
              <a:ext uri="{FF2B5EF4-FFF2-40B4-BE49-F238E27FC236}">
                <a16:creationId xmlns:a16="http://schemas.microsoft.com/office/drawing/2014/main" id="{AE10BEBE-66D9-3268-7A08-7C3C0C67CCA6}"/>
              </a:ext>
            </a:extLst>
          </xdr:cNvPr>
          <xdr:cNvSpPr/>
        </xdr:nvSpPr>
        <xdr:spPr>
          <a:xfrm>
            <a:off x="0" y="2045406"/>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4</a:t>
            </a:r>
          </a:p>
        </xdr:txBody>
      </xdr:sp>
    </xdr:grpSp>
    <xdr:clientData/>
  </xdr:twoCellAnchor>
  <xdr:twoCellAnchor editAs="absolute">
    <xdr:from>
      <xdr:col>2</xdr:col>
      <xdr:colOff>768350</xdr:colOff>
      <xdr:row>0</xdr:row>
      <xdr:rowOff>44450</xdr:rowOff>
    </xdr:from>
    <xdr:to>
      <xdr:col>4</xdr:col>
      <xdr:colOff>1730375</xdr:colOff>
      <xdr:row>3</xdr:row>
      <xdr:rowOff>6236</xdr:rowOff>
    </xdr:to>
    <xdr:sp macro="" textlink="">
      <xdr:nvSpPr>
        <xdr:cNvPr id="11" name="Rectangle 10">
          <a:extLst>
            <a:ext uri="{FF2B5EF4-FFF2-40B4-BE49-F238E27FC236}">
              <a16:creationId xmlns:a16="http://schemas.microsoft.com/office/drawing/2014/main" id="{9944B8FC-1655-4183-B4F9-413DDB9A8D1A}"/>
            </a:ext>
          </a:extLst>
        </xdr:cNvPr>
        <xdr:cNvSpPr/>
      </xdr:nvSpPr>
      <xdr:spPr>
        <a:xfrm>
          <a:off x="2578100" y="44450"/>
          <a:ext cx="648652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6350</xdr:colOff>
      <xdr:row>11</xdr:row>
      <xdr:rowOff>146050</xdr:rowOff>
    </xdr:from>
    <xdr:to>
      <xdr:col>1</xdr:col>
      <xdr:colOff>535991</xdr:colOff>
      <xdr:row>12</xdr:row>
      <xdr:rowOff>196448</xdr:rowOff>
    </xdr:to>
    <xdr:sp macro="" textlink="">
      <xdr:nvSpPr>
        <xdr:cNvPr id="12" name="Rectangle 11">
          <a:hlinkClick xmlns:r="http://schemas.openxmlformats.org/officeDocument/2006/relationships" r:id="rId6" tooltip="Risks and Issues"/>
          <a:extLst>
            <a:ext uri="{FF2B5EF4-FFF2-40B4-BE49-F238E27FC236}">
              <a16:creationId xmlns:a16="http://schemas.microsoft.com/office/drawing/2014/main" id="{47395EC7-6C2F-4DED-8DA1-D197AEC54708}"/>
            </a:ext>
          </a:extLst>
        </xdr:cNvPr>
        <xdr:cNvSpPr/>
      </xdr:nvSpPr>
      <xdr:spPr>
        <a:xfrm>
          <a:off x="6350" y="2336800"/>
          <a:ext cx="1170991" cy="3043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6350</xdr:colOff>
      <xdr:row>13</xdr:row>
      <xdr:rowOff>88900</xdr:rowOff>
    </xdr:from>
    <xdr:to>
      <xdr:col>1</xdr:col>
      <xdr:colOff>535991</xdr:colOff>
      <xdr:row>14</xdr:row>
      <xdr:rowOff>151998</xdr:rowOff>
    </xdr:to>
    <xdr:sp macro="" textlink="">
      <xdr:nvSpPr>
        <xdr:cNvPr id="13" name="Rectangle 12">
          <a:hlinkClick xmlns:r="http://schemas.openxmlformats.org/officeDocument/2006/relationships" r:id="rId7" tooltip="Risks and Issues"/>
          <a:extLst>
            <a:ext uri="{FF2B5EF4-FFF2-40B4-BE49-F238E27FC236}">
              <a16:creationId xmlns:a16="http://schemas.microsoft.com/office/drawing/2014/main" id="{82EA4F96-4284-4DEC-BC5E-D5A6429B79A0}"/>
            </a:ext>
          </a:extLst>
        </xdr:cNvPr>
        <xdr:cNvSpPr/>
      </xdr:nvSpPr>
      <xdr:spPr>
        <a:xfrm>
          <a:off x="6350" y="2787650"/>
          <a:ext cx="1170991" cy="3170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 Cost</a:t>
          </a:r>
        </a:p>
      </xdr:txBody>
    </xdr:sp>
    <xdr:clientData/>
  </xdr:twoCellAnchor>
  <xdr:twoCellAnchor>
    <xdr:from>
      <xdr:col>0</xdr:col>
      <xdr:colOff>6350</xdr:colOff>
      <xdr:row>14</xdr:row>
      <xdr:rowOff>209550</xdr:rowOff>
    </xdr:from>
    <xdr:to>
      <xdr:col>1</xdr:col>
      <xdr:colOff>535991</xdr:colOff>
      <xdr:row>16</xdr:row>
      <xdr:rowOff>18648</xdr:rowOff>
    </xdr:to>
    <xdr:sp macro="" textlink="">
      <xdr:nvSpPr>
        <xdr:cNvPr id="14" name="Rectangle 13">
          <a:hlinkClick xmlns:r="http://schemas.openxmlformats.org/officeDocument/2006/relationships" r:id="rId8" tooltip="Risks and Issues"/>
          <a:extLst>
            <a:ext uri="{FF2B5EF4-FFF2-40B4-BE49-F238E27FC236}">
              <a16:creationId xmlns:a16="http://schemas.microsoft.com/office/drawing/2014/main" id="{227FE390-0607-4BAE-910A-50F127F1EED5}"/>
            </a:ext>
          </a:extLst>
        </xdr:cNvPr>
        <xdr:cNvSpPr/>
      </xdr:nvSpPr>
      <xdr:spPr>
        <a:xfrm>
          <a:off x="6350" y="3162300"/>
          <a:ext cx="1170991" cy="3170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6350</xdr:colOff>
      <xdr:row>16</xdr:row>
      <xdr:rowOff>63500</xdr:rowOff>
    </xdr:from>
    <xdr:to>
      <xdr:col>1</xdr:col>
      <xdr:colOff>535991</xdr:colOff>
      <xdr:row>22</xdr:row>
      <xdr:rowOff>44048</xdr:rowOff>
    </xdr:to>
    <xdr:sp macro="" textlink="">
      <xdr:nvSpPr>
        <xdr:cNvPr id="15" name="Rectangle 14">
          <a:hlinkClick xmlns:r="http://schemas.openxmlformats.org/officeDocument/2006/relationships" r:id="rId9" tooltip="Risks and Issues"/>
          <a:extLst>
            <a:ext uri="{FF2B5EF4-FFF2-40B4-BE49-F238E27FC236}">
              <a16:creationId xmlns:a16="http://schemas.microsoft.com/office/drawing/2014/main" id="{4DC676C6-69F0-4A71-8A6D-B82D581A222F}"/>
            </a:ext>
          </a:extLst>
        </xdr:cNvPr>
        <xdr:cNvSpPr/>
      </xdr:nvSpPr>
      <xdr:spPr>
        <a:xfrm>
          <a:off x="6350" y="352425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6350</xdr:colOff>
      <xdr:row>22</xdr:row>
      <xdr:rowOff>114300</xdr:rowOff>
    </xdr:from>
    <xdr:to>
      <xdr:col>1</xdr:col>
      <xdr:colOff>535991</xdr:colOff>
      <xdr:row>24</xdr:row>
      <xdr:rowOff>5948</xdr:rowOff>
    </xdr:to>
    <xdr:sp macro="" textlink="">
      <xdr:nvSpPr>
        <xdr:cNvPr id="16" name="Rectangle 15">
          <a:hlinkClick xmlns:r="http://schemas.openxmlformats.org/officeDocument/2006/relationships" r:id="rId10" tooltip="Risks and Issues"/>
          <a:extLst>
            <a:ext uri="{FF2B5EF4-FFF2-40B4-BE49-F238E27FC236}">
              <a16:creationId xmlns:a16="http://schemas.microsoft.com/office/drawing/2014/main" id="{12FB09C5-A944-46B2-9956-BF127AAFC65A}"/>
            </a:ext>
          </a:extLst>
        </xdr:cNvPr>
        <xdr:cNvSpPr/>
      </xdr:nvSpPr>
      <xdr:spPr>
        <a:xfrm>
          <a:off x="6350" y="382905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4</xdr:col>
      <xdr:colOff>714375</xdr:colOff>
      <xdr:row>65</xdr:row>
      <xdr:rowOff>0</xdr:rowOff>
    </xdr:from>
    <xdr:to>
      <xdr:col>4</xdr:col>
      <xdr:colOff>1730375</xdr:colOff>
      <xdr:row>68</xdr:row>
      <xdr:rowOff>0</xdr:rowOff>
    </xdr:to>
    <xdr:sp macro="[0]!intro" textlink="">
      <xdr:nvSpPr>
        <xdr:cNvPr id="17" name="Arrow: Right 16">
          <a:extLst>
            <a:ext uri="{FF2B5EF4-FFF2-40B4-BE49-F238E27FC236}">
              <a16:creationId xmlns:a16="http://schemas.microsoft.com/office/drawing/2014/main" id="{CE37C5D2-E50C-424B-996C-8E459067DC1F}"/>
            </a:ext>
          </a:extLst>
        </xdr:cNvPr>
        <xdr:cNvSpPr/>
      </xdr:nvSpPr>
      <xdr:spPr>
        <a:xfrm>
          <a:off x="8048625" y="14490700"/>
          <a:ext cx="1016000" cy="55245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Next</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25400</xdr:colOff>
      <xdr:row>0</xdr:row>
      <xdr:rowOff>0</xdr:rowOff>
    </xdr:from>
    <xdr:to>
      <xdr:col>7</xdr:col>
      <xdr:colOff>2000997</xdr:colOff>
      <xdr:row>21</xdr:row>
      <xdr:rowOff>25400</xdr:rowOff>
    </xdr:to>
    <xdr:grpSp>
      <xdr:nvGrpSpPr>
        <xdr:cNvPr id="2" name="Group 1">
          <a:extLst>
            <a:ext uri="{FF2B5EF4-FFF2-40B4-BE49-F238E27FC236}">
              <a16:creationId xmlns:a16="http://schemas.microsoft.com/office/drawing/2014/main" id="{B9A3D348-3C4B-45EC-8A8F-74A8D0CEB4D7}"/>
            </a:ext>
          </a:extLst>
        </xdr:cNvPr>
        <xdr:cNvGrpSpPr/>
      </xdr:nvGrpSpPr>
      <xdr:grpSpPr>
        <a:xfrm>
          <a:off x="25400" y="0"/>
          <a:ext cx="13891185" cy="4037106"/>
          <a:chOff x="0" y="0"/>
          <a:chExt cx="14653315" cy="4189247"/>
        </a:xfrm>
      </xdr:grpSpPr>
      <xdr:sp macro="" textlink="">
        <xdr:nvSpPr>
          <xdr:cNvPr id="3" name="Rectangle 2">
            <a:extLst>
              <a:ext uri="{FF2B5EF4-FFF2-40B4-BE49-F238E27FC236}">
                <a16:creationId xmlns:a16="http://schemas.microsoft.com/office/drawing/2014/main" id="{1D8A16FC-BC8A-7239-EF16-EB2CB7A5AAC9}"/>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extLst>
              <a:ext uri="{FF2B5EF4-FFF2-40B4-BE49-F238E27FC236}">
                <a16:creationId xmlns:a16="http://schemas.microsoft.com/office/drawing/2014/main" id="{E90B1C82-376F-6C6E-E218-88A07FBF06CF}"/>
              </a:ext>
            </a:extLst>
          </xdr:cNvPr>
          <xdr:cNvSpPr/>
        </xdr:nvSpPr>
        <xdr:spPr>
          <a:xfrm>
            <a:off x="0" y="381450"/>
            <a:ext cx="1258485" cy="3807797"/>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hlinkClick xmlns:r="http://schemas.openxmlformats.org/officeDocument/2006/relationships" r:id="rId1"/>
            <a:extLst>
              <a:ext uri="{FF2B5EF4-FFF2-40B4-BE49-F238E27FC236}">
                <a16:creationId xmlns:a16="http://schemas.microsoft.com/office/drawing/2014/main" id="{B89E8888-AD07-1F9E-6EB5-4840F5CF6B0A}"/>
              </a:ext>
            </a:extLst>
          </xdr:cNvPr>
          <xdr:cNvSpPr/>
        </xdr:nvSpPr>
        <xdr:spPr>
          <a:xfrm>
            <a:off x="0" y="439923"/>
            <a:ext cx="1231709"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6" name="Rectangle 5">
            <a:hlinkClick xmlns:r="http://schemas.openxmlformats.org/officeDocument/2006/relationships" r:id="rId2" tooltip="Gantt View"/>
            <a:extLst>
              <a:ext uri="{FF2B5EF4-FFF2-40B4-BE49-F238E27FC236}">
                <a16:creationId xmlns:a16="http://schemas.microsoft.com/office/drawing/2014/main" id="{C23679D9-373D-0974-D9A8-A2D9F8081D73}"/>
              </a:ext>
            </a:extLst>
          </xdr:cNvPr>
          <xdr:cNvSpPr/>
        </xdr:nvSpPr>
        <xdr:spPr>
          <a:xfrm>
            <a:off x="0" y="766149"/>
            <a:ext cx="1218320"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Introduction</a:t>
            </a:r>
          </a:p>
        </xdr:txBody>
      </xdr:sp>
      <xdr:sp macro="" textlink="">
        <xdr:nvSpPr>
          <xdr:cNvPr id="7" name="Rectangle 6">
            <a:hlinkClick xmlns:r="http://schemas.openxmlformats.org/officeDocument/2006/relationships" r:id="rId3" tooltip="Resource View"/>
            <a:extLst>
              <a:ext uri="{FF2B5EF4-FFF2-40B4-BE49-F238E27FC236}">
                <a16:creationId xmlns:a16="http://schemas.microsoft.com/office/drawing/2014/main" id="{6B6BBE29-6EE1-081D-C53A-4AE02F288FA6}"/>
              </a:ext>
            </a:extLst>
          </xdr:cNvPr>
          <xdr:cNvSpPr/>
        </xdr:nvSpPr>
        <xdr:spPr>
          <a:xfrm>
            <a:off x="0" y="1045552"/>
            <a:ext cx="1234440" cy="252728"/>
          </a:xfrm>
          <a:prstGeom prst="rect">
            <a:avLst/>
          </a:prstGeom>
          <a:solidFill>
            <a:schemeClr val="accent4"/>
          </a:solidFill>
        </xdr:spPr>
        <xdr:txBody>
          <a:bodyPr wrap="square" lIns="91440" tIns="45720" rIns="91440" bIns="45720" anchor="ctr">
            <a:spAutoFit/>
          </a:bodyPr>
          <a:lstStyle/>
          <a:p>
            <a:pPr algn="l"/>
            <a:r>
              <a:rPr lang="en-US" sz="1000" b="0" cap="none" spc="0">
                <a:ln w="0"/>
                <a:solidFill>
                  <a:schemeClr val="tx1"/>
                </a:solidFill>
                <a:effectLst/>
                <a:latin typeface="Arial" panose="020B0604020202020204" pitchFamily="34" charset="0"/>
                <a:cs typeface="Arial" panose="020B0604020202020204" pitchFamily="34" charset="0"/>
              </a:rPr>
              <a:t>Step 1</a:t>
            </a:r>
          </a:p>
        </xdr:txBody>
      </xdr:sp>
      <xdr:sp macro="" textlink="">
        <xdr:nvSpPr>
          <xdr:cNvPr id="8" name="Rectangle 7">
            <a:hlinkClick xmlns:r="http://schemas.openxmlformats.org/officeDocument/2006/relationships" r:id="rId4" tooltip="Timeline View"/>
            <a:extLst>
              <a:ext uri="{FF2B5EF4-FFF2-40B4-BE49-F238E27FC236}">
                <a16:creationId xmlns:a16="http://schemas.microsoft.com/office/drawing/2014/main" id="{F18FDFA5-B7BF-9879-5D80-7999A61A5637}"/>
              </a:ext>
            </a:extLst>
          </xdr:cNvPr>
          <xdr:cNvSpPr/>
        </xdr:nvSpPr>
        <xdr:spPr>
          <a:xfrm>
            <a:off x="0" y="1362839"/>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2</a:t>
            </a:r>
          </a:p>
        </xdr:txBody>
      </xdr:sp>
      <xdr:sp macro="" textlink="">
        <xdr:nvSpPr>
          <xdr:cNvPr id="9" name="Rectangle 8">
            <a:hlinkClick xmlns:r="http://schemas.openxmlformats.org/officeDocument/2006/relationships" r:id="rId5" tooltip="Heatmap View"/>
            <a:extLst>
              <a:ext uri="{FF2B5EF4-FFF2-40B4-BE49-F238E27FC236}">
                <a16:creationId xmlns:a16="http://schemas.microsoft.com/office/drawing/2014/main" id="{4F61B0EF-3D32-0D1E-CCC5-CAA530E48B75}"/>
              </a:ext>
            </a:extLst>
          </xdr:cNvPr>
          <xdr:cNvSpPr/>
        </xdr:nvSpPr>
        <xdr:spPr>
          <a:xfrm>
            <a:off x="0" y="1704123"/>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3</a:t>
            </a:r>
          </a:p>
        </xdr:txBody>
      </xdr:sp>
      <xdr:sp macro="" textlink="">
        <xdr:nvSpPr>
          <xdr:cNvPr id="10" name="Rectangle 9">
            <a:hlinkClick xmlns:r="http://schemas.openxmlformats.org/officeDocument/2006/relationships" r:id="rId6" tooltip="Risks and Issues"/>
            <a:extLst>
              <a:ext uri="{FF2B5EF4-FFF2-40B4-BE49-F238E27FC236}">
                <a16:creationId xmlns:a16="http://schemas.microsoft.com/office/drawing/2014/main" id="{7A36A58E-512B-01A0-5ED6-F6E05F7866A3}"/>
              </a:ext>
            </a:extLst>
          </xdr:cNvPr>
          <xdr:cNvSpPr/>
        </xdr:nvSpPr>
        <xdr:spPr>
          <a:xfrm>
            <a:off x="0" y="2045406"/>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4</a:t>
            </a:r>
          </a:p>
        </xdr:txBody>
      </xdr:sp>
    </xdr:grpSp>
    <xdr:clientData/>
  </xdr:twoCellAnchor>
  <xdr:twoCellAnchor editAs="absolute">
    <xdr:from>
      <xdr:col>3</xdr:col>
      <xdr:colOff>165100</xdr:colOff>
      <xdr:row>0</xdr:row>
      <xdr:rowOff>44450</xdr:rowOff>
    </xdr:from>
    <xdr:to>
      <xdr:col>5</xdr:col>
      <xdr:colOff>1038972</xdr:colOff>
      <xdr:row>3</xdr:row>
      <xdr:rowOff>6236</xdr:rowOff>
    </xdr:to>
    <xdr:sp macro="" textlink="">
      <xdr:nvSpPr>
        <xdr:cNvPr id="11" name="Rectangle 10">
          <a:extLst>
            <a:ext uri="{FF2B5EF4-FFF2-40B4-BE49-F238E27FC236}">
              <a16:creationId xmlns:a16="http://schemas.microsoft.com/office/drawing/2014/main" id="{98897AAC-2C43-4572-A96F-34349488CA66}"/>
            </a:ext>
          </a:extLst>
        </xdr:cNvPr>
        <xdr:cNvSpPr/>
      </xdr:nvSpPr>
      <xdr:spPr>
        <a:xfrm>
          <a:off x="2578100" y="44450"/>
          <a:ext cx="648652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13</xdr:row>
      <xdr:rowOff>63500</xdr:rowOff>
    </xdr:from>
    <xdr:to>
      <xdr:col>1</xdr:col>
      <xdr:colOff>529641</xdr:colOff>
      <xdr:row>14</xdr:row>
      <xdr:rowOff>113898</xdr:rowOff>
    </xdr:to>
    <xdr:sp macro="" textlink="">
      <xdr:nvSpPr>
        <xdr:cNvPr id="12" name="Rectangle 11">
          <a:hlinkClick xmlns:r="http://schemas.openxmlformats.org/officeDocument/2006/relationships" r:id="rId7" tooltip="Risks and Issues"/>
          <a:extLst>
            <a:ext uri="{FF2B5EF4-FFF2-40B4-BE49-F238E27FC236}">
              <a16:creationId xmlns:a16="http://schemas.microsoft.com/office/drawing/2014/main" id="{3F2C95D4-FC74-4E62-8C6F-95E84A634D26}"/>
            </a:ext>
          </a:extLst>
        </xdr:cNvPr>
        <xdr:cNvSpPr/>
      </xdr:nvSpPr>
      <xdr:spPr>
        <a:xfrm>
          <a:off x="0" y="226695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0</xdr:colOff>
      <xdr:row>15</xdr:row>
      <xdr:rowOff>6350</xdr:rowOff>
    </xdr:from>
    <xdr:to>
      <xdr:col>1</xdr:col>
      <xdr:colOff>529641</xdr:colOff>
      <xdr:row>16</xdr:row>
      <xdr:rowOff>69448</xdr:rowOff>
    </xdr:to>
    <xdr:sp macro="" textlink="">
      <xdr:nvSpPr>
        <xdr:cNvPr id="13" name="Rectangle 12">
          <a:hlinkClick xmlns:r="http://schemas.openxmlformats.org/officeDocument/2006/relationships" r:id="rId8" tooltip="Risks and Issues"/>
          <a:extLst>
            <a:ext uri="{FF2B5EF4-FFF2-40B4-BE49-F238E27FC236}">
              <a16:creationId xmlns:a16="http://schemas.microsoft.com/office/drawing/2014/main" id="{B3B795CE-F1DE-438B-81FB-B7940A68C874}"/>
            </a:ext>
          </a:extLst>
        </xdr:cNvPr>
        <xdr:cNvSpPr/>
      </xdr:nvSpPr>
      <xdr:spPr>
        <a:xfrm>
          <a:off x="0" y="256540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 Cost</a:t>
          </a:r>
        </a:p>
      </xdr:txBody>
    </xdr:sp>
    <xdr:clientData/>
  </xdr:twoCellAnchor>
  <xdr:twoCellAnchor>
    <xdr:from>
      <xdr:col>0</xdr:col>
      <xdr:colOff>0</xdr:colOff>
      <xdr:row>16</xdr:row>
      <xdr:rowOff>127000</xdr:rowOff>
    </xdr:from>
    <xdr:to>
      <xdr:col>1</xdr:col>
      <xdr:colOff>529641</xdr:colOff>
      <xdr:row>18</xdr:row>
      <xdr:rowOff>18648</xdr:rowOff>
    </xdr:to>
    <xdr:sp macro="" textlink="">
      <xdr:nvSpPr>
        <xdr:cNvPr id="14" name="Rectangle 13">
          <a:hlinkClick xmlns:r="http://schemas.openxmlformats.org/officeDocument/2006/relationships" r:id="rId9" tooltip="Risks and Issues"/>
          <a:extLst>
            <a:ext uri="{FF2B5EF4-FFF2-40B4-BE49-F238E27FC236}">
              <a16:creationId xmlns:a16="http://schemas.microsoft.com/office/drawing/2014/main" id="{3B8FFED7-280E-46B6-874A-482B93059DC9}"/>
            </a:ext>
          </a:extLst>
        </xdr:cNvPr>
        <xdr:cNvSpPr/>
      </xdr:nvSpPr>
      <xdr:spPr>
        <a:xfrm>
          <a:off x="0" y="285750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0</xdr:colOff>
      <xdr:row>18</xdr:row>
      <xdr:rowOff>63500</xdr:rowOff>
    </xdr:from>
    <xdr:to>
      <xdr:col>1</xdr:col>
      <xdr:colOff>529641</xdr:colOff>
      <xdr:row>19</xdr:row>
      <xdr:rowOff>126598</xdr:rowOff>
    </xdr:to>
    <xdr:sp macro="" textlink="">
      <xdr:nvSpPr>
        <xdr:cNvPr id="15" name="Rectangle 14">
          <a:hlinkClick xmlns:r="http://schemas.openxmlformats.org/officeDocument/2006/relationships" r:id="rId10" tooltip="Risks and Issues"/>
          <a:extLst>
            <a:ext uri="{FF2B5EF4-FFF2-40B4-BE49-F238E27FC236}">
              <a16:creationId xmlns:a16="http://schemas.microsoft.com/office/drawing/2014/main" id="{39277495-461F-4591-997D-B1402EFC365D}"/>
            </a:ext>
          </a:extLst>
        </xdr:cNvPr>
        <xdr:cNvSpPr/>
      </xdr:nvSpPr>
      <xdr:spPr>
        <a:xfrm>
          <a:off x="0" y="313690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29882</xdr:colOff>
      <xdr:row>19</xdr:row>
      <xdr:rowOff>152400</xdr:rowOff>
    </xdr:from>
    <xdr:to>
      <xdr:col>1</xdr:col>
      <xdr:colOff>559523</xdr:colOff>
      <xdr:row>20</xdr:row>
      <xdr:rowOff>215497</xdr:rowOff>
    </xdr:to>
    <xdr:sp macro="" textlink="">
      <xdr:nvSpPr>
        <xdr:cNvPr id="16" name="Rectangle 15">
          <a:hlinkClick xmlns:r="http://schemas.openxmlformats.org/officeDocument/2006/relationships" r:id="rId11" tooltip="Risks and Issues"/>
          <a:extLst>
            <a:ext uri="{FF2B5EF4-FFF2-40B4-BE49-F238E27FC236}">
              <a16:creationId xmlns:a16="http://schemas.microsoft.com/office/drawing/2014/main" id="{4B614456-F2D8-4276-A166-DC18207F84B4}"/>
            </a:ext>
          </a:extLst>
        </xdr:cNvPr>
        <xdr:cNvSpPr/>
      </xdr:nvSpPr>
      <xdr:spPr>
        <a:xfrm>
          <a:off x="29882" y="3521635"/>
          <a:ext cx="1172112" cy="384333"/>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3</xdr:col>
      <xdr:colOff>4482353</xdr:colOff>
      <xdr:row>76</xdr:row>
      <xdr:rowOff>70971</xdr:rowOff>
    </xdr:from>
    <xdr:to>
      <xdr:col>5</xdr:col>
      <xdr:colOff>52294</xdr:colOff>
      <xdr:row>79</xdr:row>
      <xdr:rowOff>56031</xdr:rowOff>
    </xdr:to>
    <xdr:sp macro="[0]!Step1Next" textlink="">
      <xdr:nvSpPr>
        <xdr:cNvPr id="18" name="Arrow: Right 17">
          <a:extLst>
            <a:ext uri="{FF2B5EF4-FFF2-40B4-BE49-F238E27FC236}">
              <a16:creationId xmlns:a16="http://schemas.microsoft.com/office/drawing/2014/main" id="{70A771F3-A942-00A0-CAE7-6357A273AC4B}"/>
            </a:ext>
          </a:extLst>
        </xdr:cNvPr>
        <xdr:cNvSpPr/>
      </xdr:nvSpPr>
      <xdr:spPr>
        <a:xfrm>
          <a:off x="6895353" y="14578853"/>
          <a:ext cx="1016000" cy="545354"/>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Next</a:t>
          </a:r>
        </a:p>
      </xdr:txBody>
    </xdr:sp>
    <xdr:clientData/>
  </xdr:twoCellAnchor>
  <xdr:twoCellAnchor>
    <xdr:from>
      <xdr:col>1</xdr:col>
      <xdr:colOff>993590</xdr:colOff>
      <xdr:row>76</xdr:row>
      <xdr:rowOff>70972</xdr:rowOff>
    </xdr:from>
    <xdr:to>
      <xdr:col>3</xdr:col>
      <xdr:colOff>231589</xdr:colOff>
      <xdr:row>79</xdr:row>
      <xdr:rowOff>56031</xdr:rowOff>
    </xdr:to>
    <xdr:sp macro="[0]!Step1Back" textlink="">
      <xdr:nvSpPr>
        <xdr:cNvPr id="21" name="Arrow: Left 20">
          <a:hlinkClick xmlns:r="http://schemas.openxmlformats.org/officeDocument/2006/relationships" r:id="rId2"/>
          <a:extLst>
            <a:ext uri="{FF2B5EF4-FFF2-40B4-BE49-F238E27FC236}">
              <a16:creationId xmlns:a16="http://schemas.microsoft.com/office/drawing/2014/main" id="{F7E71A5B-9CB1-82AA-3521-D441905E1204}"/>
            </a:ext>
          </a:extLst>
        </xdr:cNvPr>
        <xdr:cNvSpPr/>
      </xdr:nvSpPr>
      <xdr:spPr>
        <a:xfrm>
          <a:off x="1636061" y="14578854"/>
          <a:ext cx="1008528" cy="545353"/>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2898322</xdr:colOff>
      <xdr:row>21</xdr:row>
      <xdr:rowOff>58056</xdr:rowOff>
    </xdr:to>
    <xdr:grpSp>
      <xdr:nvGrpSpPr>
        <xdr:cNvPr id="2" name="Group 1">
          <a:extLst>
            <a:ext uri="{FF2B5EF4-FFF2-40B4-BE49-F238E27FC236}">
              <a16:creationId xmlns:a16="http://schemas.microsoft.com/office/drawing/2014/main" id="{E5DEC21B-8F7F-4F1E-B93A-AEA4D42445BE}"/>
            </a:ext>
          </a:extLst>
        </xdr:cNvPr>
        <xdr:cNvGrpSpPr/>
      </xdr:nvGrpSpPr>
      <xdr:grpSpPr>
        <a:xfrm>
          <a:off x="0" y="0"/>
          <a:ext cx="13911036" cy="5500913"/>
          <a:chOff x="0" y="0"/>
          <a:chExt cx="14653315" cy="5795347"/>
        </a:xfrm>
      </xdr:grpSpPr>
      <xdr:sp macro="" textlink="">
        <xdr:nvSpPr>
          <xdr:cNvPr id="3" name="Rectangle 2">
            <a:extLst>
              <a:ext uri="{FF2B5EF4-FFF2-40B4-BE49-F238E27FC236}">
                <a16:creationId xmlns:a16="http://schemas.microsoft.com/office/drawing/2014/main" id="{3F69E73B-8E13-5EB8-23D3-C5137DB2F5B4}"/>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extLst>
              <a:ext uri="{FF2B5EF4-FFF2-40B4-BE49-F238E27FC236}">
                <a16:creationId xmlns:a16="http://schemas.microsoft.com/office/drawing/2014/main" id="{65EF072E-F752-AE37-24F1-25FF706A3D0C}"/>
              </a:ext>
            </a:extLst>
          </xdr:cNvPr>
          <xdr:cNvSpPr/>
        </xdr:nvSpPr>
        <xdr:spPr>
          <a:xfrm>
            <a:off x="0" y="381449"/>
            <a:ext cx="1364274" cy="5413898"/>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hlinkClick xmlns:r="http://schemas.openxmlformats.org/officeDocument/2006/relationships" r:id="rId1"/>
            <a:extLst>
              <a:ext uri="{FF2B5EF4-FFF2-40B4-BE49-F238E27FC236}">
                <a16:creationId xmlns:a16="http://schemas.microsoft.com/office/drawing/2014/main" id="{5EEB1105-140F-F8C8-EBC0-D698D0AADD36}"/>
              </a:ext>
            </a:extLst>
          </xdr:cNvPr>
          <xdr:cNvSpPr/>
        </xdr:nvSpPr>
        <xdr:spPr>
          <a:xfrm>
            <a:off x="0" y="449981"/>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6" name="Rectangle 5">
            <a:hlinkClick xmlns:r="http://schemas.openxmlformats.org/officeDocument/2006/relationships" r:id="rId2" tooltip="Gantt View"/>
            <a:extLst>
              <a:ext uri="{FF2B5EF4-FFF2-40B4-BE49-F238E27FC236}">
                <a16:creationId xmlns:a16="http://schemas.microsoft.com/office/drawing/2014/main" id="{4C5828F8-FE7D-E470-2F0D-BF11CF302DB0}"/>
              </a:ext>
            </a:extLst>
          </xdr:cNvPr>
          <xdr:cNvSpPr/>
        </xdr:nvSpPr>
        <xdr:spPr>
          <a:xfrm>
            <a:off x="0" y="767829"/>
            <a:ext cx="1358896"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sp macro="" textlink="">
        <xdr:nvSpPr>
          <xdr:cNvPr id="7" name="Rectangle 6">
            <a:hlinkClick xmlns:r="http://schemas.openxmlformats.org/officeDocument/2006/relationships" r:id="rId3" tooltip="Resource View"/>
            <a:extLst>
              <a:ext uri="{FF2B5EF4-FFF2-40B4-BE49-F238E27FC236}">
                <a16:creationId xmlns:a16="http://schemas.microsoft.com/office/drawing/2014/main" id="{9695054C-8AD0-D548-F4A3-53F8E68E4E6C}"/>
              </a:ext>
            </a:extLst>
          </xdr:cNvPr>
          <xdr:cNvSpPr/>
        </xdr:nvSpPr>
        <xdr:spPr>
          <a:xfrm>
            <a:off x="0" y="1045552"/>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1</a:t>
            </a:r>
          </a:p>
        </xdr:txBody>
      </xdr:sp>
      <xdr:sp macro="" textlink="">
        <xdr:nvSpPr>
          <xdr:cNvPr id="8" name="Rectangle 7">
            <a:hlinkClick xmlns:r="http://schemas.openxmlformats.org/officeDocument/2006/relationships" r:id="rId4" tooltip="Timeline View"/>
            <a:extLst>
              <a:ext uri="{FF2B5EF4-FFF2-40B4-BE49-F238E27FC236}">
                <a16:creationId xmlns:a16="http://schemas.microsoft.com/office/drawing/2014/main" id="{E20DCECB-90E1-1933-D3AB-6664CDC4F70A}"/>
              </a:ext>
            </a:extLst>
          </xdr:cNvPr>
          <xdr:cNvSpPr/>
        </xdr:nvSpPr>
        <xdr:spPr>
          <a:xfrm>
            <a:off x="0" y="1360067"/>
            <a:ext cx="1234440" cy="252728"/>
          </a:xfrm>
          <a:prstGeom prst="rect">
            <a:avLst/>
          </a:prstGeom>
          <a:solidFill>
            <a:schemeClr val="accent4"/>
          </a:solidFill>
        </xdr:spPr>
        <xdr:txBody>
          <a:bodyPr wrap="square" lIns="91440" tIns="45720" rIns="91440" bIns="45720" anchor="ctr">
            <a:spAutoFit/>
          </a:bodyPr>
          <a:lstStyle/>
          <a:p>
            <a:pPr algn="l"/>
            <a:r>
              <a:rPr lang="en-US" sz="1000" b="0" cap="none" spc="0">
                <a:ln w="0"/>
                <a:solidFill>
                  <a:schemeClr val="tx1"/>
                </a:solidFill>
                <a:effectLst/>
                <a:latin typeface="Arial" panose="020B0604020202020204" pitchFamily="34" charset="0"/>
                <a:cs typeface="Arial" panose="020B0604020202020204" pitchFamily="34" charset="0"/>
              </a:rPr>
              <a:t>Step 2</a:t>
            </a:r>
          </a:p>
        </xdr:txBody>
      </xdr:sp>
      <xdr:sp macro="" textlink="">
        <xdr:nvSpPr>
          <xdr:cNvPr id="9" name="Rectangle 8">
            <a:hlinkClick xmlns:r="http://schemas.openxmlformats.org/officeDocument/2006/relationships" r:id="rId5" tooltip="Heatmap View"/>
            <a:extLst>
              <a:ext uri="{FF2B5EF4-FFF2-40B4-BE49-F238E27FC236}">
                <a16:creationId xmlns:a16="http://schemas.microsoft.com/office/drawing/2014/main" id="{5436C853-46AD-3DB2-031A-F9E4E9F420DD}"/>
              </a:ext>
            </a:extLst>
          </xdr:cNvPr>
          <xdr:cNvSpPr/>
        </xdr:nvSpPr>
        <xdr:spPr>
          <a:xfrm>
            <a:off x="0" y="1704123"/>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3</a:t>
            </a:r>
          </a:p>
        </xdr:txBody>
      </xdr:sp>
      <xdr:sp macro="" textlink="">
        <xdr:nvSpPr>
          <xdr:cNvPr id="10" name="Rectangle 9">
            <a:hlinkClick xmlns:r="http://schemas.openxmlformats.org/officeDocument/2006/relationships" r:id="rId6" tooltip="Risks and Issues"/>
            <a:extLst>
              <a:ext uri="{FF2B5EF4-FFF2-40B4-BE49-F238E27FC236}">
                <a16:creationId xmlns:a16="http://schemas.microsoft.com/office/drawing/2014/main" id="{A302097B-AD79-C0E6-A0DC-C382AD146074}"/>
              </a:ext>
            </a:extLst>
          </xdr:cNvPr>
          <xdr:cNvSpPr/>
        </xdr:nvSpPr>
        <xdr:spPr>
          <a:xfrm>
            <a:off x="0" y="2045406"/>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4</a:t>
            </a:r>
          </a:p>
        </xdr:txBody>
      </xdr:sp>
    </xdr:grpSp>
    <xdr:clientData/>
  </xdr:twoCellAnchor>
  <xdr:twoCellAnchor editAs="absolute">
    <xdr:from>
      <xdr:col>3</xdr:col>
      <xdr:colOff>654050</xdr:colOff>
      <xdr:row>0</xdr:row>
      <xdr:rowOff>44450</xdr:rowOff>
    </xdr:from>
    <xdr:to>
      <xdr:col>5</xdr:col>
      <xdr:colOff>111125</xdr:colOff>
      <xdr:row>3</xdr:row>
      <xdr:rowOff>6236</xdr:rowOff>
    </xdr:to>
    <xdr:sp macro="" textlink="">
      <xdr:nvSpPr>
        <xdr:cNvPr id="11" name="Rectangle 10">
          <a:extLst>
            <a:ext uri="{FF2B5EF4-FFF2-40B4-BE49-F238E27FC236}">
              <a16:creationId xmlns:a16="http://schemas.microsoft.com/office/drawing/2014/main" id="{578AD872-5B7D-43D5-BAA5-405E8E0508FA}"/>
            </a:ext>
          </a:extLst>
        </xdr:cNvPr>
        <xdr:cNvSpPr/>
      </xdr:nvSpPr>
      <xdr:spPr>
        <a:xfrm>
          <a:off x="2578100" y="44450"/>
          <a:ext cx="648652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12</xdr:row>
      <xdr:rowOff>146050</xdr:rowOff>
    </xdr:from>
    <xdr:to>
      <xdr:col>1</xdr:col>
      <xdr:colOff>529641</xdr:colOff>
      <xdr:row>13</xdr:row>
      <xdr:rowOff>222250</xdr:rowOff>
    </xdr:to>
    <xdr:sp macro="" textlink="">
      <xdr:nvSpPr>
        <xdr:cNvPr id="12" name="Rectangle 11">
          <a:hlinkClick xmlns:r="http://schemas.openxmlformats.org/officeDocument/2006/relationships" r:id="rId7" tooltip="Risks and Issues"/>
          <a:extLst>
            <a:ext uri="{FF2B5EF4-FFF2-40B4-BE49-F238E27FC236}">
              <a16:creationId xmlns:a16="http://schemas.microsoft.com/office/drawing/2014/main" id="{246C82A9-4682-490A-B383-F081DA5C4592}"/>
            </a:ext>
          </a:extLst>
        </xdr:cNvPr>
        <xdr:cNvSpPr/>
      </xdr:nvSpPr>
      <xdr:spPr>
        <a:xfrm>
          <a:off x="0" y="2266950"/>
          <a:ext cx="1170991" cy="26670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0</xdr:colOff>
      <xdr:row>13</xdr:row>
      <xdr:rowOff>317500</xdr:rowOff>
    </xdr:from>
    <xdr:to>
      <xdr:col>1</xdr:col>
      <xdr:colOff>529641</xdr:colOff>
      <xdr:row>13</xdr:row>
      <xdr:rowOff>603250</xdr:rowOff>
    </xdr:to>
    <xdr:sp macro="" textlink="">
      <xdr:nvSpPr>
        <xdr:cNvPr id="13" name="Rectangle 12">
          <a:hlinkClick xmlns:r="http://schemas.openxmlformats.org/officeDocument/2006/relationships" r:id="rId8" tooltip="Risks and Issues"/>
          <a:extLst>
            <a:ext uri="{FF2B5EF4-FFF2-40B4-BE49-F238E27FC236}">
              <a16:creationId xmlns:a16="http://schemas.microsoft.com/office/drawing/2014/main" id="{32B3674A-C761-4030-9A23-1EEFFCBA9DC3}"/>
            </a:ext>
          </a:extLst>
        </xdr:cNvPr>
        <xdr:cNvSpPr/>
      </xdr:nvSpPr>
      <xdr:spPr>
        <a:xfrm>
          <a:off x="0" y="2628900"/>
          <a:ext cx="1170991" cy="28575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 Cost</a:t>
          </a:r>
        </a:p>
      </xdr:txBody>
    </xdr:sp>
    <xdr:clientData/>
  </xdr:twoCellAnchor>
  <xdr:twoCellAnchor>
    <xdr:from>
      <xdr:col>0</xdr:col>
      <xdr:colOff>0</xdr:colOff>
      <xdr:row>13</xdr:row>
      <xdr:rowOff>654050</xdr:rowOff>
    </xdr:from>
    <xdr:to>
      <xdr:col>1</xdr:col>
      <xdr:colOff>529641</xdr:colOff>
      <xdr:row>13</xdr:row>
      <xdr:rowOff>977900</xdr:rowOff>
    </xdr:to>
    <xdr:sp macro="" textlink="">
      <xdr:nvSpPr>
        <xdr:cNvPr id="14" name="Rectangle 13">
          <a:hlinkClick xmlns:r="http://schemas.openxmlformats.org/officeDocument/2006/relationships" r:id="rId9" tooltip="Risks and Issues"/>
          <a:extLst>
            <a:ext uri="{FF2B5EF4-FFF2-40B4-BE49-F238E27FC236}">
              <a16:creationId xmlns:a16="http://schemas.microsoft.com/office/drawing/2014/main" id="{7BD7EBC9-3A86-485E-8208-7F34CE649DFE}"/>
            </a:ext>
          </a:extLst>
        </xdr:cNvPr>
        <xdr:cNvSpPr/>
      </xdr:nvSpPr>
      <xdr:spPr>
        <a:xfrm>
          <a:off x="0" y="2965450"/>
          <a:ext cx="1170991" cy="32385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0</xdr:colOff>
      <xdr:row>13</xdr:row>
      <xdr:rowOff>990600</xdr:rowOff>
    </xdr:from>
    <xdr:to>
      <xdr:col>1</xdr:col>
      <xdr:colOff>529641</xdr:colOff>
      <xdr:row>15</xdr:row>
      <xdr:rowOff>57150</xdr:rowOff>
    </xdr:to>
    <xdr:sp macro="" textlink="">
      <xdr:nvSpPr>
        <xdr:cNvPr id="15" name="Rectangle 14">
          <a:hlinkClick xmlns:r="http://schemas.openxmlformats.org/officeDocument/2006/relationships" r:id="rId10" tooltip="Risks and Issues"/>
          <a:extLst>
            <a:ext uri="{FF2B5EF4-FFF2-40B4-BE49-F238E27FC236}">
              <a16:creationId xmlns:a16="http://schemas.microsoft.com/office/drawing/2014/main" id="{1099AB54-4369-44FC-951C-620DCB774B22}"/>
            </a:ext>
          </a:extLst>
        </xdr:cNvPr>
        <xdr:cNvSpPr/>
      </xdr:nvSpPr>
      <xdr:spPr>
        <a:xfrm>
          <a:off x="0" y="3302000"/>
          <a:ext cx="1170991" cy="27305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19050</xdr:colOff>
      <xdr:row>15</xdr:row>
      <xdr:rowOff>139700</xdr:rowOff>
    </xdr:from>
    <xdr:to>
      <xdr:col>1</xdr:col>
      <xdr:colOff>548691</xdr:colOff>
      <xdr:row>16</xdr:row>
      <xdr:rowOff>75798</xdr:rowOff>
    </xdr:to>
    <xdr:sp macro="" textlink="">
      <xdr:nvSpPr>
        <xdr:cNvPr id="16" name="Rectangle 15">
          <a:hlinkClick xmlns:r="http://schemas.openxmlformats.org/officeDocument/2006/relationships" r:id="rId11" tooltip="Risks and Issues"/>
          <a:extLst>
            <a:ext uri="{FF2B5EF4-FFF2-40B4-BE49-F238E27FC236}">
              <a16:creationId xmlns:a16="http://schemas.microsoft.com/office/drawing/2014/main" id="{9B68A9B1-BD12-4EF1-BF23-139055F210E6}"/>
            </a:ext>
          </a:extLst>
        </xdr:cNvPr>
        <xdr:cNvSpPr/>
      </xdr:nvSpPr>
      <xdr:spPr>
        <a:xfrm>
          <a:off x="19050" y="3657600"/>
          <a:ext cx="1170991" cy="2535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7</xdr:col>
      <xdr:colOff>2748643</xdr:colOff>
      <xdr:row>30</xdr:row>
      <xdr:rowOff>-1</xdr:rowOff>
    </xdr:from>
    <xdr:to>
      <xdr:col>8</xdr:col>
      <xdr:colOff>0</xdr:colOff>
      <xdr:row>34</xdr:row>
      <xdr:rowOff>0</xdr:rowOff>
    </xdr:to>
    <xdr:sp macro="[0]!Step2Next" textlink="">
      <xdr:nvSpPr>
        <xdr:cNvPr id="17" name="Arrow: Right 16">
          <a:extLst>
            <a:ext uri="{FF2B5EF4-FFF2-40B4-BE49-F238E27FC236}">
              <a16:creationId xmlns:a16="http://schemas.microsoft.com/office/drawing/2014/main" id="{B28814C3-5139-4C25-B286-6EC3D03A6D24}"/>
            </a:ext>
          </a:extLst>
        </xdr:cNvPr>
        <xdr:cNvSpPr/>
      </xdr:nvSpPr>
      <xdr:spPr>
        <a:xfrm>
          <a:off x="13761357" y="7737928"/>
          <a:ext cx="1016000" cy="725715"/>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Next</a:t>
          </a:r>
        </a:p>
      </xdr:txBody>
    </xdr:sp>
    <xdr:clientData/>
  </xdr:twoCellAnchor>
  <xdr:twoCellAnchor>
    <xdr:from>
      <xdr:col>2</xdr:col>
      <xdr:colOff>546553</xdr:colOff>
      <xdr:row>30</xdr:row>
      <xdr:rowOff>0</xdr:rowOff>
    </xdr:from>
    <xdr:to>
      <xdr:col>3</xdr:col>
      <xdr:colOff>911010</xdr:colOff>
      <xdr:row>34</xdr:row>
      <xdr:rowOff>0</xdr:rowOff>
    </xdr:to>
    <xdr:sp macro="[0]!Step2Back" textlink="">
      <xdr:nvSpPr>
        <xdr:cNvPr id="18" name="Arrow: Left 17">
          <a:extLst>
            <a:ext uri="{FF2B5EF4-FFF2-40B4-BE49-F238E27FC236}">
              <a16:creationId xmlns:a16="http://schemas.microsoft.com/office/drawing/2014/main" id="{787D405F-DB47-484A-992A-20E3B7821F18}"/>
            </a:ext>
          </a:extLst>
        </xdr:cNvPr>
        <xdr:cNvSpPr/>
      </xdr:nvSpPr>
      <xdr:spPr>
        <a:xfrm>
          <a:off x="1834696" y="7737929"/>
          <a:ext cx="1008528" cy="725714"/>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9</xdr:col>
      <xdr:colOff>77321</xdr:colOff>
      <xdr:row>17</xdr:row>
      <xdr:rowOff>132975</xdr:rowOff>
    </xdr:to>
    <xdr:grpSp>
      <xdr:nvGrpSpPr>
        <xdr:cNvPr id="2" name="Group 1">
          <a:extLst>
            <a:ext uri="{FF2B5EF4-FFF2-40B4-BE49-F238E27FC236}">
              <a16:creationId xmlns:a16="http://schemas.microsoft.com/office/drawing/2014/main" id="{26CEF573-B344-41D7-9BF7-6D996EA0F1FC}"/>
            </a:ext>
          </a:extLst>
        </xdr:cNvPr>
        <xdr:cNvGrpSpPr/>
      </xdr:nvGrpSpPr>
      <xdr:grpSpPr>
        <a:xfrm>
          <a:off x="0" y="0"/>
          <a:ext cx="13905380" cy="5541681"/>
          <a:chOff x="0" y="0"/>
          <a:chExt cx="14653315" cy="5795347"/>
        </a:xfrm>
      </xdr:grpSpPr>
      <xdr:sp macro="" textlink="">
        <xdr:nvSpPr>
          <xdr:cNvPr id="3" name="Rectangle 2">
            <a:extLst>
              <a:ext uri="{FF2B5EF4-FFF2-40B4-BE49-F238E27FC236}">
                <a16:creationId xmlns:a16="http://schemas.microsoft.com/office/drawing/2014/main" id="{CDC80AE0-E890-BA86-E15B-AF5B4E654929}"/>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extLst>
              <a:ext uri="{FF2B5EF4-FFF2-40B4-BE49-F238E27FC236}">
                <a16:creationId xmlns:a16="http://schemas.microsoft.com/office/drawing/2014/main" id="{8B483C8C-B3F2-B270-6253-C73B9C0C20F2}"/>
              </a:ext>
            </a:extLst>
          </xdr:cNvPr>
          <xdr:cNvSpPr/>
        </xdr:nvSpPr>
        <xdr:spPr>
          <a:xfrm>
            <a:off x="0" y="381449"/>
            <a:ext cx="1198238" cy="5413898"/>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hlinkClick xmlns:r="http://schemas.openxmlformats.org/officeDocument/2006/relationships" r:id="rId1"/>
            <a:extLst>
              <a:ext uri="{FF2B5EF4-FFF2-40B4-BE49-F238E27FC236}">
                <a16:creationId xmlns:a16="http://schemas.microsoft.com/office/drawing/2014/main" id="{6BF350B1-3279-30B3-5CB4-063B35D9720D}"/>
              </a:ext>
            </a:extLst>
          </xdr:cNvPr>
          <xdr:cNvSpPr/>
        </xdr:nvSpPr>
        <xdr:spPr>
          <a:xfrm>
            <a:off x="0" y="449981"/>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6" name="Rectangle 5">
            <a:hlinkClick xmlns:r="http://schemas.openxmlformats.org/officeDocument/2006/relationships" r:id="rId2" tooltip="Gantt View"/>
            <a:extLst>
              <a:ext uri="{FF2B5EF4-FFF2-40B4-BE49-F238E27FC236}">
                <a16:creationId xmlns:a16="http://schemas.microsoft.com/office/drawing/2014/main" id="{86706964-7A0D-9C30-E5D2-3CE55DC00190}"/>
              </a:ext>
            </a:extLst>
          </xdr:cNvPr>
          <xdr:cNvSpPr/>
        </xdr:nvSpPr>
        <xdr:spPr>
          <a:xfrm>
            <a:off x="0" y="767829"/>
            <a:ext cx="1358896"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sp macro="" textlink="">
        <xdr:nvSpPr>
          <xdr:cNvPr id="7" name="Rectangle 6">
            <a:hlinkClick xmlns:r="http://schemas.openxmlformats.org/officeDocument/2006/relationships" r:id="rId3" tooltip="Resource View"/>
            <a:extLst>
              <a:ext uri="{FF2B5EF4-FFF2-40B4-BE49-F238E27FC236}">
                <a16:creationId xmlns:a16="http://schemas.microsoft.com/office/drawing/2014/main" id="{A7A4E290-0D3F-2647-9EF4-C5825B4BBDB0}"/>
              </a:ext>
            </a:extLst>
          </xdr:cNvPr>
          <xdr:cNvSpPr/>
        </xdr:nvSpPr>
        <xdr:spPr>
          <a:xfrm>
            <a:off x="0" y="1045552"/>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1</a:t>
            </a:r>
          </a:p>
        </xdr:txBody>
      </xdr:sp>
      <xdr:sp macro="" textlink="">
        <xdr:nvSpPr>
          <xdr:cNvPr id="8" name="Rectangle 7">
            <a:hlinkClick xmlns:r="http://schemas.openxmlformats.org/officeDocument/2006/relationships" r:id="rId4" tooltip="Timeline View"/>
            <a:extLst>
              <a:ext uri="{FF2B5EF4-FFF2-40B4-BE49-F238E27FC236}">
                <a16:creationId xmlns:a16="http://schemas.microsoft.com/office/drawing/2014/main" id="{6B5F6BD3-C787-68A4-D5C6-1D1039CDD38E}"/>
              </a:ext>
            </a:extLst>
          </xdr:cNvPr>
          <xdr:cNvSpPr/>
        </xdr:nvSpPr>
        <xdr:spPr>
          <a:xfrm>
            <a:off x="0" y="1360067"/>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2</a:t>
            </a:r>
          </a:p>
        </xdr:txBody>
      </xdr:sp>
      <xdr:sp macro="" textlink="">
        <xdr:nvSpPr>
          <xdr:cNvPr id="9" name="Rectangle 8">
            <a:hlinkClick xmlns:r="http://schemas.openxmlformats.org/officeDocument/2006/relationships" r:id="rId5" tooltip="Heatmap View"/>
            <a:extLst>
              <a:ext uri="{FF2B5EF4-FFF2-40B4-BE49-F238E27FC236}">
                <a16:creationId xmlns:a16="http://schemas.microsoft.com/office/drawing/2014/main" id="{5F756586-D3F7-03ED-8981-26EE5AD807CF}"/>
              </a:ext>
            </a:extLst>
          </xdr:cNvPr>
          <xdr:cNvSpPr/>
        </xdr:nvSpPr>
        <xdr:spPr>
          <a:xfrm>
            <a:off x="0" y="1701351"/>
            <a:ext cx="1234440" cy="252728"/>
          </a:xfrm>
          <a:prstGeom prst="rect">
            <a:avLst/>
          </a:prstGeom>
          <a:solidFill>
            <a:schemeClr val="accent4"/>
          </a:solidFill>
        </xdr:spPr>
        <xdr:txBody>
          <a:bodyPr wrap="square" lIns="91440" tIns="45720" rIns="91440" bIns="45720" anchor="ctr">
            <a:spAutoFit/>
          </a:bodyPr>
          <a:lstStyle/>
          <a:p>
            <a:pPr marL="0" indent="0" algn="l"/>
            <a:r>
              <a:rPr lang="en-US" sz="1000" b="0" cap="none" spc="0">
                <a:ln w="0"/>
                <a:solidFill>
                  <a:schemeClr val="tx1"/>
                </a:solidFill>
                <a:effectLst/>
                <a:latin typeface="Arial" panose="020B0604020202020204" pitchFamily="34" charset="0"/>
                <a:ea typeface="+mn-ea"/>
                <a:cs typeface="Arial" panose="020B0604020202020204" pitchFamily="34" charset="0"/>
              </a:rPr>
              <a:t>Step 3</a:t>
            </a:r>
          </a:p>
        </xdr:txBody>
      </xdr:sp>
      <xdr:sp macro="" textlink="">
        <xdr:nvSpPr>
          <xdr:cNvPr id="10" name="Rectangle 9">
            <a:hlinkClick xmlns:r="http://schemas.openxmlformats.org/officeDocument/2006/relationships" r:id="rId6" tooltip="Risks and Issues"/>
            <a:extLst>
              <a:ext uri="{FF2B5EF4-FFF2-40B4-BE49-F238E27FC236}">
                <a16:creationId xmlns:a16="http://schemas.microsoft.com/office/drawing/2014/main" id="{1F9C5133-61FC-2AAE-82B9-AC2DB2381376}"/>
              </a:ext>
            </a:extLst>
          </xdr:cNvPr>
          <xdr:cNvSpPr/>
        </xdr:nvSpPr>
        <xdr:spPr>
          <a:xfrm>
            <a:off x="0" y="2045406"/>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4</a:t>
            </a:r>
          </a:p>
        </xdr:txBody>
      </xdr:sp>
    </xdr:grpSp>
    <xdr:clientData/>
  </xdr:twoCellAnchor>
  <xdr:twoCellAnchor editAs="absolute">
    <xdr:from>
      <xdr:col>3</xdr:col>
      <xdr:colOff>585321</xdr:colOff>
      <xdr:row>0</xdr:row>
      <xdr:rowOff>44450</xdr:rowOff>
    </xdr:from>
    <xdr:to>
      <xdr:col>5</xdr:col>
      <xdr:colOff>1292225</xdr:colOff>
      <xdr:row>2</xdr:row>
      <xdr:rowOff>18936</xdr:rowOff>
    </xdr:to>
    <xdr:sp macro="" textlink="">
      <xdr:nvSpPr>
        <xdr:cNvPr id="11" name="Rectangle 10">
          <a:extLst>
            <a:ext uri="{FF2B5EF4-FFF2-40B4-BE49-F238E27FC236}">
              <a16:creationId xmlns:a16="http://schemas.microsoft.com/office/drawing/2014/main" id="{80ED67BB-2DD8-4E5D-ACAE-0317E2197CE1}"/>
            </a:ext>
          </a:extLst>
        </xdr:cNvPr>
        <xdr:cNvSpPr/>
      </xdr:nvSpPr>
      <xdr:spPr>
        <a:xfrm>
          <a:off x="2578100" y="44450"/>
          <a:ext cx="648652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9</xdr:row>
      <xdr:rowOff>298450</xdr:rowOff>
    </xdr:from>
    <xdr:to>
      <xdr:col>1</xdr:col>
      <xdr:colOff>529641</xdr:colOff>
      <xdr:row>10</xdr:row>
      <xdr:rowOff>215498</xdr:rowOff>
    </xdr:to>
    <xdr:sp macro="" textlink="">
      <xdr:nvSpPr>
        <xdr:cNvPr id="12" name="Rectangle 11">
          <a:hlinkClick xmlns:r="http://schemas.openxmlformats.org/officeDocument/2006/relationships" r:id="rId7" tooltip="Risks and Issues"/>
          <a:extLst>
            <a:ext uri="{FF2B5EF4-FFF2-40B4-BE49-F238E27FC236}">
              <a16:creationId xmlns:a16="http://schemas.microsoft.com/office/drawing/2014/main" id="{BC04EB34-2891-43C4-9728-3CFACA55E895}"/>
            </a:ext>
          </a:extLst>
        </xdr:cNvPr>
        <xdr:cNvSpPr/>
      </xdr:nvSpPr>
      <xdr:spPr>
        <a:xfrm>
          <a:off x="0" y="230505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0</xdr:colOff>
      <xdr:row>10</xdr:row>
      <xdr:rowOff>292100</xdr:rowOff>
    </xdr:from>
    <xdr:to>
      <xdr:col>1</xdr:col>
      <xdr:colOff>529641</xdr:colOff>
      <xdr:row>11</xdr:row>
      <xdr:rowOff>221848</xdr:rowOff>
    </xdr:to>
    <xdr:sp macro="" textlink="">
      <xdr:nvSpPr>
        <xdr:cNvPr id="13" name="Rectangle 12">
          <a:hlinkClick xmlns:r="http://schemas.openxmlformats.org/officeDocument/2006/relationships" r:id="rId8" tooltip="Risks and Issues"/>
          <a:extLst>
            <a:ext uri="{FF2B5EF4-FFF2-40B4-BE49-F238E27FC236}">
              <a16:creationId xmlns:a16="http://schemas.microsoft.com/office/drawing/2014/main" id="{463C20A3-593E-45FF-A73B-3F3EF9D0A0FE}"/>
            </a:ext>
          </a:extLst>
        </xdr:cNvPr>
        <xdr:cNvSpPr/>
      </xdr:nvSpPr>
      <xdr:spPr>
        <a:xfrm>
          <a:off x="0" y="2616200"/>
          <a:ext cx="1170991" cy="2472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 Cost</a:t>
          </a:r>
        </a:p>
      </xdr:txBody>
    </xdr:sp>
    <xdr:clientData/>
  </xdr:twoCellAnchor>
  <xdr:twoCellAnchor>
    <xdr:from>
      <xdr:col>0</xdr:col>
      <xdr:colOff>0</xdr:colOff>
      <xdr:row>11</xdr:row>
      <xdr:rowOff>279400</xdr:rowOff>
    </xdr:from>
    <xdr:to>
      <xdr:col>1</xdr:col>
      <xdr:colOff>529641</xdr:colOff>
      <xdr:row>12</xdr:row>
      <xdr:rowOff>221848</xdr:rowOff>
    </xdr:to>
    <xdr:sp macro="" textlink="">
      <xdr:nvSpPr>
        <xdr:cNvPr id="14" name="Rectangle 13">
          <a:hlinkClick xmlns:r="http://schemas.openxmlformats.org/officeDocument/2006/relationships" r:id="rId9" tooltip="Risks and Issues"/>
          <a:extLst>
            <a:ext uri="{FF2B5EF4-FFF2-40B4-BE49-F238E27FC236}">
              <a16:creationId xmlns:a16="http://schemas.microsoft.com/office/drawing/2014/main" id="{216620DF-3D15-46F1-BA24-8C0B153440B2}"/>
            </a:ext>
          </a:extLst>
        </xdr:cNvPr>
        <xdr:cNvSpPr/>
      </xdr:nvSpPr>
      <xdr:spPr>
        <a:xfrm>
          <a:off x="0" y="2921000"/>
          <a:ext cx="1170991" cy="2599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0</xdr:colOff>
      <xdr:row>12</xdr:row>
      <xdr:rowOff>266700</xdr:rowOff>
    </xdr:from>
    <xdr:to>
      <xdr:col>1</xdr:col>
      <xdr:colOff>529641</xdr:colOff>
      <xdr:row>13</xdr:row>
      <xdr:rowOff>196448</xdr:rowOff>
    </xdr:to>
    <xdr:sp macro="" textlink="">
      <xdr:nvSpPr>
        <xdr:cNvPr id="15" name="Rectangle 14">
          <a:hlinkClick xmlns:r="http://schemas.openxmlformats.org/officeDocument/2006/relationships" r:id="rId10" tooltip="Risks and Issues"/>
          <a:extLst>
            <a:ext uri="{FF2B5EF4-FFF2-40B4-BE49-F238E27FC236}">
              <a16:creationId xmlns:a16="http://schemas.microsoft.com/office/drawing/2014/main" id="{908A47BA-D44A-489E-B77B-7568E2E36B5C}"/>
            </a:ext>
          </a:extLst>
        </xdr:cNvPr>
        <xdr:cNvSpPr/>
      </xdr:nvSpPr>
      <xdr:spPr>
        <a:xfrm>
          <a:off x="0" y="3225800"/>
          <a:ext cx="1170991" cy="2472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13</xdr:row>
      <xdr:rowOff>279400</xdr:rowOff>
    </xdr:from>
    <xdr:to>
      <xdr:col>1</xdr:col>
      <xdr:colOff>529641</xdr:colOff>
      <xdr:row>15</xdr:row>
      <xdr:rowOff>24998</xdr:rowOff>
    </xdr:to>
    <xdr:sp macro="" textlink="">
      <xdr:nvSpPr>
        <xdr:cNvPr id="16" name="Rectangle 15">
          <a:hlinkClick xmlns:r="http://schemas.openxmlformats.org/officeDocument/2006/relationships" r:id="rId11" tooltip="Risks and Issues"/>
          <a:extLst>
            <a:ext uri="{FF2B5EF4-FFF2-40B4-BE49-F238E27FC236}">
              <a16:creationId xmlns:a16="http://schemas.microsoft.com/office/drawing/2014/main" id="{905669AA-5F84-47B7-A29B-2A4DFCCED840}"/>
            </a:ext>
          </a:extLst>
        </xdr:cNvPr>
        <xdr:cNvSpPr/>
      </xdr:nvSpPr>
      <xdr:spPr>
        <a:xfrm>
          <a:off x="0" y="3556000"/>
          <a:ext cx="1170991" cy="2472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editAs="absolute">
    <xdr:from>
      <xdr:col>0</xdr:col>
      <xdr:colOff>52294</xdr:colOff>
      <xdr:row>0</xdr:row>
      <xdr:rowOff>14941</xdr:rowOff>
    </xdr:from>
    <xdr:to>
      <xdr:col>9</xdr:col>
      <xdr:colOff>135965</xdr:colOff>
      <xdr:row>17</xdr:row>
      <xdr:rowOff>147916</xdr:rowOff>
    </xdr:to>
    <xdr:grpSp>
      <xdr:nvGrpSpPr>
        <xdr:cNvPr id="18" name="Group 17">
          <a:extLst>
            <a:ext uri="{FF2B5EF4-FFF2-40B4-BE49-F238E27FC236}">
              <a16:creationId xmlns:a16="http://schemas.microsoft.com/office/drawing/2014/main" id="{554B1858-0B22-8092-C26A-DE490D77F6AF}"/>
            </a:ext>
          </a:extLst>
        </xdr:cNvPr>
        <xdr:cNvGrpSpPr/>
      </xdr:nvGrpSpPr>
      <xdr:grpSpPr>
        <a:xfrm>
          <a:off x="52294" y="14941"/>
          <a:ext cx="13911730" cy="5541681"/>
          <a:chOff x="-6694" y="0"/>
          <a:chExt cx="14660009" cy="5795347"/>
        </a:xfrm>
      </xdr:grpSpPr>
      <xdr:sp macro="" textlink="">
        <xdr:nvSpPr>
          <xdr:cNvPr id="19" name="Rectangle 18">
            <a:extLst>
              <a:ext uri="{FF2B5EF4-FFF2-40B4-BE49-F238E27FC236}">
                <a16:creationId xmlns:a16="http://schemas.microsoft.com/office/drawing/2014/main" id="{709FB863-C13F-829B-C716-08AFB57FD2D3}"/>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Rectangle 19">
            <a:extLst>
              <a:ext uri="{FF2B5EF4-FFF2-40B4-BE49-F238E27FC236}">
                <a16:creationId xmlns:a16="http://schemas.microsoft.com/office/drawing/2014/main" id="{912679EA-6A81-462B-EF83-8C9FE58C8A85}"/>
              </a:ext>
            </a:extLst>
          </xdr:cNvPr>
          <xdr:cNvSpPr/>
        </xdr:nvSpPr>
        <xdr:spPr>
          <a:xfrm>
            <a:off x="0" y="381449"/>
            <a:ext cx="1352202" cy="5413898"/>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Rectangle 20">
            <a:hlinkClick xmlns:r="http://schemas.openxmlformats.org/officeDocument/2006/relationships" r:id="rId1"/>
            <a:extLst>
              <a:ext uri="{FF2B5EF4-FFF2-40B4-BE49-F238E27FC236}">
                <a16:creationId xmlns:a16="http://schemas.microsoft.com/office/drawing/2014/main" id="{978539EC-4DB1-6B03-CB3B-2978D2C97506}"/>
              </a:ext>
            </a:extLst>
          </xdr:cNvPr>
          <xdr:cNvSpPr/>
        </xdr:nvSpPr>
        <xdr:spPr>
          <a:xfrm>
            <a:off x="-6694" y="483442"/>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22" name="Rectangle 21">
            <a:hlinkClick xmlns:r="http://schemas.openxmlformats.org/officeDocument/2006/relationships" r:id="rId2" tooltip="Gantt View"/>
            <a:extLst>
              <a:ext uri="{FF2B5EF4-FFF2-40B4-BE49-F238E27FC236}">
                <a16:creationId xmlns:a16="http://schemas.microsoft.com/office/drawing/2014/main" id="{C0DDF327-04CD-CA38-1BE2-D47F5CF29C2A}"/>
              </a:ext>
            </a:extLst>
          </xdr:cNvPr>
          <xdr:cNvSpPr/>
        </xdr:nvSpPr>
        <xdr:spPr>
          <a:xfrm>
            <a:off x="0" y="767829"/>
            <a:ext cx="1358896"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sp macro="" textlink="">
        <xdr:nvSpPr>
          <xdr:cNvPr id="23" name="Rectangle 22">
            <a:hlinkClick xmlns:r="http://schemas.openxmlformats.org/officeDocument/2006/relationships" r:id="rId3" tooltip="Resource View"/>
            <a:extLst>
              <a:ext uri="{FF2B5EF4-FFF2-40B4-BE49-F238E27FC236}">
                <a16:creationId xmlns:a16="http://schemas.microsoft.com/office/drawing/2014/main" id="{9D3C17A1-C0F4-EFA6-E7FB-0562D421C1CA}"/>
              </a:ext>
            </a:extLst>
          </xdr:cNvPr>
          <xdr:cNvSpPr/>
        </xdr:nvSpPr>
        <xdr:spPr>
          <a:xfrm>
            <a:off x="0" y="1045552"/>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1</a:t>
            </a:r>
          </a:p>
        </xdr:txBody>
      </xdr:sp>
      <xdr:sp macro="" textlink="">
        <xdr:nvSpPr>
          <xdr:cNvPr id="24" name="Rectangle 23">
            <a:hlinkClick xmlns:r="http://schemas.openxmlformats.org/officeDocument/2006/relationships" r:id="rId4" tooltip="Timeline View"/>
            <a:extLst>
              <a:ext uri="{FF2B5EF4-FFF2-40B4-BE49-F238E27FC236}">
                <a16:creationId xmlns:a16="http://schemas.microsoft.com/office/drawing/2014/main" id="{9B7FA1A0-EFAE-03F1-2173-78A7AF33C3E3}"/>
              </a:ext>
            </a:extLst>
          </xdr:cNvPr>
          <xdr:cNvSpPr/>
        </xdr:nvSpPr>
        <xdr:spPr>
          <a:xfrm>
            <a:off x="0" y="1360067"/>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2</a:t>
            </a:r>
          </a:p>
        </xdr:txBody>
      </xdr:sp>
      <xdr:sp macro="" textlink="">
        <xdr:nvSpPr>
          <xdr:cNvPr id="25" name="Rectangle 24">
            <a:hlinkClick xmlns:r="http://schemas.openxmlformats.org/officeDocument/2006/relationships" r:id="rId5" tooltip="Heatmap View"/>
            <a:extLst>
              <a:ext uri="{FF2B5EF4-FFF2-40B4-BE49-F238E27FC236}">
                <a16:creationId xmlns:a16="http://schemas.microsoft.com/office/drawing/2014/main" id="{52218CC0-1635-8D9C-E72A-4FE66C350DC2}"/>
              </a:ext>
            </a:extLst>
          </xdr:cNvPr>
          <xdr:cNvSpPr/>
        </xdr:nvSpPr>
        <xdr:spPr>
          <a:xfrm>
            <a:off x="0" y="1701351"/>
            <a:ext cx="1234440" cy="252728"/>
          </a:xfrm>
          <a:prstGeom prst="rect">
            <a:avLst/>
          </a:prstGeom>
          <a:solidFill>
            <a:schemeClr val="accent4"/>
          </a:solidFill>
        </xdr:spPr>
        <xdr:txBody>
          <a:bodyPr wrap="square" lIns="91440" tIns="45720" rIns="91440" bIns="45720" anchor="ctr">
            <a:spAutoFit/>
          </a:bodyPr>
          <a:lstStyle/>
          <a:p>
            <a:pPr marL="0" indent="0" algn="l"/>
            <a:r>
              <a:rPr lang="en-US" sz="1000" b="0" cap="none" spc="0">
                <a:ln w="0"/>
                <a:solidFill>
                  <a:schemeClr val="tx1"/>
                </a:solidFill>
                <a:effectLst/>
                <a:latin typeface="Arial" panose="020B0604020202020204" pitchFamily="34" charset="0"/>
                <a:ea typeface="+mn-ea"/>
                <a:cs typeface="Arial" panose="020B0604020202020204" pitchFamily="34" charset="0"/>
              </a:rPr>
              <a:t>Step 3</a:t>
            </a:r>
          </a:p>
        </xdr:txBody>
      </xdr:sp>
      <xdr:sp macro="" textlink="">
        <xdr:nvSpPr>
          <xdr:cNvPr id="26" name="Rectangle 25">
            <a:hlinkClick xmlns:r="http://schemas.openxmlformats.org/officeDocument/2006/relationships" r:id="rId6" tooltip="Risks and Issues"/>
            <a:extLst>
              <a:ext uri="{FF2B5EF4-FFF2-40B4-BE49-F238E27FC236}">
                <a16:creationId xmlns:a16="http://schemas.microsoft.com/office/drawing/2014/main" id="{24FC9F2F-6092-EFD7-35B0-2CF9928CE2F8}"/>
              </a:ext>
            </a:extLst>
          </xdr:cNvPr>
          <xdr:cNvSpPr/>
        </xdr:nvSpPr>
        <xdr:spPr>
          <a:xfrm>
            <a:off x="0" y="2045406"/>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4</a:t>
            </a:r>
          </a:p>
        </xdr:txBody>
      </xdr:sp>
    </xdr:grpSp>
    <xdr:clientData/>
  </xdr:twoCellAnchor>
  <xdr:twoCellAnchor>
    <xdr:from>
      <xdr:col>0</xdr:col>
      <xdr:colOff>0</xdr:colOff>
      <xdr:row>7</xdr:row>
      <xdr:rowOff>285750</xdr:rowOff>
    </xdr:from>
    <xdr:to>
      <xdr:col>1</xdr:col>
      <xdr:colOff>529641</xdr:colOff>
      <xdr:row>7</xdr:row>
      <xdr:rowOff>552450</xdr:rowOff>
    </xdr:to>
    <xdr:sp macro="" textlink="">
      <xdr:nvSpPr>
        <xdr:cNvPr id="27" name="Rectangle 26">
          <a:hlinkClick xmlns:r="http://schemas.openxmlformats.org/officeDocument/2006/relationships" r:id="rId7" tooltip="Risks and Issues"/>
          <a:extLst>
            <a:ext uri="{FF2B5EF4-FFF2-40B4-BE49-F238E27FC236}">
              <a16:creationId xmlns:a16="http://schemas.microsoft.com/office/drawing/2014/main" id="{F760D0D4-4844-48D6-9F10-D411D3E26368}"/>
            </a:ext>
          </a:extLst>
        </xdr:cNvPr>
        <xdr:cNvSpPr/>
      </xdr:nvSpPr>
      <xdr:spPr>
        <a:xfrm>
          <a:off x="0" y="2292350"/>
          <a:ext cx="1170991" cy="26670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0</xdr:colOff>
      <xdr:row>8</xdr:row>
      <xdr:rowOff>12700</xdr:rowOff>
    </xdr:from>
    <xdr:to>
      <xdr:col>1</xdr:col>
      <xdr:colOff>529641</xdr:colOff>
      <xdr:row>9</xdr:row>
      <xdr:rowOff>120650</xdr:rowOff>
    </xdr:to>
    <xdr:sp macro="" textlink="">
      <xdr:nvSpPr>
        <xdr:cNvPr id="28" name="Rectangle 27">
          <a:hlinkClick xmlns:r="http://schemas.openxmlformats.org/officeDocument/2006/relationships" r:id="rId8" tooltip="Risks and Issues"/>
          <a:extLst>
            <a:ext uri="{FF2B5EF4-FFF2-40B4-BE49-F238E27FC236}">
              <a16:creationId xmlns:a16="http://schemas.microsoft.com/office/drawing/2014/main" id="{71D53C98-CB8C-48A4-956E-6A91FA612632}"/>
            </a:ext>
          </a:extLst>
        </xdr:cNvPr>
        <xdr:cNvSpPr/>
      </xdr:nvSpPr>
      <xdr:spPr>
        <a:xfrm>
          <a:off x="0" y="2654300"/>
          <a:ext cx="1170991" cy="28575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 Cost</a:t>
          </a:r>
        </a:p>
      </xdr:txBody>
    </xdr:sp>
    <xdr:clientData/>
  </xdr:twoCellAnchor>
  <xdr:twoCellAnchor>
    <xdr:from>
      <xdr:col>0</xdr:col>
      <xdr:colOff>0</xdr:colOff>
      <xdr:row>9</xdr:row>
      <xdr:rowOff>171450</xdr:rowOff>
    </xdr:from>
    <xdr:to>
      <xdr:col>1</xdr:col>
      <xdr:colOff>529641</xdr:colOff>
      <xdr:row>10</xdr:row>
      <xdr:rowOff>177800</xdr:rowOff>
    </xdr:to>
    <xdr:sp macro="" textlink="">
      <xdr:nvSpPr>
        <xdr:cNvPr id="29" name="Rectangle 28">
          <a:hlinkClick xmlns:r="http://schemas.openxmlformats.org/officeDocument/2006/relationships" r:id="rId9" tooltip="Risks and Issues"/>
          <a:extLst>
            <a:ext uri="{FF2B5EF4-FFF2-40B4-BE49-F238E27FC236}">
              <a16:creationId xmlns:a16="http://schemas.microsoft.com/office/drawing/2014/main" id="{8F2D9A12-DB08-481A-842B-21C0495F6CAD}"/>
            </a:ext>
          </a:extLst>
        </xdr:cNvPr>
        <xdr:cNvSpPr/>
      </xdr:nvSpPr>
      <xdr:spPr>
        <a:xfrm>
          <a:off x="0" y="2990850"/>
          <a:ext cx="1170991" cy="32385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0</xdr:colOff>
      <xdr:row>10</xdr:row>
      <xdr:rowOff>190500</xdr:rowOff>
    </xdr:from>
    <xdr:to>
      <xdr:col>1</xdr:col>
      <xdr:colOff>529641</xdr:colOff>
      <xdr:row>11</xdr:row>
      <xdr:rowOff>146050</xdr:rowOff>
    </xdr:to>
    <xdr:sp macro="" textlink="">
      <xdr:nvSpPr>
        <xdr:cNvPr id="30" name="Rectangle 29">
          <a:hlinkClick xmlns:r="http://schemas.openxmlformats.org/officeDocument/2006/relationships" r:id="rId10" tooltip="Risks and Issues"/>
          <a:extLst>
            <a:ext uri="{FF2B5EF4-FFF2-40B4-BE49-F238E27FC236}">
              <a16:creationId xmlns:a16="http://schemas.microsoft.com/office/drawing/2014/main" id="{029DCCC1-016F-4201-AC2E-E7EA9FA42B65}"/>
            </a:ext>
          </a:extLst>
        </xdr:cNvPr>
        <xdr:cNvSpPr/>
      </xdr:nvSpPr>
      <xdr:spPr>
        <a:xfrm>
          <a:off x="0" y="3327400"/>
          <a:ext cx="1170991" cy="27305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19050</xdr:colOff>
      <xdr:row>11</xdr:row>
      <xdr:rowOff>228600</xdr:rowOff>
    </xdr:from>
    <xdr:to>
      <xdr:col>1</xdr:col>
      <xdr:colOff>548691</xdr:colOff>
      <xdr:row>12</xdr:row>
      <xdr:rowOff>164698</xdr:rowOff>
    </xdr:to>
    <xdr:sp macro="" textlink="">
      <xdr:nvSpPr>
        <xdr:cNvPr id="31" name="Rectangle 30">
          <a:hlinkClick xmlns:r="http://schemas.openxmlformats.org/officeDocument/2006/relationships" r:id="rId11" tooltip="Risks and Issues"/>
          <a:extLst>
            <a:ext uri="{FF2B5EF4-FFF2-40B4-BE49-F238E27FC236}">
              <a16:creationId xmlns:a16="http://schemas.microsoft.com/office/drawing/2014/main" id="{EF17EF18-81E8-4466-9443-10569B68517B}"/>
            </a:ext>
          </a:extLst>
        </xdr:cNvPr>
        <xdr:cNvSpPr/>
      </xdr:nvSpPr>
      <xdr:spPr>
        <a:xfrm>
          <a:off x="19050" y="3683000"/>
          <a:ext cx="1170991" cy="2535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5</xdr:col>
      <xdr:colOff>3115236</xdr:colOff>
      <xdr:row>120</xdr:row>
      <xdr:rowOff>22411</xdr:rowOff>
    </xdr:from>
    <xdr:to>
      <xdr:col>6</xdr:col>
      <xdr:colOff>0</xdr:colOff>
      <xdr:row>123</xdr:row>
      <xdr:rowOff>7471</xdr:rowOff>
    </xdr:to>
    <xdr:sp macro="[0]!Step3Next" textlink="">
      <xdr:nvSpPr>
        <xdr:cNvPr id="17" name="Arrow: Right 16">
          <a:extLst>
            <a:ext uri="{FF2B5EF4-FFF2-40B4-BE49-F238E27FC236}">
              <a16:creationId xmlns:a16="http://schemas.microsoft.com/office/drawing/2014/main" id="{4D7F884E-A550-42B1-9DD0-3D5B54DA3F10}"/>
            </a:ext>
          </a:extLst>
        </xdr:cNvPr>
        <xdr:cNvSpPr/>
      </xdr:nvSpPr>
      <xdr:spPr>
        <a:xfrm>
          <a:off x="10892118" y="31787352"/>
          <a:ext cx="1016000" cy="545354"/>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Next</a:t>
          </a:r>
        </a:p>
      </xdr:txBody>
    </xdr:sp>
    <xdr:clientData/>
  </xdr:twoCellAnchor>
  <xdr:twoCellAnchor>
    <xdr:from>
      <xdr:col>2</xdr:col>
      <xdr:colOff>306294</xdr:colOff>
      <xdr:row>120</xdr:row>
      <xdr:rowOff>14941</xdr:rowOff>
    </xdr:from>
    <xdr:to>
      <xdr:col>3</xdr:col>
      <xdr:colOff>933822</xdr:colOff>
      <xdr:row>123</xdr:row>
      <xdr:rowOff>0</xdr:rowOff>
    </xdr:to>
    <xdr:sp macro="[0]!StartUp.Step3Back" textlink="">
      <xdr:nvSpPr>
        <xdr:cNvPr id="32" name="Arrow: Left 31">
          <a:extLst>
            <a:ext uri="{FF2B5EF4-FFF2-40B4-BE49-F238E27FC236}">
              <a16:creationId xmlns:a16="http://schemas.microsoft.com/office/drawing/2014/main" id="{9275AE0B-E5B7-4391-BCEF-93DAD10FD7A9}"/>
            </a:ext>
          </a:extLst>
        </xdr:cNvPr>
        <xdr:cNvSpPr/>
      </xdr:nvSpPr>
      <xdr:spPr>
        <a:xfrm>
          <a:off x="1919941" y="31779882"/>
          <a:ext cx="1008528" cy="545353"/>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twoCellAnchor>
    <xdr:from>
      <xdr:col>0</xdr:col>
      <xdr:colOff>59767</xdr:colOff>
      <xdr:row>22</xdr:row>
      <xdr:rowOff>298825</xdr:rowOff>
    </xdr:from>
    <xdr:to>
      <xdr:col>1</xdr:col>
      <xdr:colOff>298824</xdr:colOff>
      <xdr:row>24</xdr:row>
      <xdr:rowOff>52296</xdr:rowOff>
    </xdr:to>
    <xdr:sp macro="[0]!ADDROWS" textlink="">
      <xdr:nvSpPr>
        <xdr:cNvPr id="33" name="Rectangle: Rounded Corners 32">
          <a:extLst>
            <a:ext uri="{FF2B5EF4-FFF2-40B4-BE49-F238E27FC236}">
              <a16:creationId xmlns:a16="http://schemas.microsoft.com/office/drawing/2014/main" id="{8829D89E-99DD-FFC8-9E6F-44B9FA5FFAEC}"/>
            </a:ext>
          </a:extLst>
        </xdr:cNvPr>
        <xdr:cNvSpPr/>
      </xdr:nvSpPr>
      <xdr:spPr>
        <a:xfrm>
          <a:off x="59767" y="7194178"/>
          <a:ext cx="881528"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Add Rows</a:t>
          </a:r>
        </a:p>
      </xdr:txBody>
    </xdr:sp>
    <xdr:clientData/>
  </xdr:twoCellAnchor>
  <xdr:twoCellAnchor>
    <xdr:from>
      <xdr:col>1</xdr:col>
      <xdr:colOff>373528</xdr:colOff>
      <xdr:row>23</xdr:row>
      <xdr:rowOff>0</xdr:rowOff>
    </xdr:from>
    <xdr:to>
      <xdr:col>2</xdr:col>
      <xdr:colOff>261469</xdr:colOff>
      <xdr:row>24</xdr:row>
      <xdr:rowOff>37353</xdr:rowOff>
    </xdr:to>
    <xdr:sp macro="[0]!DeleteRow" textlink="">
      <xdr:nvSpPr>
        <xdr:cNvPr id="34" name="Rectangle: Rounded Corners 33">
          <a:extLst>
            <a:ext uri="{FF2B5EF4-FFF2-40B4-BE49-F238E27FC236}">
              <a16:creationId xmlns:a16="http://schemas.microsoft.com/office/drawing/2014/main" id="{3F413CEB-9D89-D08C-3EA4-58CAD59349AF}"/>
            </a:ext>
          </a:extLst>
        </xdr:cNvPr>
        <xdr:cNvSpPr/>
      </xdr:nvSpPr>
      <xdr:spPr>
        <a:xfrm>
          <a:off x="1015999" y="7201647"/>
          <a:ext cx="859117" cy="35858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Delete row</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3</xdr:col>
      <xdr:colOff>654050</xdr:colOff>
      <xdr:row>0</xdr:row>
      <xdr:rowOff>44450</xdr:rowOff>
    </xdr:from>
    <xdr:to>
      <xdr:col>6</xdr:col>
      <xdr:colOff>35299</xdr:colOff>
      <xdr:row>3</xdr:row>
      <xdr:rowOff>6236</xdr:rowOff>
    </xdr:to>
    <xdr:sp macro="" textlink="">
      <xdr:nvSpPr>
        <xdr:cNvPr id="11" name="Rectangle 10">
          <a:extLst>
            <a:ext uri="{FF2B5EF4-FFF2-40B4-BE49-F238E27FC236}">
              <a16:creationId xmlns:a16="http://schemas.microsoft.com/office/drawing/2014/main" id="{24BA6824-5501-4FCC-BBFB-357E811029DB}"/>
            </a:ext>
          </a:extLst>
        </xdr:cNvPr>
        <xdr:cNvSpPr/>
      </xdr:nvSpPr>
      <xdr:spPr>
        <a:xfrm>
          <a:off x="2578100" y="44450"/>
          <a:ext cx="6486525" cy="342786"/>
        </a:xfrm>
        <a:prstGeom prst="rect">
          <a:avLst/>
        </a:prstGeom>
        <a:solidFill>
          <a:schemeClr val="tx2"/>
        </a:solid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12</xdr:row>
      <xdr:rowOff>110191</xdr:rowOff>
    </xdr:from>
    <xdr:to>
      <xdr:col>1</xdr:col>
      <xdr:colOff>529641</xdr:colOff>
      <xdr:row>20</xdr:row>
      <xdr:rowOff>44823</xdr:rowOff>
    </xdr:to>
    <xdr:sp macro="" textlink="">
      <xdr:nvSpPr>
        <xdr:cNvPr id="12" name="Rectangle 11">
          <a:hlinkClick xmlns:r="http://schemas.openxmlformats.org/officeDocument/2006/relationships" r:id="rId1" tooltip="Risks and Issues"/>
          <a:extLst>
            <a:ext uri="{FF2B5EF4-FFF2-40B4-BE49-F238E27FC236}">
              <a16:creationId xmlns:a16="http://schemas.microsoft.com/office/drawing/2014/main" id="{AE8B44FD-E928-4A1E-98CA-8914E2A61193}"/>
            </a:ext>
          </a:extLst>
        </xdr:cNvPr>
        <xdr:cNvSpPr/>
      </xdr:nvSpPr>
      <xdr:spPr>
        <a:xfrm>
          <a:off x="0" y="2366309"/>
          <a:ext cx="1172112"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0</xdr:colOff>
      <xdr:row>14</xdr:row>
      <xdr:rowOff>37727</xdr:rowOff>
    </xdr:from>
    <xdr:to>
      <xdr:col>1</xdr:col>
      <xdr:colOff>529641</xdr:colOff>
      <xdr:row>15</xdr:row>
      <xdr:rowOff>79160</xdr:rowOff>
    </xdr:to>
    <xdr:sp macro="" textlink="">
      <xdr:nvSpPr>
        <xdr:cNvPr id="13" name="Rectangle 12">
          <a:hlinkClick xmlns:r="http://schemas.openxmlformats.org/officeDocument/2006/relationships" r:id="rId2" tooltip="Risks and Issues"/>
          <a:extLst>
            <a:ext uri="{FF2B5EF4-FFF2-40B4-BE49-F238E27FC236}">
              <a16:creationId xmlns:a16="http://schemas.microsoft.com/office/drawing/2014/main" id="{DAD7D8F1-C278-4B9E-B878-A6963CA41DF2}"/>
            </a:ext>
          </a:extLst>
        </xdr:cNvPr>
        <xdr:cNvSpPr/>
      </xdr:nvSpPr>
      <xdr:spPr>
        <a:xfrm>
          <a:off x="0" y="2667374"/>
          <a:ext cx="1172112" cy="2281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 Cost</a:t>
          </a:r>
        </a:p>
      </xdr:txBody>
    </xdr:sp>
    <xdr:clientData/>
  </xdr:twoCellAnchor>
  <xdr:twoCellAnchor>
    <xdr:from>
      <xdr:col>0</xdr:col>
      <xdr:colOff>0</xdr:colOff>
      <xdr:row>15</xdr:row>
      <xdr:rowOff>146797</xdr:rowOff>
    </xdr:from>
    <xdr:to>
      <xdr:col>1</xdr:col>
      <xdr:colOff>529641</xdr:colOff>
      <xdr:row>17</xdr:row>
      <xdr:rowOff>52295</xdr:rowOff>
    </xdr:to>
    <xdr:sp macro="" textlink="">
      <xdr:nvSpPr>
        <xdr:cNvPr id="14" name="Rectangle 13">
          <a:hlinkClick xmlns:r="http://schemas.openxmlformats.org/officeDocument/2006/relationships" r:id="rId3" tooltip="Risks and Issues"/>
          <a:extLst>
            <a:ext uri="{FF2B5EF4-FFF2-40B4-BE49-F238E27FC236}">
              <a16:creationId xmlns:a16="http://schemas.microsoft.com/office/drawing/2014/main" id="{32B09C8C-13C6-42EE-95BF-51E4A475AA3C}"/>
            </a:ext>
          </a:extLst>
        </xdr:cNvPr>
        <xdr:cNvSpPr/>
      </xdr:nvSpPr>
      <xdr:spPr>
        <a:xfrm>
          <a:off x="0" y="2963209"/>
          <a:ext cx="1172112" cy="279027"/>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0</xdr:colOff>
      <xdr:row>17</xdr:row>
      <xdr:rowOff>156883</xdr:rowOff>
    </xdr:from>
    <xdr:to>
      <xdr:col>1</xdr:col>
      <xdr:colOff>529641</xdr:colOff>
      <xdr:row>18</xdr:row>
      <xdr:rowOff>33216</xdr:rowOff>
    </xdr:to>
    <xdr:sp macro="" textlink="">
      <xdr:nvSpPr>
        <xdr:cNvPr id="15" name="Rectangle 14">
          <a:hlinkClick xmlns:r="http://schemas.openxmlformats.org/officeDocument/2006/relationships" r:id="rId4" tooltip="Risks and Issues"/>
          <a:extLst>
            <a:ext uri="{FF2B5EF4-FFF2-40B4-BE49-F238E27FC236}">
              <a16:creationId xmlns:a16="http://schemas.microsoft.com/office/drawing/2014/main" id="{C046ABCA-2466-408B-A79B-885987511259}"/>
            </a:ext>
          </a:extLst>
        </xdr:cNvPr>
        <xdr:cNvSpPr/>
      </xdr:nvSpPr>
      <xdr:spPr>
        <a:xfrm>
          <a:off x="0" y="3346824"/>
          <a:ext cx="1172112" cy="630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36</xdr:row>
      <xdr:rowOff>7470</xdr:rowOff>
    </xdr:from>
    <xdr:to>
      <xdr:col>1</xdr:col>
      <xdr:colOff>529641</xdr:colOff>
      <xdr:row>38</xdr:row>
      <xdr:rowOff>104588</xdr:rowOff>
    </xdr:to>
    <xdr:sp macro="" textlink="">
      <xdr:nvSpPr>
        <xdr:cNvPr id="16" name="Rectangle 15">
          <a:hlinkClick xmlns:r="http://schemas.openxmlformats.org/officeDocument/2006/relationships" r:id="rId5" tooltip="Risks and Issues"/>
          <a:extLst>
            <a:ext uri="{FF2B5EF4-FFF2-40B4-BE49-F238E27FC236}">
              <a16:creationId xmlns:a16="http://schemas.microsoft.com/office/drawing/2014/main" id="{C985A46A-3E28-4DA2-B6E5-AA3537DFD018}"/>
            </a:ext>
          </a:extLst>
        </xdr:cNvPr>
        <xdr:cNvSpPr/>
      </xdr:nvSpPr>
      <xdr:spPr>
        <a:xfrm>
          <a:off x="0" y="3682999"/>
          <a:ext cx="1172112" cy="440765"/>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22412</xdr:colOff>
      <xdr:row>12</xdr:row>
      <xdr:rowOff>110191</xdr:rowOff>
    </xdr:from>
    <xdr:to>
      <xdr:col>1</xdr:col>
      <xdr:colOff>552053</xdr:colOff>
      <xdr:row>20</xdr:row>
      <xdr:rowOff>44823</xdr:rowOff>
    </xdr:to>
    <xdr:sp macro="" textlink="">
      <xdr:nvSpPr>
        <xdr:cNvPr id="20" name="Rectangle 19">
          <a:hlinkClick xmlns:r="http://schemas.openxmlformats.org/officeDocument/2006/relationships" r:id="rId1" tooltip="Risks and Issues"/>
          <a:extLst>
            <a:ext uri="{FF2B5EF4-FFF2-40B4-BE49-F238E27FC236}">
              <a16:creationId xmlns:a16="http://schemas.microsoft.com/office/drawing/2014/main" id="{9A340492-87EB-A144-22DE-CE366659984D}"/>
            </a:ext>
          </a:extLst>
        </xdr:cNvPr>
        <xdr:cNvSpPr/>
      </xdr:nvSpPr>
      <xdr:spPr>
        <a:xfrm>
          <a:off x="22412" y="2366309"/>
          <a:ext cx="1172112"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22412</xdr:colOff>
      <xdr:row>36</xdr:row>
      <xdr:rowOff>7470</xdr:rowOff>
    </xdr:from>
    <xdr:to>
      <xdr:col>1</xdr:col>
      <xdr:colOff>552053</xdr:colOff>
      <xdr:row>38</xdr:row>
      <xdr:rowOff>104588</xdr:rowOff>
    </xdr:to>
    <xdr:sp macro="" textlink="">
      <xdr:nvSpPr>
        <xdr:cNvPr id="24" name="Rectangle 23">
          <a:hlinkClick xmlns:r="http://schemas.openxmlformats.org/officeDocument/2006/relationships" r:id="rId5" tooltip="Risks and Issues"/>
          <a:extLst>
            <a:ext uri="{FF2B5EF4-FFF2-40B4-BE49-F238E27FC236}">
              <a16:creationId xmlns:a16="http://schemas.microsoft.com/office/drawing/2014/main" id="{F664ED5E-44D5-6581-76F2-BECD35D72901}"/>
            </a:ext>
          </a:extLst>
        </xdr:cNvPr>
        <xdr:cNvSpPr/>
      </xdr:nvSpPr>
      <xdr:spPr>
        <a:xfrm>
          <a:off x="22412" y="3682999"/>
          <a:ext cx="1172112" cy="440765"/>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44824</xdr:colOff>
      <xdr:row>12</xdr:row>
      <xdr:rowOff>110191</xdr:rowOff>
    </xdr:from>
    <xdr:to>
      <xdr:col>1</xdr:col>
      <xdr:colOff>574465</xdr:colOff>
      <xdr:row>20</xdr:row>
      <xdr:rowOff>44823</xdr:rowOff>
    </xdr:to>
    <xdr:sp macro="" textlink="">
      <xdr:nvSpPr>
        <xdr:cNvPr id="25" name="Rectangle 24">
          <a:hlinkClick xmlns:r="http://schemas.openxmlformats.org/officeDocument/2006/relationships" r:id="rId1" tooltip="Risks and Issues"/>
          <a:extLst>
            <a:ext uri="{FF2B5EF4-FFF2-40B4-BE49-F238E27FC236}">
              <a16:creationId xmlns:a16="http://schemas.microsoft.com/office/drawing/2014/main" id="{BFC7753D-2169-F21F-9B5C-0BB051C71CD7}"/>
            </a:ext>
          </a:extLst>
        </xdr:cNvPr>
        <xdr:cNvSpPr/>
      </xdr:nvSpPr>
      <xdr:spPr>
        <a:xfrm>
          <a:off x="44824" y="2366309"/>
          <a:ext cx="1172112"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5</xdr:col>
      <xdr:colOff>512112</xdr:colOff>
      <xdr:row>40</xdr:row>
      <xdr:rowOff>22411</xdr:rowOff>
    </xdr:from>
    <xdr:to>
      <xdr:col>6</xdr:col>
      <xdr:colOff>362700</xdr:colOff>
      <xdr:row>43</xdr:row>
      <xdr:rowOff>7471</xdr:rowOff>
    </xdr:to>
    <xdr:sp macro="[0]!Step4Next" textlink="">
      <xdr:nvSpPr>
        <xdr:cNvPr id="29" name="Arrow: Right 28">
          <a:extLst>
            <a:ext uri="{FF2B5EF4-FFF2-40B4-BE49-F238E27FC236}">
              <a16:creationId xmlns:a16="http://schemas.microsoft.com/office/drawing/2014/main" id="{5CFCEB32-608C-4453-859D-03FCEE740250}"/>
            </a:ext>
          </a:extLst>
        </xdr:cNvPr>
        <xdr:cNvSpPr/>
      </xdr:nvSpPr>
      <xdr:spPr>
        <a:xfrm>
          <a:off x="9850347" y="6305176"/>
          <a:ext cx="1016000" cy="545354"/>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Next</a:t>
          </a:r>
        </a:p>
      </xdr:txBody>
    </xdr:sp>
    <xdr:clientData/>
  </xdr:twoCellAnchor>
  <xdr:twoCellAnchor>
    <xdr:from>
      <xdr:col>2</xdr:col>
      <xdr:colOff>168464</xdr:colOff>
      <xdr:row>41</xdr:row>
      <xdr:rowOff>0</xdr:rowOff>
    </xdr:from>
    <xdr:to>
      <xdr:col>3</xdr:col>
      <xdr:colOff>534521</xdr:colOff>
      <xdr:row>43</xdr:row>
      <xdr:rowOff>171823</xdr:rowOff>
    </xdr:to>
    <xdr:sp macro="[0]!Step4Back" textlink="">
      <xdr:nvSpPr>
        <xdr:cNvPr id="30" name="Arrow: Left 29">
          <a:extLst>
            <a:ext uri="{FF2B5EF4-FFF2-40B4-BE49-F238E27FC236}">
              <a16:creationId xmlns:a16="http://schemas.microsoft.com/office/drawing/2014/main" id="{CBF5E08A-DF6D-45D0-A3AF-C36C8D15406C}"/>
            </a:ext>
          </a:extLst>
        </xdr:cNvPr>
        <xdr:cNvSpPr/>
      </xdr:nvSpPr>
      <xdr:spPr>
        <a:xfrm>
          <a:off x="1453405" y="6469529"/>
          <a:ext cx="1008528" cy="545353"/>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515097</xdr:colOff>
      <xdr:row>18</xdr:row>
      <xdr:rowOff>421341</xdr:rowOff>
    </xdr:to>
    <xdr:grpSp>
      <xdr:nvGrpSpPr>
        <xdr:cNvPr id="2" name="Group 1">
          <a:extLst>
            <a:ext uri="{FF2B5EF4-FFF2-40B4-BE49-F238E27FC236}">
              <a16:creationId xmlns:a16="http://schemas.microsoft.com/office/drawing/2014/main" id="{4228F392-DAEF-4002-9BD0-4FB2CAD11109}"/>
            </a:ext>
          </a:extLst>
        </xdr:cNvPr>
        <xdr:cNvGrpSpPr/>
      </xdr:nvGrpSpPr>
      <xdr:grpSpPr>
        <a:xfrm>
          <a:off x="0" y="0"/>
          <a:ext cx="13909862" cy="5531223"/>
          <a:chOff x="0" y="0"/>
          <a:chExt cx="14653315" cy="5795347"/>
        </a:xfrm>
      </xdr:grpSpPr>
      <xdr:sp macro="" textlink="">
        <xdr:nvSpPr>
          <xdr:cNvPr id="3" name="Rectangle 2">
            <a:extLst>
              <a:ext uri="{FF2B5EF4-FFF2-40B4-BE49-F238E27FC236}">
                <a16:creationId xmlns:a16="http://schemas.microsoft.com/office/drawing/2014/main" id="{1D125D5A-94B2-DB8A-800A-ACA0310BF967}"/>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extLst>
              <a:ext uri="{FF2B5EF4-FFF2-40B4-BE49-F238E27FC236}">
                <a16:creationId xmlns:a16="http://schemas.microsoft.com/office/drawing/2014/main" id="{F36704DD-E6E9-359B-28A3-0C00E959B3B3}"/>
              </a:ext>
            </a:extLst>
          </xdr:cNvPr>
          <xdr:cNvSpPr/>
        </xdr:nvSpPr>
        <xdr:spPr>
          <a:xfrm>
            <a:off x="0" y="381449"/>
            <a:ext cx="1364274" cy="5413898"/>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hlinkClick xmlns:r="http://schemas.openxmlformats.org/officeDocument/2006/relationships" r:id="rId1"/>
            <a:extLst>
              <a:ext uri="{FF2B5EF4-FFF2-40B4-BE49-F238E27FC236}">
                <a16:creationId xmlns:a16="http://schemas.microsoft.com/office/drawing/2014/main" id="{EC209480-5CE2-8ACB-6FA4-ABCD3F1DEF2A}"/>
              </a:ext>
            </a:extLst>
          </xdr:cNvPr>
          <xdr:cNvSpPr/>
        </xdr:nvSpPr>
        <xdr:spPr>
          <a:xfrm>
            <a:off x="0" y="449981"/>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6" name="Rectangle 5">
            <a:hlinkClick xmlns:r="http://schemas.openxmlformats.org/officeDocument/2006/relationships" r:id="rId2" tooltip="Gantt View"/>
            <a:extLst>
              <a:ext uri="{FF2B5EF4-FFF2-40B4-BE49-F238E27FC236}">
                <a16:creationId xmlns:a16="http://schemas.microsoft.com/office/drawing/2014/main" id="{069AC028-BB67-40A0-2EB0-739BA5EFC3DC}"/>
              </a:ext>
            </a:extLst>
          </xdr:cNvPr>
          <xdr:cNvSpPr/>
        </xdr:nvSpPr>
        <xdr:spPr>
          <a:xfrm>
            <a:off x="0" y="767829"/>
            <a:ext cx="1358896"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sp macro="" textlink="">
        <xdr:nvSpPr>
          <xdr:cNvPr id="7" name="Rectangle 6">
            <a:hlinkClick xmlns:r="http://schemas.openxmlformats.org/officeDocument/2006/relationships" r:id="rId3" tooltip="Resource View"/>
            <a:extLst>
              <a:ext uri="{FF2B5EF4-FFF2-40B4-BE49-F238E27FC236}">
                <a16:creationId xmlns:a16="http://schemas.microsoft.com/office/drawing/2014/main" id="{E3012910-6F14-F0D6-3C7F-80A6D5881D4D}"/>
              </a:ext>
            </a:extLst>
          </xdr:cNvPr>
          <xdr:cNvSpPr/>
        </xdr:nvSpPr>
        <xdr:spPr>
          <a:xfrm>
            <a:off x="0" y="1045552"/>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1</a:t>
            </a:r>
          </a:p>
        </xdr:txBody>
      </xdr:sp>
      <xdr:sp macro="" textlink="">
        <xdr:nvSpPr>
          <xdr:cNvPr id="8" name="Rectangle 7">
            <a:hlinkClick xmlns:r="http://schemas.openxmlformats.org/officeDocument/2006/relationships" r:id="rId4" tooltip="Timeline View"/>
            <a:extLst>
              <a:ext uri="{FF2B5EF4-FFF2-40B4-BE49-F238E27FC236}">
                <a16:creationId xmlns:a16="http://schemas.microsoft.com/office/drawing/2014/main" id="{0A176B31-6C1D-6846-0551-67377BAC490F}"/>
              </a:ext>
            </a:extLst>
          </xdr:cNvPr>
          <xdr:cNvSpPr/>
        </xdr:nvSpPr>
        <xdr:spPr>
          <a:xfrm>
            <a:off x="0" y="1360067"/>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2</a:t>
            </a:r>
          </a:p>
        </xdr:txBody>
      </xdr:sp>
      <xdr:sp macro="" textlink="">
        <xdr:nvSpPr>
          <xdr:cNvPr id="9" name="Rectangle 8">
            <a:hlinkClick xmlns:r="http://schemas.openxmlformats.org/officeDocument/2006/relationships" r:id="rId5" tooltip="Heatmap View"/>
            <a:extLst>
              <a:ext uri="{FF2B5EF4-FFF2-40B4-BE49-F238E27FC236}">
                <a16:creationId xmlns:a16="http://schemas.microsoft.com/office/drawing/2014/main" id="{F459806F-49BD-E70E-4342-06F2DD325D7F}"/>
              </a:ext>
            </a:extLst>
          </xdr:cNvPr>
          <xdr:cNvSpPr/>
        </xdr:nvSpPr>
        <xdr:spPr>
          <a:xfrm>
            <a:off x="0" y="1701351"/>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3</a:t>
            </a:r>
          </a:p>
        </xdr:txBody>
      </xdr:sp>
      <xdr:sp macro="" textlink="">
        <xdr:nvSpPr>
          <xdr:cNvPr id="10" name="Rectangle 9">
            <a:hlinkClick xmlns:r="http://schemas.openxmlformats.org/officeDocument/2006/relationships" r:id="rId6" tooltip="Risks and Issues"/>
            <a:extLst>
              <a:ext uri="{FF2B5EF4-FFF2-40B4-BE49-F238E27FC236}">
                <a16:creationId xmlns:a16="http://schemas.microsoft.com/office/drawing/2014/main" id="{1804951B-8E64-CD48-5DB8-1BEE3D44444E}"/>
              </a:ext>
            </a:extLst>
          </xdr:cNvPr>
          <xdr:cNvSpPr/>
        </xdr:nvSpPr>
        <xdr:spPr>
          <a:xfrm>
            <a:off x="0" y="2042634"/>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4</a:t>
            </a:r>
          </a:p>
        </xdr:txBody>
      </xdr:sp>
    </xdr:grpSp>
    <xdr:clientData/>
  </xdr:twoCellAnchor>
  <xdr:twoCellAnchor editAs="absolute">
    <xdr:from>
      <xdr:col>3</xdr:col>
      <xdr:colOff>1009650</xdr:colOff>
      <xdr:row>0</xdr:row>
      <xdr:rowOff>44450</xdr:rowOff>
    </xdr:from>
    <xdr:to>
      <xdr:col>6</xdr:col>
      <xdr:colOff>111125</xdr:colOff>
      <xdr:row>3</xdr:row>
      <xdr:rowOff>6236</xdr:rowOff>
    </xdr:to>
    <xdr:sp macro="" textlink="">
      <xdr:nvSpPr>
        <xdr:cNvPr id="11" name="Rectangle 10">
          <a:extLst>
            <a:ext uri="{FF2B5EF4-FFF2-40B4-BE49-F238E27FC236}">
              <a16:creationId xmlns:a16="http://schemas.microsoft.com/office/drawing/2014/main" id="{4979E967-2D51-48D6-947D-F7113CCE479C}"/>
            </a:ext>
          </a:extLst>
        </xdr:cNvPr>
        <xdr:cNvSpPr/>
      </xdr:nvSpPr>
      <xdr:spPr>
        <a:xfrm>
          <a:off x="2578100" y="44450"/>
          <a:ext cx="648652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10</xdr:row>
      <xdr:rowOff>118020</xdr:rowOff>
    </xdr:from>
    <xdr:to>
      <xdr:col>1</xdr:col>
      <xdr:colOff>529641</xdr:colOff>
      <xdr:row>10</xdr:row>
      <xdr:rowOff>357829</xdr:rowOff>
    </xdr:to>
    <xdr:sp macro="" textlink="">
      <xdr:nvSpPr>
        <xdr:cNvPr id="12" name="Rectangle 11">
          <a:hlinkClick xmlns:r="http://schemas.openxmlformats.org/officeDocument/2006/relationships" r:id="rId7" tooltip="Risks and Issues"/>
          <a:extLst>
            <a:ext uri="{FF2B5EF4-FFF2-40B4-BE49-F238E27FC236}">
              <a16:creationId xmlns:a16="http://schemas.microsoft.com/office/drawing/2014/main" id="{0621D603-3BCF-4FB5-AEC9-C5FC35FDDDFE}"/>
            </a:ext>
          </a:extLst>
        </xdr:cNvPr>
        <xdr:cNvSpPr/>
      </xdr:nvSpPr>
      <xdr:spPr>
        <a:xfrm>
          <a:off x="0" y="2321470"/>
          <a:ext cx="1170991" cy="239809"/>
        </a:xfrm>
        <a:prstGeom prst="rect">
          <a:avLst/>
        </a:prstGeom>
        <a:solidFill>
          <a:schemeClr val="accent4"/>
        </a:solidFill>
      </xdr:spPr>
      <xdr:txBody>
        <a:bodyPr wrap="square" lIns="91440" tIns="45720" rIns="91440" bIns="45720" anchor="ctr">
          <a:spAutoFit/>
        </a:bodyPr>
        <a:lstStyle/>
        <a:p>
          <a:pPr marL="0" indent="0" algn="l"/>
          <a:r>
            <a:rPr lang="en-US" sz="1000" b="0" cap="none" spc="0">
              <a:ln w="0"/>
              <a:solidFill>
                <a:schemeClr val="tx1"/>
              </a:solidFill>
              <a:effectLst/>
              <a:latin typeface="Arial" panose="020B0604020202020204" pitchFamily="34" charset="0"/>
              <a:ea typeface="+mn-ea"/>
              <a:cs typeface="Arial" panose="020B0604020202020204" pitchFamily="34" charset="0"/>
            </a:rPr>
            <a:t>Step 5</a:t>
          </a:r>
        </a:p>
      </xdr:txBody>
    </xdr:sp>
    <xdr:clientData/>
  </xdr:twoCellAnchor>
  <xdr:twoCellAnchor>
    <xdr:from>
      <xdr:col>0</xdr:col>
      <xdr:colOff>0</xdr:colOff>
      <xdr:row>11</xdr:row>
      <xdr:rowOff>38100</xdr:rowOff>
    </xdr:from>
    <xdr:to>
      <xdr:col>1</xdr:col>
      <xdr:colOff>529641</xdr:colOff>
      <xdr:row>11</xdr:row>
      <xdr:rowOff>272648</xdr:rowOff>
    </xdr:to>
    <xdr:sp macro="" textlink="">
      <xdr:nvSpPr>
        <xdr:cNvPr id="13" name="Rectangle 12">
          <a:hlinkClick xmlns:r="http://schemas.openxmlformats.org/officeDocument/2006/relationships" r:id="rId8" tooltip="Risks and Issues"/>
          <a:extLst>
            <a:ext uri="{FF2B5EF4-FFF2-40B4-BE49-F238E27FC236}">
              <a16:creationId xmlns:a16="http://schemas.microsoft.com/office/drawing/2014/main" id="{75C7B71A-5E52-4242-B070-97C6EAED84B7}"/>
            </a:ext>
          </a:extLst>
        </xdr:cNvPr>
        <xdr:cNvSpPr/>
      </xdr:nvSpPr>
      <xdr:spPr>
        <a:xfrm>
          <a:off x="0" y="262255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 Cost</a:t>
          </a:r>
        </a:p>
      </xdr:txBody>
    </xdr:sp>
    <xdr:clientData/>
  </xdr:twoCellAnchor>
  <xdr:twoCellAnchor>
    <xdr:from>
      <xdr:col>0</xdr:col>
      <xdr:colOff>0</xdr:colOff>
      <xdr:row>11</xdr:row>
      <xdr:rowOff>330200</xdr:rowOff>
    </xdr:from>
    <xdr:to>
      <xdr:col>1</xdr:col>
      <xdr:colOff>529641</xdr:colOff>
      <xdr:row>12</xdr:row>
      <xdr:rowOff>348848</xdr:rowOff>
    </xdr:to>
    <xdr:sp macro="" textlink="">
      <xdr:nvSpPr>
        <xdr:cNvPr id="14" name="Rectangle 13">
          <a:hlinkClick xmlns:r="http://schemas.openxmlformats.org/officeDocument/2006/relationships" r:id="rId9" tooltip="Risks and Issues"/>
          <a:extLst>
            <a:ext uri="{FF2B5EF4-FFF2-40B4-BE49-F238E27FC236}">
              <a16:creationId xmlns:a16="http://schemas.microsoft.com/office/drawing/2014/main" id="{20338866-BD14-4335-A14C-77B99063BD1D}"/>
            </a:ext>
          </a:extLst>
        </xdr:cNvPr>
        <xdr:cNvSpPr/>
      </xdr:nvSpPr>
      <xdr:spPr>
        <a:xfrm>
          <a:off x="0" y="2914650"/>
          <a:ext cx="1170991" cy="3996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0</xdr:colOff>
      <xdr:row>13</xdr:row>
      <xdr:rowOff>12700</xdr:rowOff>
    </xdr:from>
    <xdr:to>
      <xdr:col>1</xdr:col>
      <xdr:colOff>529641</xdr:colOff>
      <xdr:row>14</xdr:row>
      <xdr:rowOff>145648</xdr:rowOff>
    </xdr:to>
    <xdr:sp macro="" textlink="">
      <xdr:nvSpPr>
        <xdr:cNvPr id="15" name="Rectangle 14">
          <a:hlinkClick xmlns:r="http://schemas.openxmlformats.org/officeDocument/2006/relationships" r:id="rId10" tooltip="Risks and Issues"/>
          <a:extLst>
            <a:ext uri="{FF2B5EF4-FFF2-40B4-BE49-F238E27FC236}">
              <a16:creationId xmlns:a16="http://schemas.microsoft.com/office/drawing/2014/main" id="{72A277A9-05B9-4C7E-8976-9B996B577BB3}"/>
            </a:ext>
          </a:extLst>
        </xdr:cNvPr>
        <xdr:cNvSpPr/>
      </xdr:nvSpPr>
      <xdr:spPr>
        <a:xfrm>
          <a:off x="0" y="3359150"/>
          <a:ext cx="1170991" cy="3170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15</xdr:row>
      <xdr:rowOff>44450</xdr:rowOff>
    </xdr:from>
    <xdr:to>
      <xdr:col>1</xdr:col>
      <xdr:colOff>529641</xdr:colOff>
      <xdr:row>16</xdr:row>
      <xdr:rowOff>253598</xdr:rowOff>
    </xdr:to>
    <xdr:sp macro="" textlink="">
      <xdr:nvSpPr>
        <xdr:cNvPr id="16" name="Rectangle 15">
          <a:hlinkClick xmlns:r="http://schemas.openxmlformats.org/officeDocument/2006/relationships" r:id="rId11" tooltip="Risks and Issues"/>
          <a:extLst>
            <a:ext uri="{FF2B5EF4-FFF2-40B4-BE49-F238E27FC236}">
              <a16:creationId xmlns:a16="http://schemas.microsoft.com/office/drawing/2014/main" id="{40267F9F-9413-4DE2-9E24-1002CAE8BEF2}"/>
            </a:ext>
          </a:extLst>
        </xdr:cNvPr>
        <xdr:cNvSpPr/>
      </xdr:nvSpPr>
      <xdr:spPr>
        <a:xfrm>
          <a:off x="0" y="3746500"/>
          <a:ext cx="1170991" cy="3805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3</xdr:col>
      <xdr:colOff>0</xdr:colOff>
      <xdr:row>43</xdr:row>
      <xdr:rowOff>0</xdr:rowOff>
    </xdr:from>
    <xdr:to>
      <xdr:col>3</xdr:col>
      <xdr:colOff>1009650</xdr:colOff>
      <xdr:row>45</xdr:row>
      <xdr:rowOff>0</xdr:rowOff>
    </xdr:to>
    <xdr:sp macro="[0]!Step5Back" textlink="">
      <xdr:nvSpPr>
        <xdr:cNvPr id="18" name="Arrow: Left 17">
          <a:extLst>
            <a:ext uri="{FF2B5EF4-FFF2-40B4-BE49-F238E27FC236}">
              <a16:creationId xmlns:a16="http://schemas.microsoft.com/office/drawing/2014/main" id="{1D898576-6722-5E7C-F74F-B10034FEF027}"/>
            </a:ext>
          </a:extLst>
        </xdr:cNvPr>
        <xdr:cNvSpPr/>
      </xdr:nvSpPr>
      <xdr:spPr>
        <a:xfrm>
          <a:off x="1568824" y="11056471"/>
          <a:ext cx="1009650" cy="508000"/>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100" b="1"/>
            <a:t>Back</a:t>
          </a:r>
        </a:p>
      </xdr:txBody>
    </xdr:sp>
    <xdr:clientData/>
  </xdr:twoCellAnchor>
  <xdr:twoCellAnchor>
    <xdr:from>
      <xdr:col>7</xdr:col>
      <xdr:colOff>1201644</xdr:colOff>
      <xdr:row>42</xdr:row>
      <xdr:rowOff>97118</xdr:rowOff>
    </xdr:from>
    <xdr:to>
      <xdr:col>8</xdr:col>
      <xdr:colOff>0</xdr:colOff>
      <xdr:row>44</xdr:row>
      <xdr:rowOff>164353</xdr:rowOff>
    </xdr:to>
    <xdr:sp macro="[0]!Step5Next" textlink="">
      <xdr:nvSpPr>
        <xdr:cNvPr id="20" name="Arrow: Right 19">
          <a:extLst>
            <a:ext uri="{FF2B5EF4-FFF2-40B4-BE49-F238E27FC236}">
              <a16:creationId xmlns:a16="http://schemas.microsoft.com/office/drawing/2014/main" id="{4D0CBF2F-BB9A-92B5-0872-5DE75D2DA12B}"/>
            </a:ext>
          </a:extLst>
        </xdr:cNvPr>
        <xdr:cNvSpPr/>
      </xdr:nvSpPr>
      <xdr:spPr>
        <a:xfrm>
          <a:off x="10801350" y="10966824"/>
          <a:ext cx="1009650" cy="50800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100" b="1"/>
            <a:t>Next</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13</xdr:col>
      <xdr:colOff>1073150</xdr:colOff>
      <xdr:row>31</xdr:row>
      <xdr:rowOff>112432</xdr:rowOff>
    </xdr:to>
    <xdr:grpSp>
      <xdr:nvGrpSpPr>
        <xdr:cNvPr id="2" name="Group 1">
          <a:extLst>
            <a:ext uri="{FF2B5EF4-FFF2-40B4-BE49-F238E27FC236}">
              <a16:creationId xmlns:a16="http://schemas.microsoft.com/office/drawing/2014/main" id="{DE199E98-7B0D-4ACE-B4A3-D98986E81833}"/>
            </a:ext>
          </a:extLst>
        </xdr:cNvPr>
        <xdr:cNvGrpSpPr/>
      </xdr:nvGrpSpPr>
      <xdr:grpSpPr>
        <a:xfrm>
          <a:off x="0" y="0"/>
          <a:ext cx="13915091" cy="5528608"/>
          <a:chOff x="0" y="0"/>
          <a:chExt cx="14653315" cy="5795347"/>
        </a:xfrm>
      </xdr:grpSpPr>
      <xdr:sp macro="" textlink="">
        <xdr:nvSpPr>
          <xdr:cNvPr id="3" name="Rectangle 2">
            <a:extLst>
              <a:ext uri="{FF2B5EF4-FFF2-40B4-BE49-F238E27FC236}">
                <a16:creationId xmlns:a16="http://schemas.microsoft.com/office/drawing/2014/main" id="{34DB7389-D366-8010-43C7-192BBE874F61}"/>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extLst>
              <a:ext uri="{FF2B5EF4-FFF2-40B4-BE49-F238E27FC236}">
                <a16:creationId xmlns:a16="http://schemas.microsoft.com/office/drawing/2014/main" id="{85326B31-E7B0-7410-8F8C-5E9601244FDF}"/>
              </a:ext>
            </a:extLst>
          </xdr:cNvPr>
          <xdr:cNvSpPr/>
        </xdr:nvSpPr>
        <xdr:spPr>
          <a:xfrm>
            <a:off x="0" y="381449"/>
            <a:ext cx="1364274" cy="5413898"/>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hlinkClick xmlns:r="http://schemas.openxmlformats.org/officeDocument/2006/relationships" r:id="rId1"/>
            <a:extLst>
              <a:ext uri="{FF2B5EF4-FFF2-40B4-BE49-F238E27FC236}">
                <a16:creationId xmlns:a16="http://schemas.microsoft.com/office/drawing/2014/main" id="{C8FA657D-9CBC-C4C2-6D76-236E625B0AFB}"/>
              </a:ext>
            </a:extLst>
          </xdr:cNvPr>
          <xdr:cNvSpPr/>
        </xdr:nvSpPr>
        <xdr:spPr>
          <a:xfrm>
            <a:off x="0" y="449981"/>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6" name="Rectangle 5">
            <a:hlinkClick xmlns:r="http://schemas.openxmlformats.org/officeDocument/2006/relationships" r:id="rId2" tooltip="Gantt View"/>
            <a:extLst>
              <a:ext uri="{FF2B5EF4-FFF2-40B4-BE49-F238E27FC236}">
                <a16:creationId xmlns:a16="http://schemas.microsoft.com/office/drawing/2014/main" id="{09B6166C-9457-CC70-323C-4FE1D71F650E}"/>
              </a:ext>
            </a:extLst>
          </xdr:cNvPr>
          <xdr:cNvSpPr/>
        </xdr:nvSpPr>
        <xdr:spPr>
          <a:xfrm>
            <a:off x="0" y="767829"/>
            <a:ext cx="1358896"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sp macro="" textlink="">
        <xdr:nvSpPr>
          <xdr:cNvPr id="7" name="Rectangle 6">
            <a:hlinkClick xmlns:r="http://schemas.openxmlformats.org/officeDocument/2006/relationships" r:id="rId3" tooltip="Resource View"/>
            <a:extLst>
              <a:ext uri="{FF2B5EF4-FFF2-40B4-BE49-F238E27FC236}">
                <a16:creationId xmlns:a16="http://schemas.microsoft.com/office/drawing/2014/main" id="{A6711214-77EA-DB47-104A-7856BF2BD76F}"/>
              </a:ext>
            </a:extLst>
          </xdr:cNvPr>
          <xdr:cNvSpPr/>
        </xdr:nvSpPr>
        <xdr:spPr>
          <a:xfrm>
            <a:off x="0" y="1045552"/>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1</a:t>
            </a:r>
          </a:p>
        </xdr:txBody>
      </xdr:sp>
      <xdr:sp macro="" textlink="">
        <xdr:nvSpPr>
          <xdr:cNvPr id="8" name="Rectangle 7">
            <a:hlinkClick xmlns:r="http://schemas.openxmlformats.org/officeDocument/2006/relationships" r:id="rId4" tooltip="Timeline View"/>
            <a:extLst>
              <a:ext uri="{FF2B5EF4-FFF2-40B4-BE49-F238E27FC236}">
                <a16:creationId xmlns:a16="http://schemas.microsoft.com/office/drawing/2014/main" id="{E30D9D6C-2950-9ACF-C07A-607C999C5ED0}"/>
              </a:ext>
            </a:extLst>
          </xdr:cNvPr>
          <xdr:cNvSpPr/>
        </xdr:nvSpPr>
        <xdr:spPr>
          <a:xfrm>
            <a:off x="0" y="1360067"/>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2</a:t>
            </a:r>
          </a:p>
        </xdr:txBody>
      </xdr:sp>
      <xdr:sp macro="" textlink="">
        <xdr:nvSpPr>
          <xdr:cNvPr id="9" name="Rectangle 8">
            <a:hlinkClick xmlns:r="http://schemas.openxmlformats.org/officeDocument/2006/relationships" r:id="rId5" tooltip="Heatmap View"/>
            <a:extLst>
              <a:ext uri="{FF2B5EF4-FFF2-40B4-BE49-F238E27FC236}">
                <a16:creationId xmlns:a16="http://schemas.microsoft.com/office/drawing/2014/main" id="{B65CD548-D233-4971-3C2B-4D07F4D9733D}"/>
              </a:ext>
            </a:extLst>
          </xdr:cNvPr>
          <xdr:cNvSpPr/>
        </xdr:nvSpPr>
        <xdr:spPr>
          <a:xfrm>
            <a:off x="0" y="1701351"/>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3</a:t>
            </a:r>
          </a:p>
        </xdr:txBody>
      </xdr:sp>
      <xdr:sp macro="" textlink="">
        <xdr:nvSpPr>
          <xdr:cNvPr id="10" name="Rectangle 9">
            <a:hlinkClick xmlns:r="http://schemas.openxmlformats.org/officeDocument/2006/relationships" r:id="rId6" tooltip="Risks and Issues"/>
            <a:extLst>
              <a:ext uri="{FF2B5EF4-FFF2-40B4-BE49-F238E27FC236}">
                <a16:creationId xmlns:a16="http://schemas.microsoft.com/office/drawing/2014/main" id="{8DF2BB85-7C01-BB29-47CA-954FB12C9509}"/>
              </a:ext>
            </a:extLst>
          </xdr:cNvPr>
          <xdr:cNvSpPr/>
        </xdr:nvSpPr>
        <xdr:spPr>
          <a:xfrm>
            <a:off x="0" y="2022558"/>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4</a:t>
            </a:r>
          </a:p>
        </xdr:txBody>
      </xdr:sp>
      <xdr:sp macro="" textlink="">
        <xdr:nvSpPr>
          <xdr:cNvPr id="17" name="Rectangle 16">
            <a:hlinkClick xmlns:r="http://schemas.openxmlformats.org/officeDocument/2006/relationships" r:id="rId1"/>
            <a:extLst>
              <a:ext uri="{FF2B5EF4-FFF2-40B4-BE49-F238E27FC236}">
                <a16:creationId xmlns:a16="http://schemas.microsoft.com/office/drawing/2014/main" id="{CC87A682-532F-737F-F934-04572B6CBDC9}"/>
              </a:ext>
            </a:extLst>
          </xdr:cNvPr>
          <xdr:cNvSpPr/>
        </xdr:nvSpPr>
        <xdr:spPr>
          <a:xfrm>
            <a:off x="0" y="473474"/>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18" name="Rectangle 17">
            <a:hlinkClick xmlns:r="http://schemas.openxmlformats.org/officeDocument/2006/relationships" r:id="rId2" tooltip="Gantt View"/>
            <a:extLst>
              <a:ext uri="{FF2B5EF4-FFF2-40B4-BE49-F238E27FC236}">
                <a16:creationId xmlns:a16="http://schemas.microsoft.com/office/drawing/2014/main" id="{3BE04980-35A2-72F4-B1B6-51AEC7776A22}"/>
              </a:ext>
            </a:extLst>
          </xdr:cNvPr>
          <xdr:cNvSpPr/>
        </xdr:nvSpPr>
        <xdr:spPr>
          <a:xfrm>
            <a:off x="0" y="791323"/>
            <a:ext cx="1358896"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sp macro="" textlink="">
        <xdr:nvSpPr>
          <xdr:cNvPr id="19" name="Rectangle 18">
            <a:hlinkClick xmlns:r="http://schemas.openxmlformats.org/officeDocument/2006/relationships" r:id="rId3" tooltip="Resource View"/>
            <a:extLst>
              <a:ext uri="{FF2B5EF4-FFF2-40B4-BE49-F238E27FC236}">
                <a16:creationId xmlns:a16="http://schemas.microsoft.com/office/drawing/2014/main" id="{744C1B8E-B340-2EDF-6C09-CB987ED60A0A}"/>
              </a:ext>
            </a:extLst>
          </xdr:cNvPr>
          <xdr:cNvSpPr/>
        </xdr:nvSpPr>
        <xdr:spPr>
          <a:xfrm>
            <a:off x="0" y="1069045"/>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1</a:t>
            </a:r>
          </a:p>
        </xdr:txBody>
      </xdr:sp>
      <xdr:sp macro="" textlink="">
        <xdr:nvSpPr>
          <xdr:cNvPr id="20" name="Rectangle 19">
            <a:hlinkClick xmlns:r="http://schemas.openxmlformats.org/officeDocument/2006/relationships" r:id="rId4" tooltip="Timeline View"/>
            <a:extLst>
              <a:ext uri="{FF2B5EF4-FFF2-40B4-BE49-F238E27FC236}">
                <a16:creationId xmlns:a16="http://schemas.microsoft.com/office/drawing/2014/main" id="{648D9D2B-F680-7BC0-42CB-723548FCE83A}"/>
              </a:ext>
            </a:extLst>
          </xdr:cNvPr>
          <xdr:cNvSpPr/>
        </xdr:nvSpPr>
        <xdr:spPr>
          <a:xfrm>
            <a:off x="0" y="1383560"/>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2</a:t>
            </a:r>
          </a:p>
        </xdr:txBody>
      </xdr:sp>
      <xdr:sp macro="" textlink="">
        <xdr:nvSpPr>
          <xdr:cNvPr id="21" name="Rectangle 20">
            <a:hlinkClick xmlns:r="http://schemas.openxmlformats.org/officeDocument/2006/relationships" r:id="rId5" tooltip="Heatmap View"/>
            <a:extLst>
              <a:ext uri="{FF2B5EF4-FFF2-40B4-BE49-F238E27FC236}">
                <a16:creationId xmlns:a16="http://schemas.microsoft.com/office/drawing/2014/main" id="{1AE7C2E7-BCC2-7243-3649-5210E23D7E33}"/>
              </a:ext>
            </a:extLst>
          </xdr:cNvPr>
          <xdr:cNvSpPr/>
        </xdr:nvSpPr>
        <xdr:spPr>
          <a:xfrm>
            <a:off x="0" y="1724844"/>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3</a:t>
            </a:r>
          </a:p>
        </xdr:txBody>
      </xdr:sp>
    </xdr:grpSp>
    <xdr:clientData/>
  </xdr:twoCellAnchor>
  <xdr:twoCellAnchor editAs="absolute">
    <xdr:from>
      <xdr:col>3</xdr:col>
      <xdr:colOff>683932</xdr:colOff>
      <xdr:row>0</xdr:row>
      <xdr:rowOff>51921</xdr:rowOff>
    </xdr:from>
    <xdr:to>
      <xdr:col>7</xdr:col>
      <xdr:colOff>64807</xdr:colOff>
      <xdr:row>3</xdr:row>
      <xdr:rowOff>13707</xdr:rowOff>
    </xdr:to>
    <xdr:sp macro="" textlink="">
      <xdr:nvSpPr>
        <xdr:cNvPr id="11" name="Rectangle 10">
          <a:extLst>
            <a:ext uri="{FF2B5EF4-FFF2-40B4-BE49-F238E27FC236}">
              <a16:creationId xmlns:a16="http://schemas.microsoft.com/office/drawing/2014/main" id="{16F59CA1-E84A-4720-8866-849A81D26143}"/>
            </a:ext>
          </a:extLst>
        </xdr:cNvPr>
        <xdr:cNvSpPr/>
      </xdr:nvSpPr>
      <xdr:spPr>
        <a:xfrm>
          <a:off x="2611344" y="51921"/>
          <a:ext cx="649287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10</xdr:row>
      <xdr:rowOff>632370</xdr:rowOff>
    </xdr:from>
    <xdr:to>
      <xdr:col>1</xdr:col>
      <xdr:colOff>529641</xdr:colOff>
      <xdr:row>11</xdr:row>
      <xdr:rowOff>141929</xdr:rowOff>
    </xdr:to>
    <xdr:sp macro="" textlink="">
      <xdr:nvSpPr>
        <xdr:cNvPr id="12" name="Rectangle 11">
          <a:hlinkClick xmlns:r="http://schemas.openxmlformats.org/officeDocument/2006/relationships" r:id="rId7" tooltip="Risks and Issues"/>
          <a:extLst>
            <a:ext uri="{FF2B5EF4-FFF2-40B4-BE49-F238E27FC236}">
              <a16:creationId xmlns:a16="http://schemas.microsoft.com/office/drawing/2014/main" id="{BD0BB0E5-812B-4CAB-8137-DCAE6C9D817F}"/>
            </a:ext>
          </a:extLst>
        </xdr:cNvPr>
        <xdr:cNvSpPr/>
      </xdr:nvSpPr>
      <xdr:spPr>
        <a:xfrm>
          <a:off x="0" y="2232570"/>
          <a:ext cx="1170991" cy="23345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5</a:t>
          </a:r>
        </a:p>
      </xdr:txBody>
    </xdr:sp>
    <xdr:clientData/>
  </xdr:twoCellAnchor>
  <xdr:twoCellAnchor>
    <xdr:from>
      <xdr:col>0</xdr:col>
      <xdr:colOff>19050</xdr:colOff>
      <xdr:row>12</xdr:row>
      <xdr:rowOff>48170</xdr:rowOff>
    </xdr:from>
    <xdr:to>
      <xdr:col>1</xdr:col>
      <xdr:colOff>548691</xdr:colOff>
      <xdr:row>13</xdr:row>
      <xdr:rowOff>33979</xdr:rowOff>
    </xdr:to>
    <xdr:sp macro="" textlink="">
      <xdr:nvSpPr>
        <xdr:cNvPr id="13" name="Rectangle 12">
          <a:hlinkClick xmlns:r="http://schemas.openxmlformats.org/officeDocument/2006/relationships" r:id="rId8" tooltip="Risks and Issues"/>
          <a:extLst>
            <a:ext uri="{FF2B5EF4-FFF2-40B4-BE49-F238E27FC236}">
              <a16:creationId xmlns:a16="http://schemas.microsoft.com/office/drawing/2014/main" id="{1AB3283C-772A-45E3-BF3B-265794A65AFC}"/>
            </a:ext>
          </a:extLst>
        </xdr:cNvPr>
        <xdr:cNvSpPr/>
      </xdr:nvSpPr>
      <xdr:spPr>
        <a:xfrm>
          <a:off x="19050" y="2562770"/>
          <a:ext cx="1170991" cy="239809"/>
        </a:xfrm>
        <a:prstGeom prst="rect">
          <a:avLst/>
        </a:prstGeom>
        <a:solidFill>
          <a:schemeClr val="accent4"/>
        </a:solidFill>
      </xdr:spPr>
      <xdr:txBody>
        <a:bodyPr wrap="square" lIns="91440" tIns="45720" rIns="91440" bIns="45720" anchor="ctr">
          <a:spAutoFit/>
        </a:bodyPr>
        <a:lstStyle/>
        <a:p>
          <a:pPr marL="0" indent="0" algn="l"/>
          <a:r>
            <a:rPr lang="en-US" sz="1000" b="0" cap="none" spc="0">
              <a:ln w="0"/>
              <a:solidFill>
                <a:schemeClr val="tx1"/>
              </a:solidFill>
              <a:effectLst/>
              <a:latin typeface="Arial" panose="020B0604020202020204" pitchFamily="34" charset="0"/>
              <a:ea typeface="+mn-ea"/>
              <a:cs typeface="Arial" panose="020B0604020202020204" pitchFamily="34" charset="0"/>
            </a:rPr>
            <a:t>Contract Cost</a:t>
          </a:r>
        </a:p>
      </xdr:txBody>
    </xdr:sp>
    <xdr:clientData/>
  </xdr:twoCellAnchor>
  <xdr:twoCellAnchor>
    <xdr:from>
      <xdr:col>0</xdr:col>
      <xdr:colOff>0</xdr:colOff>
      <xdr:row>13</xdr:row>
      <xdr:rowOff>158750</xdr:rowOff>
    </xdr:from>
    <xdr:to>
      <xdr:col>1</xdr:col>
      <xdr:colOff>529641</xdr:colOff>
      <xdr:row>14</xdr:row>
      <xdr:rowOff>82148</xdr:rowOff>
    </xdr:to>
    <xdr:sp macro="" textlink="">
      <xdr:nvSpPr>
        <xdr:cNvPr id="14" name="Rectangle 13">
          <a:hlinkClick xmlns:r="http://schemas.openxmlformats.org/officeDocument/2006/relationships" r:id="rId9" tooltip="Risks and Issues"/>
          <a:extLst>
            <a:ext uri="{FF2B5EF4-FFF2-40B4-BE49-F238E27FC236}">
              <a16:creationId xmlns:a16="http://schemas.microsoft.com/office/drawing/2014/main" id="{2C995AA3-C97D-4BCB-AA21-113E4FC84DFD}"/>
            </a:ext>
          </a:extLst>
        </xdr:cNvPr>
        <xdr:cNvSpPr/>
      </xdr:nvSpPr>
      <xdr:spPr>
        <a:xfrm>
          <a:off x="0" y="2927350"/>
          <a:ext cx="1170991" cy="3043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0</xdr:colOff>
      <xdr:row>15</xdr:row>
      <xdr:rowOff>0</xdr:rowOff>
    </xdr:from>
    <xdr:to>
      <xdr:col>1</xdr:col>
      <xdr:colOff>529641</xdr:colOff>
      <xdr:row>16</xdr:row>
      <xdr:rowOff>63098</xdr:rowOff>
    </xdr:to>
    <xdr:sp macro="" textlink="">
      <xdr:nvSpPr>
        <xdr:cNvPr id="15" name="Rectangle 14">
          <a:hlinkClick xmlns:r="http://schemas.openxmlformats.org/officeDocument/2006/relationships" r:id="rId10" tooltip="Risks and Issues"/>
          <a:extLst>
            <a:ext uri="{FF2B5EF4-FFF2-40B4-BE49-F238E27FC236}">
              <a16:creationId xmlns:a16="http://schemas.microsoft.com/office/drawing/2014/main" id="{C5DAE614-9DBE-4B7F-9306-3C19CCAA641B}"/>
            </a:ext>
          </a:extLst>
        </xdr:cNvPr>
        <xdr:cNvSpPr/>
      </xdr:nvSpPr>
      <xdr:spPr>
        <a:xfrm>
          <a:off x="0" y="332105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17</xdr:row>
      <xdr:rowOff>82550</xdr:rowOff>
    </xdr:from>
    <xdr:to>
      <xdr:col>1</xdr:col>
      <xdr:colOff>529641</xdr:colOff>
      <xdr:row>17</xdr:row>
      <xdr:rowOff>317098</xdr:rowOff>
    </xdr:to>
    <xdr:sp macro="" textlink="">
      <xdr:nvSpPr>
        <xdr:cNvPr id="16" name="Rectangle 15">
          <a:hlinkClick xmlns:r="http://schemas.openxmlformats.org/officeDocument/2006/relationships" r:id="rId11" tooltip="Risks and Issues"/>
          <a:extLst>
            <a:ext uri="{FF2B5EF4-FFF2-40B4-BE49-F238E27FC236}">
              <a16:creationId xmlns:a16="http://schemas.microsoft.com/office/drawing/2014/main" id="{BB27E816-C9C7-41C6-983B-395D174E0AD4}"/>
            </a:ext>
          </a:extLst>
        </xdr:cNvPr>
        <xdr:cNvSpPr/>
      </xdr:nvSpPr>
      <xdr:spPr>
        <a:xfrm>
          <a:off x="0" y="368935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5</xdr:col>
      <xdr:colOff>179294</xdr:colOff>
      <xdr:row>51</xdr:row>
      <xdr:rowOff>149411</xdr:rowOff>
    </xdr:from>
    <xdr:to>
      <xdr:col>6</xdr:col>
      <xdr:colOff>336177</xdr:colOff>
      <xdr:row>54</xdr:row>
      <xdr:rowOff>134471</xdr:rowOff>
    </xdr:to>
    <xdr:sp macro="[0]!CostNext" textlink="">
      <xdr:nvSpPr>
        <xdr:cNvPr id="22" name="Arrow: Right 21">
          <a:extLst>
            <a:ext uri="{FF2B5EF4-FFF2-40B4-BE49-F238E27FC236}">
              <a16:creationId xmlns:a16="http://schemas.microsoft.com/office/drawing/2014/main" id="{6BC73E1C-5639-4F4C-A3B5-8712C7E5C65D}"/>
            </a:ext>
          </a:extLst>
        </xdr:cNvPr>
        <xdr:cNvSpPr/>
      </xdr:nvSpPr>
      <xdr:spPr>
        <a:xfrm>
          <a:off x="7717118" y="14186646"/>
          <a:ext cx="1016000" cy="545354"/>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Next</a:t>
          </a:r>
        </a:p>
      </xdr:txBody>
    </xdr:sp>
    <xdr:clientData/>
  </xdr:twoCellAnchor>
  <xdr:twoCellAnchor>
    <xdr:from>
      <xdr:col>2</xdr:col>
      <xdr:colOff>317875</xdr:colOff>
      <xdr:row>52</xdr:row>
      <xdr:rowOff>0</xdr:rowOff>
    </xdr:from>
    <xdr:to>
      <xdr:col>3</xdr:col>
      <xdr:colOff>683932</xdr:colOff>
      <xdr:row>54</xdr:row>
      <xdr:rowOff>171824</xdr:rowOff>
    </xdr:to>
    <xdr:sp macro="[0]!CostBack" textlink="">
      <xdr:nvSpPr>
        <xdr:cNvPr id="23" name="Arrow: Left 22">
          <a:extLst>
            <a:ext uri="{FF2B5EF4-FFF2-40B4-BE49-F238E27FC236}">
              <a16:creationId xmlns:a16="http://schemas.microsoft.com/office/drawing/2014/main" id="{6E518387-1402-4DD4-AABC-BC23CAA71311}"/>
            </a:ext>
          </a:extLst>
        </xdr:cNvPr>
        <xdr:cNvSpPr/>
      </xdr:nvSpPr>
      <xdr:spPr>
        <a:xfrm>
          <a:off x="1602816" y="14224000"/>
          <a:ext cx="1008528" cy="545353"/>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3</xdr:col>
      <xdr:colOff>654050</xdr:colOff>
      <xdr:row>0</xdr:row>
      <xdr:rowOff>44450</xdr:rowOff>
    </xdr:from>
    <xdr:to>
      <xdr:col>5</xdr:col>
      <xdr:colOff>535455</xdr:colOff>
      <xdr:row>3</xdr:row>
      <xdr:rowOff>6236</xdr:rowOff>
    </xdr:to>
    <xdr:sp macro="" textlink="">
      <xdr:nvSpPr>
        <xdr:cNvPr id="11" name="Rectangle 10">
          <a:extLst>
            <a:ext uri="{FF2B5EF4-FFF2-40B4-BE49-F238E27FC236}">
              <a16:creationId xmlns:a16="http://schemas.microsoft.com/office/drawing/2014/main" id="{4705DB2D-3B49-47D9-BC1F-0D45EF3DADA2}"/>
            </a:ext>
          </a:extLst>
        </xdr:cNvPr>
        <xdr:cNvSpPr/>
      </xdr:nvSpPr>
      <xdr:spPr>
        <a:xfrm>
          <a:off x="2578100" y="44450"/>
          <a:ext cx="648652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15</xdr:row>
      <xdr:rowOff>168089</xdr:rowOff>
    </xdr:from>
    <xdr:to>
      <xdr:col>1</xdr:col>
      <xdr:colOff>560293</xdr:colOff>
      <xdr:row>16</xdr:row>
      <xdr:rowOff>89647</xdr:rowOff>
    </xdr:to>
    <xdr:sp macro="" textlink="">
      <xdr:nvSpPr>
        <xdr:cNvPr id="15" name="Rectangle 14">
          <a:hlinkClick xmlns:r="http://schemas.openxmlformats.org/officeDocument/2006/relationships" r:id="rId1" tooltip="Risks and Issues"/>
          <a:extLst>
            <a:ext uri="{FF2B5EF4-FFF2-40B4-BE49-F238E27FC236}">
              <a16:creationId xmlns:a16="http://schemas.microsoft.com/office/drawing/2014/main" id="{B51F3124-CD2B-4DEA-9E3E-DC7EBF9CF5F2}"/>
            </a:ext>
          </a:extLst>
        </xdr:cNvPr>
        <xdr:cNvSpPr/>
      </xdr:nvSpPr>
      <xdr:spPr>
        <a:xfrm>
          <a:off x="0" y="3529854"/>
          <a:ext cx="1202764" cy="242793"/>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16</xdr:row>
      <xdr:rowOff>242047</xdr:rowOff>
    </xdr:from>
    <xdr:to>
      <xdr:col>1</xdr:col>
      <xdr:colOff>529641</xdr:colOff>
      <xdr:row>17</xdr:row>
      <xdr:rowOff>155734</xdr:rowOff>
    </xdr:to>
    <xdr:sp macro="" textlink="">
      <xdr:nvSpPr>
        <xdr:cNvPr id="16" name="Rectangle 15">
          <a:hlinkClick xmlns:r="http://schemas.openxmlformats.org/officeDocument/2006/relationships" r:id="rId2" tooltip="Risks and Issues"/>
          <a:extLst>
            <a:ext uri="{FF2B5EF4-FFF2-40B4-BE49-F238E27FC236}">
              <a16:creationId xmlns:a16="http://schemas.microsoft.com/office/drawing/2014/main" id="{C71E92BA-3B18-4BD5-B0F0-B849C6D894D6}"/>
            </a:ext>
          </a:extLst>
        </xdr:cNvPr>
        <xdr:cNvSpPr/>
      </xdr:nvSpPr>
      <xdr:spPr>
        <a:xfrm>
          <a:off x="0" y="3925047"/>
          <a:ext cx="1172112" cy="23492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36286</xdr:colOff>
      <xdr:row>0</xdr:row>
      <xdr:rowOff>0</xdr:rowOff>
    </xdr:from>
    <xdr:to>
      <xdr:col>2</xdr:col>
      <xdr:colOff>498929</xdr:colOff>
      <xdr:row>25</xdr:row>
      <xdr:rowOff>272143</xdr:rowOff>
    </xdr:to>
    <xdr:sp macro="" textlink="">
      <xdr:nvSpPr>
        <xdr:cNvPr id="90" name="Rectangle 89">
          <a:extLst>
            <a:ext uri="{FF2B5EF4-FFF2-40B4-BE49-F238E27FC236}">
              <a16:creationId xmlns:a16="http://schemas.microsoft.com/office/drawing/2014/main" id="{AC59B498-2807-499E-A0C6-1845AE93C087}"/>
            </a:ext>
          </a:extLst>
        </xdr:cNvPr>
        <xdr:cNvSpPr/>
      </xdr:nvSpPr>
      <xdr:spPr>
        <a:xfrm>
          <a:off x="36286" y="0"/>
          <a:ext cx="1750786" cy="6985000"/>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90714</xdr:rowOff>
    </xdr:to>
    <xdr:sp macro="" textlink="">
      <xdr:nvSpPr>
        <xdr:cNvPr id="91" name="Rectangle 90">
          <a:extLst>
            <a:ext uri="{FF2B5EF4-FFF2-40B4-BE49-F238E27FC236}">
              <a16:creationId xmlns:a16="http://schemas.microsoft.com/office/drawing/2014/main" id="{73B1283A-58DE-45BF-8F1F-9A290BC0E113}"/>
            </a:ext>
          </a:extLst>
        </xdr:cNvPr>
        <xdr:cNvSpPr/>
      </xdr:nvSpPr>
      <xdr:spPr>
        <a:xfrm>
          <a:off x="644071" y="0"/>
          <a:ext cx="13900150" cy="471714"/>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19050</xdr:rowOff>
    </xdr:to>
    <xdr:sp macro="" textlink="">
      <xdr:nvSpPr>
        <xdr:cNvPr id="92" name="Rectangle 91">
          <a:extLst>
            <a:ext uri="{FF2B5EF4-FFF2-40B4-BE49-F238E27FC236}">
              <a16:creationId xmlns:a16="http://schemas.microsoft.com/office/drawing/2014/main" id="{C1BC9685-F25E-49D3-9D92-75EEB482B5A7}"/>
            </a:ext>
          </a:extLst>
        </xdr:cNvPr>
        <xdr:cNvSpPr/>
      </xdr:nvSpPr>
      <xdr:spPr>
        <a:xfrm>
          <a:off x="644071" y="0"/>
          <a:ext cx="13900150" cy="40005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154215</xdr:colOff>
      <xdr:row>12</xdr:row>
      <xdr:rowOff>207785</xdr:rowOff>
    </xdr:from>
    <xdr:to>
      <xdr:col>2</xdr:col>
      <xdr:colOff>38322</xdr:colOff>
      <xdr:row>13</xdr:row>
      <xdr:rowOff>131381</xdr:rowOff>
    </xdr:to>
    <xdr:sp macro="" textlink="">
      <xdr:nvSpPr>
        <xdr:cNvPr id="93" name="Rectangle 92">
          <a:hlinkClick xmlns:r="http://schemas.openxmlformats.org/officeDocument/2006/relationships" r:id="rId3" tooltip="Risks and Issues"/>
          <a:extLst>
            <a:ext uri="{FF2B5EF4-FFF2-40B4-BE49-F238E27FC236}">
              <a16:creationId xmlns:a16="http://schemas.microsoft.com/office/drawing/2014/main" id="{AC0953C5-C731-443B-B91A-5CAF694A734B}"/>
            </a:ext>
          </a:extLst>
        </xdr:cNvPr>
        <xdr:cNvSpPr/>
      </xdr:nvSpPr>
      <xdr:spPr>
        <a:xfrm>
          <a:off x="154215" y="2448428"/>
          <a:ext cx="1172250"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4</a:t>
          </a:r>
        </a:p>
      </xdr:txBody>
    </xdr:sp>
    <xdr:clientData/>
  </xdr:twoCellAnchor>
  <xdr:twoCellAnchor>
    <xdr:from>
      <xdr:col>0</xdr:col>
      <xdr:colOff>181429</xdr:colOff>
      <xdr:row>6</xdr:row>
      <xdr:rowOff>0</xdr:rowOff>
    </xdr:from>
    <xdr:to>
      <xdr:col>2</xdr:col>
      <xdr:colOff>188829</xdr:colOff>
      <xdr:row>7</xdr:row>
      <xdr:rowOff>59668</xdr:rowOff>
    </xdr:to>
    <xdr:sp macro="" textlink="">
      <xdr:nvSpPr>
        <xdr:cNvPr id="94" name="Rectangle 93">
          <a:hlinkClick xmlns:r="http://schemas.openxmlformats.org/officeDocument/2006/relationships" r:id="rId4"/>
          <a:extLst>
            <a:ext uri="{FF2B5EF4-FFF2-40B4-BE49-F238E27FC236}">
              <a16:creationId xmlns:a16="http://schemas.microsoft.com/office/drawing/2014/main" id="{2AFF390F-11CF-43F1-8DFD-EF39DBEAAFF8}"/>
            </a:ext>
          </a:extLst>
        </xdr:cNvPr>
        <xdr:cNvSpPr/>
      </xdr:nvSpPr>
      <xdr:spPr>
        <a:xfrm>
          <a:off x="181429" y="861786"/>
          <a:ext cx="1295543" cy="241096"/>
        </a:xfrm>
        <a:prstGeom prst="rect">
          <a:avLst/>
        </a:prstGeom>
        <a:solidFill>
          <a:schemeClr val="tx2">
            <a:lumMod val="75000"/>
          </a:schemeClr>
        </a:solidFill>
      </xdr:spPr>
      <xdr:txBody>
        <a:bodyPr wrap="square" lIns="91440" tIns="45720" rIns="91440" bIns="45720" anchor="ctr">
          <a:noAutofit/>
        </a:bodyPr>
        <a:lstStyle/>
        <a:p>
          <a:pPr algn="l"/>
          <a:r>
            <a:rPr lang="en-US" sz="1100" b="0" cap="none" spc="0">
              <a:ln w="0"/>
              <a:solidFill>
                <a:schemeClr val="bg1"/>
              </a:solidFill>
              <a:effectLst/>
              <a:latin typeface="Arial" panose="020B0604020202020204" pitchFamily="34" charset="0"/>
              <a:cs typeface="Arial" panose="020B0604020202020204" pitchFamily="34" charset="0"/>
            </a:rPr>
            <a:t>Home</a:t>
          </a:r>
          <a:r>
            <a:rPr lang="en-US" sz="1100" b="0" cap="none" spc="0" baseline="0">
              <a:ln w="0"/>
              <a:solidFill>
                <a:schemeClr val="bg1"/>
              </a:solidFill>
              <a:effectLst/>
              <a:latin typeface="Arial" panose="020B0604020202020204" pitchFamily="34" charset="0"/>
              <a:cs typeface="Arial" panose="020B0604020202020204" pitchFamily="34" charset="0"/>
            </a:rPr>
            <a:t> Page</a:t>
          </a:r>
          <a:endParaRPr lang="en-US" sz="11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154215</xdr:colOff>
      <xdr:row>8</xdr:row>
      <xdr:rowOff>49219</xdr:rowOff>
    </xdr:from>
    <xdr:to>
      <xdr:col>2</xdr:col>
      <xdr:colOff>156508</xdr:colOff>
      <xdr:row>9</xdr:row>
      <xdr:rowOff>99815</xdr:rowOff>
    </xdr:to>
    <xdr:sp macro="" textlink="">
      <xdr:nvSpPr>
        <xdr:cNvPr id="95" name="Rectangle 94">
          <a:hlinkClick xmlns:r="http://schemas.openxmlformats.org/officeDocument/2006/relationships" r:id="rId5" tooltip="Gantt View"/>
          <a:extLst>
            <a:ext uri="{FF2B5EF4-FFF2-40B4-BE49-F238E27FC236}">
              <a16:creationId xmlns:a16="http://schemas.microsoft.com/office/drawing/2014/main" id="{D48306CD-EB99-470D-AAAD-B67C08A5D491}"/>
            </a:ext>
          </a:extLst>
        </xdr:cNvPr>
        <xdr:cNvSpPr/>
      </xdr:nvSpPr>
      <xdr:spPr>
        <a:xfrm>
          <a:off x="154215" y="1273862"/>
          <a:ext cx="1290436"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clientData/>
  </xdr:twoCellAnchor>
  <xdr:twoCellAnchor>
    <xdr:from>
      <xdr:col>0</xdr:col>
      <xdr:colOff>154215</xdr:colOff>
      <xdr:row>9</xdr:row>
      <xdr:rowOff>123659</xdr:rowOff>
    </xdr:from>
    <xdr:to>
      <xdr:col>2</xdr:col>
      <xdr:colOff>38322</xdr:colOff>
      <xdr:row>10</xdr:row>
      <xdr:rowOff>174255</xdr:rowOff>
    </xdr:to>
    <xdr:sp macro="" textlink="">
      <xdr:nvSpPr>
        <xdr:cNvPr id="96" name="Rectangle 95">
          <a:hlinkClick xmlns:r="http://schemas.openxmlformats.org/officeDocument/2006/relationships" r:id="rId6" tooltip="Resource View"/>
          <a:extLst>
            <a:ext uri="{FF2B5EF4-FFF2-40B4-BE49-F238E27FC236}">
              <a16:creationId xmlns:a16="http://schemas.microsoft.com/office/drawing/2014/main" id="{45720E3F-EE44-4B35-B6C5-7DB666DCECD4}"/>
            </a:ext>
          </a:extLst>
        </xdr:cNvPr>
        <xdr:cNvSpPr/>
      </xdr:nvSpPr>
      <xdr:spPr>
        <a:xfrm>
          <a:off x="154215" y="1538802"/>
          <a:ext cx="1172250"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1</a:t>
          </a:r>
        </a:p>
      </xdr:txBody>
    </xdr:sp>
    <xdr:clientData/>
  </xdr:twoCellAnchor>
  <xdr:twoCellAnchor>
    <xdr:from>
      <xdr:col>0</xdr:col>
      <xdr:colOff>154215</xdr:colOff>
      <xdr:row>10</xdr:row>
      <xdr:rowOff>233198</xdr:rowOff>
    </xdr:from>
    <xdr:to>
      <xdr:col>2</xdr:col>
      <xdr:colOff>38322</xdr:colOff>
      <xdr:row>11</xdr:row>
      <xdr:rowOff>156794</xdr:rowOff>
    </xdr:to>
    <xdr:sp macro="" textlink="">
      <xdr:nvSpPr>
        <xdr:cNvPr id="97" name="Rectangle 96">
          <a:hlinkClick xmlns:r="http://schemas.openxmlformats.org/officeDocument/2006/relationships" r:id="rId7" tooltip="Timeline View"/>
          <a:extLst>
            <a:ext uri="{FF2B5EF4-FFF2-40B4-BE49-F238E27FC236}">
              <a16:creationId xmlns:a16="http://schemas.microsoft.com/office/drawing/2014/main" id="{A4743EEA-6BAA-4E32-B407-E50A90D713B1}"/>
            </a:ext>
          </a:extLst>
        </xdr:cNvPr>
        <xdr:cNvSpPr/>
      </xdr:nvSpPr>
      <xdr:spPr>
        <a:xfrm>
          <a:off x="154215" y="1838841"/>
          <a:ext cx="1172250"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2</a:t>
          </a:r>
        </a:p>
      </xdr:txBody>
    </xdr:sp>
    <xdr:clientData/>
  </xdr:twoCellAnchor>
  <xdr:twoCellAnchor>
    <xdr:from>
      <xdr:col>0</xdr:col>
      <xdr:colOff>154215</xdr:colOff>
      <xdr:row>11</xdr:row>
      <xdr:rowOff>241274</xdr:rowOff>
    </xdr:from>
    <xdr:to>
      <xdr:col>2</xdr:col>
      <xdr:colOff>38322</xdr:colOff>
      <xdr:row>12</xdr:row>
      <xdr:rowOff>164870</xdr:rowOff>
    </xdr:to>
    <xdr:sp macro="" textlink="">
      <xdr:nvSpPr>
        <xdr:cNvPr id="98" name="Rectangle 97">
          <a:hlinkClick xmlns:r="http://schemas.openxmlformats.org/officeDocument/2006/relationships" r:id="rId8" tooltip="Heatmap View"/>
          <a:extLst>
            <a:ext uri="{FF2B5EF4-FFF2-40B4-BE49-F238E27FC236}">
              <a16:creationId xmlns:a16="http://schemas.microsoft.com/office/drawing/2014/main" id="{94970175-B5D5-4BE5-AEE0-133E8EB1CD6F}"/>
            </a:ext>
          </a:extLst>
        </xdr:cNvPr>
        <xdr:cNvSpPr/>
      </xdr:nvSpPr>
      <xdr:spPr>
        <a:xfrm>
          <a:off x="154215" y="2164417"/>
          <a:ext cx="1172250"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3</a:t>
          </a:r>
        </a:p>
      </xdr:txBody>
    </xdr:sp>
    <xdr:clientData/>
  </xdr:twoCellAnchor>
  <xdr:twoCellAnchor>
    <xdr:from>
      <xdr:col>0</xdr:col>
      <xdr:colOff>90714</xdr:colOff>
      <xdr:row>17</xdr:row>
      <xdr:rowOff>364190</xdr:rowOff>
    </xdr:from>
    <xdr:to>
      <xdr:col>1</xdr:col>
      <xdr:colOff>618755</xdr:colOff>
      <xdr:row>18</xdr:row>
      <xdr:rowOff>215312</xdr:rowOff>
    </xdr:to>
    <xdr:sp macro="" textlink="">
      <xdr:nvSpPr>
        <xdr:cNvPr id="99" name="Rectangle 98">
          <a:hlinkClick xmlns:r="http://schemas.openxmlformats.org/officeDocument/2006/relationships" r:id="rId2" tooltip="Risks and Issues"/>
          <a:extLst>
            <a:ext uri="{FF2B5EF4-FFF2-40B4-BE49-F238E27FC236}">
              <a16:creationId xmlns:a16="http://schemas.microsoft.com/office/drawing/2014/main" id="{58ADDEE1-EBB9-4A75-8162-437B83D25404}"/>
            </a:ext>
          </a:extLst>
        </xdr:cNvPr>
        <xdr:cNvSpPr/>
      </xdr:nvSpPr>
      <xdr:spPr>
        <a:xfrm>
          <a:off x="90714" y="4192333"/>
          <a:ext cx="1172112" cy="440765"/>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113126</xdr:colOff>
      <xdr:row>14</xdr:row>
      <xdr:rowOff>0</xdr:rowOff>
    </xdr:from>
    <xdr:to>
      <xdr:col>1</xdr:col>
      <xdr:colOff>641167</xdr:colOff>
      <xdr:row>14</xdr:row>
      <xdr:rowOff>315632</xdr:rowOff>
    </xdr:to>
    <xdr:sp macro="" textlink="">
      <xdr:nvSpPr>
        <xdr:cNvPr id="100" name="Rectangle 99">
          <a:hlinkClick xmlns:r="http://schemas.openxmlformats.org/officeDocument/2006/relationships" r:id="rId9" tooltip="Risks and Issues"/>
          <a:extLst>
            <a:ext uri="{FF2B5EF4-FFF2-40B4-BE49-F238E27FC236}">
              <a16:creationId xmlns:a16="http://schemas.microsoft.com/office/drawing/2014/main" id="{B10D1B5A-DCCC-49A0-AF34-6985F3F807AC}"/>
            </a:ext>
          </a:extLst>
        </xdr:cNvPr>
        <xdr:cNvSpPr/>
      </xdr:nvSpPr>
      <xdr:spPr>
        <a:xfrm>
          <a:off x="113126" y="2875643"/>
          <a:ext cx="1172112"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113126</xdr:colOff>
      <xdr:row>15</xdr:row>
      <xdr:rowOff>162484</xdr:rowOff>
    </xdr:from>
    <xdr:to>
      <xdr:col>1</xdr:col>
      <xdr:colOff>640046</xdr:colOff>
      <xdr:row>16</xdr:row>
      <xdr:rowOff>84793</xdr:rowOff>
    </xdr:to>
    <xdr:sp macro="" textlink="">
      <xdr:nvSpPr>
        <xdr:cNvPr id="101" name="Rectangle 100">
          <a:hlinkClick xmlns:r="http://schemas.openxmlformats.org/officeDocument/2006/relationships" r:id="rId10" tooltip="Risks and Issues"/>
          <a:extLst>
            <a:ext uri="{FF2B5EF4-FFF2-40B4-BE49-F238E27FC236}">
              <a16:creationId xmlns:a16="http://schemas.microsoft.com/office/drawing/2014/main" id="{0D635A86-2B77-4F67-BADA-A6D10D6FE7DE}"/>
            </a:ext>
          </a:extLst>
        </xdr:cNvPr>
        <xdr:cNvSpPr/>
      </xdr:nvSpPr>
      <xdr:spPr>
        <a:xfrm>
          <a:off x="113126" y="3355627"/>
          <a:ext cx="1170991"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Cost</a:t>
          </a:r>
        </a:p>
      </xdr:txBody>
    </xdr:sp>
    <xdr:clientData/>
  </xdr:twoCellAnchor>
  <xdr:twoCellAnchor>
    <xdr:from>
      <xdr:col>0</xdr:col>
      <xdr:colOff>113126</xdr:colOff>
      <xdr:row>16</xdr:row>
      <xdr:rowOff>118034</xdr:rowOff>
    </xdr:from>
    <xdr:to>
      <xdr:col>1</xdr:col>
      <xdr:colOff>640046</xdr:colOff>
      <xdr:row>17</xdr:row>
      <xdr:rowOff>40343</xdr:rowOff>
    </xdr:to>
    <xdr:sp macro="" textlink="">
      <xdr:nvSpPr>
        <xdr:cNvPr id="102" name="Rectangle 101">
          <a:hlinkClick xmlns:r="http://schemas.openxmlformats.org/officeDocument/2006/relationships" r:id="rId11" tooltip="Risks and Issues"/>
          <a:extLst>
            <a:ext uri="{FF2B5EF4-FFF2-40B4-BE49-F238E27FC236}">
              <a16:creationId xmlns:a16="http://schemas.microsoft.com/office/drawing/2014/main" id="{D9F8C6D2-BCD4-49A0-97C0-6919968379C8}"/>
            </a:ext>
          </a:extLst>
        </xdr:cNvPr>
        <xdr:cNvSpPr/>
      </xdr:nvSpPr>
      <xdr:spPr>
        <a:xfrm>
          <a:off x="113126" y="3628677"/>
          <a:ext cx="1170991"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Other Issues</a:t>
          </a:r>
        </a:p>
      </xdr:txBody>
    </xdr:sp>
    <xdr:clientData/>
  </xdr:twoCellAnchor>
  <xdr:twoCellAnchor>
    <xdr:from>
      <xdr:col>0</xdr:col>
      <xdr:colOff>113126</xdr:colOff>
      <xdr:row>17</xdr:row>
      <xdr:rowOff>98984</xdr:rowOff>
    </xdr:from>
    <xdr:to>
      <xdr:col>1</xdr:col>
      <xdr:colOff>640046</xdr:colOff>
      <xdr:row>17</xdr:row>
      <xdr:rowOff>338793</xdr:rowOff>
    </xdr:to>
    <xdr:sp macro="" textlink="">
      <xdr:nvSpPr>
        <xdr:cNvPr id="103" name="Rectangle 102">
          <a:hlinkClick xmlns:r="http://schemas.openxmlformats.org/officeDocument/2006/relationships" r:id="rId1" tooltip="Risks and Issues"/>
          <a:extLst>
            <a:ext uri="{FF2B5EF4-FFF2-40B4-BE49-F238E27FC236}">
              <a16:creationId xmlns:a16="http://schemas.microsoft.com/office/drawing/2014/main" id="{BE6823BF-61BD-457A-97BB-D6E236146F6C}"/>
            </a:ext>
          </a:extLst>
        </xdr:cNvPr>
        <xdr:cNvSpPr/>
      </xdr:nvSpPr>
      <xdr:spPr>
        <a:xfrm>
          <a:off x="113126" y="3927127"/>
          <a:ext cx="1170991"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Clauses</a:t>
          </a:r>
        </a:p>
      </xdr:txBody>
    </xdr:sp>
    <xdr:clientData/>
  </xdr:twoCellAnchor>
  <xdr:twoCellAnchor>
    <xdr:from>
      <xdr:col>3</xdr:col>
      <xdr:colOff>0</xdr:colOff>
      <xdr:row>47</xdr:row>
      <xdr:rowOff>1</xdr:rowOff>
    </xdr:from>
    <xdr:to>
      <xdr:col>3</xdr:col>
      <xdr:colOff>1008528</xdr:colOff>
      <xdr:row>51</xdr:row>
      <xdr:rowOff>1</xdr:rowOff>
    </xdr:to>
    <xdr:sp macro="[0]!CostBack" textlink="">
      <xdr:nvSpPr>
        <xdr:cNvPr id="3" name="Arrow: Left 2">
          <a:extLst>
            <a:ext uri="{FF2B5EF4-FFF2-40B4-BE49-F238E27FC236}">
              <a16:creationId xmlns:a16="http://schemas.microsoft.com/office/drawing/2014/main" id="{600ADEA8-32C0-45E8-964D-1301AEB2BAAB}"/>
            </a:ext>
          </a:extLst>
        </xdr:cNvPr>
        <xdr:cNvSpPr/>
      </xdr:nvSpPr>
      <xdr:spPr>
        <a:xfrm>
          <a:off x="1932214" y="13652501"/>
          <a:ext cx="1008528" cy="725714"/>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twoCellAnchor>
    <xdr:from>
      <xdr:col>0</xdr:col>
      <xdr:colOff>0</xdr:colOff>
      <xdr:row>15</xdr:row>
      <xdr:rowOff>168089</xdr:rowOff>
    </xdr:from>
    <xdr:to>
      <xdr:col>1</xdr:col>
      <xdr:colOff>560293</xdr:colOff>
      <xdr:row>16</xdr:row>
      <xdr:rowOff>89647</xdr:rowOff>
    </xdr:to>
    <xdr:sp macro="" textlink="">
      <xdr:nvSpPr>
        <xdr:cNvPr id="2" name="Rectangle 1">
          <a:hlinkClick xmlns:r="http://schemas.openxmlformats.org/officeDocument/2006/relationships" r:id="rId1" tooltip="Risks and Issues"/>
          <a:extLst>
            <a:ext uri="{FF2B5EF4-FFF2-40B4-BE49-F238E27FC236}">
              <a16:creationId xmlns:a16="http://schemas.microsoft.com/office/drawing/2014/main" id="{D05DD4B6-F962-4C7C-944D-2C41BC2A1448}"/>
            </a:ext>
          </a:extLst>
        </xdr:cNvPr>
        <xdr:cNvSpPr/>
      </xdr:nvSpPr>
      <xdr:spPr>
        <a:xfrm>
          <a:off x="0" y="3362139"/>
          <a:ext cx="1201643" cy="23905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16</xdr:row>
      <xdr:rowOff>242047</xdr:rowOff>
    </xdr:from>
    <xdr:to>
      <xdr:col>1</xdr:col>
      <xdr:colOff>529641</xdr:colOff>
      <xdr:row>17</xdr:row>
      <xdr:rowOff>155734</xdr:rowOff>
    </xdr:to>
    <xdr:sp macro="" textlink="">
      <xdr:nvSpPr>
        <xdr:cNvPr id="5" name="Rectangle 4">
          <a:hlinkClick xmlns:r="http://schemas.openxmlformats.org/officeDocument/2006/relationships" r:id="rId2" tooltip="Risks and Issues"/>
          <a:extLst>
            <a:ext uri="{FF2B5EF4-FFF2-40B4-BE49-F238E27FC236}">
              <a16:creationId xmlns:a16="http://schemas.microsoft.com/office/drawing/2014/main" id="{B9E29BD4-8353-43A8-B1EE-5A67E9137487}"/>
            </a:ext>
          </a:extLst>
        </xdr:cNvPr>
        <xdr:cNvSpPr/>
      </xdr:nvSpPr>
      <xdr:spPr>
        <a:xfrm>
          <a:off x="0" y="3753597"/>
          <a:ext cx="1170991" cy="231187"/>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36286</xdr:colOff>
      <xdr:row>0</xdr:row>
      <xdr:rowOff>0</xdr:rowOff>
    </xdr:from>
    <xdr:to>
      <xdr:col>2</xdr:col>
      <xdr:colOff>498929</xdr:colOff>
      <xdr:row>25</xdr:row>
      <xdr:rowOff>272143</xdr:rowOff>
    </xdr:to>
    <xdr:sp macro="" textlink="">
      <xdr:nvSpPr>
        <xdr:cNvPr id="6" name="Rectangle 5">
          <a:extLst>
            <a:ext uri="{FF2B5EF4-FFF2-40B4-BE49-F238E27FC236}">
              <a16:creationId xmlns:a16="http://schemas.microsoft.com/office/drawing/2014/main" id="{496A5388-D2F8-427B-A867-46090E6EBDDC}"/>
            </a:ext>
          </a:extLst>
        </xdr:cNvPr>
        <xdr:cNvSpPr/>
      </xdr:nvSpPr>
      <xdr:spPr>
        <a:xfrm>
          <a:off x="36286" y="0"/>
          <a:ext cx="1745343" cy="6406243"/>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90714</xdr:rowOff>
    </xdr:to>
    <xdr:sp macro="" textlink="">
      <xdr:nvSpPr>
        <xdr:cNvPr id="7" name="Rectangle 6">
          <a:extLst>
            <a:ext uri="{FF2B5EF4-FFF2-40B4-BE49-F238E27FC236}">
              <a16:creationId xmlns:a16="http://schemas.microsoft.com/office/drawing/2014/main" id="{B1473936-D665-4F6E-B55A-10770D6CD331}"/>
            </a:ext>
          </a:extLst>
        </xdr:cNvPr>
        <xdr:cNvSpPr/>
      </xdr:nvSpPr>
      <xdr:spPr>
        <a:xfrm>
          <a:off x="641350" y="0"/>
          <a:ext cx="13898335" cy="471714"/>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19050</xdr:rowOff>
    </xdr:to>
    <xdr:sp macro="" textlink="">
      <xdr:nvSpPr>
        <xdr:cNvPr id="8" name="Rectangle 7">
          <a:extLst>
            <a:ext uri="{FF2B5EF4-FFF2-40B4-BE49-F238E27FC236}">
              <a16:creationId xmlns:a16="http://schemas.microsoft.com/office/drawing/2014/main" id="{609F91CB-B655-4D18-9C7C-B3AFBD4425FE}"/>
            </a:ext>
          </a:extLst>
        </xdr:cNvPr>
        <xdr:cNvSpPr/>
      </xdr:nvSpPr>
      <xdr:spPr>
        <a:xfrm>
          <a:off x="641350" y="0"/>
          <a:ext cx="13898335" cy="40005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154215</xdr:colOff>
      <xdr:row>12</xdr:row>
      <xdr:rowOff>207785</xdr:rowOff>
    </xdr:from>
    <xdr:to>
      <xdr:col>2</xdr:col>
      <xdr:colOff>38322</xdr:colOff>
      <xdr:row>13</xdr:row>
      <xdr:rowOff>131381</xdr:rowOff>
    </xdr:to>
    <xdr:sp macro="" textlink="">
      <xdr:nvSpPr>
        <xdr:cNvPr id="9" name="Rectangle 8">
          <a:hlinkClick xmlns:r="http://schemas.openxmlformats.org/officeDocument/2006/relationships" r:id="rId3" tooltip="Risks and Issues"/>
          <a:extLst>
            <a:ext uri="{FF2B5EF4-FFF2-40B4-BE49-F238E27FC236}">
              <a16:creationId xmlns:a16="http://schemas.microsoft.com/office/drawing/2014/main" id="{6C9197FA-642F-4BFA-BD61-61B749BAD29D}"/>
            </a:ext>
          </a:extLst>
        </xdr:cNvPr>
        <xdr:cNvSpPr/>
      </xdr:nvSpPr>
      <xdr:spPr>
        <a:xfrm>
          <a:off x="154215" y="2449335"/>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4</a:t>
          </a:r>
        </a:p>
      </xdr:txBody>
    </xdr:sp>
    <xdr:clientData/>
  </xdr:twoCellAnchor>
  <xdr:twoCellAnchor>
    <xdr:from>
      <xdr:col>0</xdr:col>
      <xdr:colOff>181429</xdr:colOff>
      <xdr:row>6</xdr:row>
      <xdr:rowOff>0</xdr:rowOff>
    </xdr:from>
    <xdr:to>
      <xdr:col>2</xdr:col>
      <xdr:colOff>188829</xdr:colOff>
      <xdr:row>7</xdr:row>
      <xdr:rowOff>59668</xdr:rowOff>
    </xdr:to>
    <xdr:sp macro="" textlink="">
      <xdr:nvSpPr>
        <xdr:cNvPr id="10" name="Rectangle 9">
          <a:hlinkClick xmlns:r="http://schemas.openxmlformats.org/officeDocument/2006/relationships" r:id="rId4"/>
          <a:extLst>
            <a:ext uri="{FF2B5EF4-FFF2-40B4-BE49-F238E27FC236}">
              <a16:creationId xmlns:a16="http://schemas.microsoft.com/office/drawing/2014/main" id="{F3B09032-4F9F-4A6A-AB7B-DC7BC474F20D}"/>
            </a:ext>
          </a:extLst>
        </xdr:cNvPr>
        <xdr:cNvSpPr/>
      </xdr:nvSpPr>
      <xdr:spPr>
        <a:xfrm>
          <a:off x="181429" y="857250"/>
          <a:ext cx="1290100" cy="243818"/>
        </a:xfrm>
        <a:prstGeom prst="rect">
          <a:avLst/>
        </a:prstGeom>
        <a:solidFill>
          <a:schemeClr val="tx2">
            <a:lumMod val="75000"/>
          </a:schemeClr>
        </a:solidFill>
      </xdr:spPr>
      <xdr:txBody>
        <a:bodyPr wrap="square" lIns="91440" tIns="45720" rIns="91440" bIns="45720" anchor="ctr">
          <a:noAutofit/>
        </a:bodyPr>
        <a:lstStyle/>
        <a:p>
          <a:pPr algn="l"/>
          <a:r>
            <a:rPr lang="en-US" sz="1100" b="0" cap="none" spc="0">
              <a:ln w="0"/>
              <a:solidFill>
                <a:schemeClr val="bg1"/>
              </a:solidFill>
              <a:effectLst/>
              <a:latin typeface="Arial" panose="020B0604020202020204" pitchFamily="34" charset="0"/>
              <a:cs typeface="Arial" panose="020B0604020202020204" pitchFamily="34" charset="0"/>
            </a:rPr>
            <a:t>Home</a:t>
          </a:r>
          <a:r>
            <a:rPr lang="en-US" sz="1100" b="0" cap="none" spc="0" baseline="0">
              <a:ln w="0"/>
              <a:solidFill>
                <a:schemeClr val="bg1"/>
              </a:solidFill>
              <a:effectLst/>
              <a:latin typeface="Arial" panose="020B0604020202020204" pitchFamily="34" charset="0"/>
              <a:cs typeface="Arial" panose="020B0604020202020204" pitchFamily="34" charset="0"/>
            </a:rPr>
            <a:t> Page</a:t>
          </a:r>
          <a:endParaRPr lang="en-US" sz="11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154215</xdr:colOff>
      <xdr:row>8</xdr:row>
      <xdr:rowOff>49219</xdr:rowOff>
    </xdr:from>
    <xdr:to>
      <xdr:col>2</xdr:col>
      <xdr:colOff>156508</xdr:colOff>
      <xdr:row>9</xdr:row>
      <xdr:rowOff>99815</xdr:rowOff>
    </xdr:to>
    <xdr:sp macro="" textlink="">
      <xdr:nvSpPr>
        <xdr:cNvPr id="12" name="Rectangle 11">
          <a:hlinkClick xmlns:r="http://schemas.openxmlformats.org/officeDocument/2006/relationships" r:id="rId5" tooltip="Gantt View"/>
          <a:extLst>
            <a:ext uri="{FF2B5EF4-FFF2-40B4-BE49-F238E27FC236}">
              <a16:creationId xmlns:a16="http://schemas.microsoft.com/office/drawing/2014/main" id="{9564232F-F509-4294-8892-48B769308681}"/>
            </a:ext>
          </a:extLst>
        </xdr:cNvPr>
        <xdr:cNvSpPr/>
      </xdr:nvSpPr>
      <xdr:spPr>
        <a:xfrm>
          <a:off x="154215" y="1274769"/>
          <a:ext cx="1284993"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clientData/>
  </xdr:twoCellAnchor>
  <xdr:twoCellAnchor>
    <xdr:from>
      <xdr:col>0</xdr:col>
      <xdr:colOff>154215</xdr:colOff>
      <xdr:row>9</xdr:row>
      <xdr:rowOff>123659</xdr:rowOff>
    </xdr:from>
    <xdr:to>
      <xdr:col>2</xdr:col>
      <xdr:colOff>38322</xdr:colOff>
      <xdr:row>10</xdr:row>
      <xdr:rowOff>174255</xdr:rowOff>
    </xdr:to>
    <xdr:sp macro="" textlink="">
      <xdr:nvSpPr>
        <xdr:cNvPr id="13" name="Rectangle 12">
          <a:hlinkClick xmlns:r="http://schemas.openxmlformats.org/officeDocument/2006/relationships" r:id="rId6" tooltip="Resource View"/>
          <a:extLst>
            <a:ext uri="{FF2B5EF4-FFF2-40B4-BE49-F238E27FC236}">
              <a16:creationId xmlns:a16="http://schemas.microsoft.com/office/drawing/2014/main" id="{1B654BF8-4DA2-41CC-A96D-CB4701166FFB}"/>
            </a:ext>
          </a:extLst>
        </xdr:cNvPr>
        <xdr:cNvSpPr/>
      </xdr:nvSpPr>
      <xdr:spPr>
        <a:xfrm>
          <a:off x="154215" y="1539709"/>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1</a:t>
          </a:r>
        </a:p>
      </xdr:txBody>
    </xdr:sp>
    <xdr:clientData/>
  </xdr:twoCellAnchor>
  <xdr:twoCellAnchor>
    <xdr:from>
      <xdr:col>0</xdr:col>
      <xdr:colOff>154215</xdr:colOff>
      <xdr:row>10</xdr:row>
      <xdr:rowOff>233198</xdr:rowOff>
    </xdr:from>
    <xdr:to>
      <xdr:col>2</xdr:col>
      <xdr:colOff>38322</xdr:colOff>
      <xdr:row>11</xdr:row>
      <xdr:rowOff>156794</xdr:rowOff>
    </xdr:to>
    <xdr:sp macro="" textlink="">
      <xdr:nvSpPr>
        <xdr:cNvPr id="14" name="Rectangle 13">
          <a:hlinkClick xmlns:r="http://schemas.openxmlformats.org/officeDocument/2006/relationships" r:id="rId7" tooltip="Timeline View"/>
          <a:extLst>
            <a:ext uri="{FF2B5EF4-FFF2-40B4-BE49-F238E27FC236}">
              <a16:creationId xmlns:a16="http://schemas.microsoft.com/office/drawing/2014/main" id="{9E4DE780-FF6E-4DCA-8ECD-AD33D4027565}"/>
            </a:ext>
          </a:extLst>
        </xdr:cNvPr>
        <xdr:cNvSpPr/>
      </xdr:nvSpPr>
      <xdr:spPr>
        <a:xfrm>
          <a:off x="154215" y="1839748"/>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2</a:t>
          </a:r>
        </a:p>
      </xdr:txBody>
    </xdr:sp>
    <xdr:clientData/>
  </xdr:twoCellAnchor>
  <xdr:twoCellAnchor>
    <xdr:from>
      <xdr:col>0</xdr:col>
      <xdr:colOff>154215</xdr:colOff>
      <xdr:row>11</xdr:row>
      <xdr:rowOff>241274</xdr:rowOff>
    </xdr:from>
    <xdr:to>
      <xdr:col>2</xdr:col>
      <xdr:colOff>38322</xdr:colOff>
      <xdr:row>12</xdr:row>
      <xdr:rowOff>164870</xdr:rowOff>
    </xdr:to>
    <xdr:sp macro="" textlink="">
      <xdr:nvSpPr>
        <xdr:cNvPr id="17" name="Rectangle 16">
          <a:hlinkClick xmlns:r="http://schemas.openxmlformats.org/officeDocument/2006/relationships" r:id="rId8" tooltip="Heatmap View"/>
          <a:extLst>
            <a:ext uri="{FF2B5EF4-FFF2-40B4-BE49-F238E27FC236}">
              <a16:creationId xmlns:a16="http://schemas.microsoft.com/office/drawing/2014/main" id="{9B592DE2-7D50-449E-8445-D18BFB3C3320}"/>
            </a:ext>
          </a:extLst>
        </xdr:cNvPr>
        <xdr:cNvSpPr/>
      </xdr:nvSpPr>
      <xdr:spPr>
        <a:xfrm>
          <a:off x="154215" y="2165324"/>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3</a:t>
          </a:r>
        </a:p>
      </xdr:txBody>
    </xdr:sp>
    <xdr:clientData/>
  </xdr:twoCellAnchor>
  <xdr:twoCellAnchor>
    <xdr:from>
      <xdr:col>0</xdr:col>
      <xdr:colOff>90714</xdr:colOff>
      <xdr:row>17</xdr:row>
      <xdr:rowOff>364190</xdr:rowOff>
    </xdr:from>
    <xdr:to>
      <xdr:col>1</xdr:col>
      <xdr:colOff>618755</xdr:colOff>
      <xdr:row>18</xdr:row>
      <xdr:rowOff>215312</xdr:rowOff>
    </xdr:to>
    <xdr:sp macro="" textlink="">
      <xdr:nvSpPr>
        <xdr:cNvPr id="18" name="Rectangle 17">
          <a:hlinkClick xmlns:r="http://schemas.openxmlformats.org/officeDocument/2006/relationships" r:id="rId2" tooltip="Risks and Issues"/>
          <a:extLst>
            <a:ext uri="{FF2B5EF4-FFF2-40B4-BE49-F238E27FC236}">
              <a16:creationId xmlns:a16="http://schemas.microsoft.com/office/drawing/2014/main" id="{66D588B8-F395-4B6F-91A3-CBEB2566D641}"/>
            </a:ext>
          </a:extLst>
        </xdr:cNvPr>
        <xdr:cNvSpPr/>
      </xdr:nvSpPr>
      <xdr:spPr>
        <a:xfrm>
          <a:off x="90714" y="4193240"/>
          <a:ext cx="1169391" cy="44167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113126</xdr:colOff>
      <xdr:row>14</xdr:row>
      <xdr:rowOff>0</xdr:rowOff>
    </xdr:from>
    <xdr:to>
      <xdr:col>1</xdr:col>
      <xdr:colOff>641167</xdr:colOff>
      <xdr:row>14</xdr:row>
      <xdr:rowOff>315632</xdr:rowOff>
    </xdr:to>
    <xdr:sp macro="" textlink="">
      <xdr:nvSpPr>
        <xdr:cNvPr id="19" name="Rectangle 18">
          <a:hlinkClick xmlns:r="http://schemas.openxmlformats.org/officeDocument/2006/relationships" r:id="rId9" tooltip="Risks and Issues"/>
          <a:extLst>
            <a:ext uri="{FF2B5EF4-FFF2-40B4-BE49-F238E27FC236}">
              <a16:creationId xmlns:a16="http://schemas.microsoft.com/office/drawing/2014/main" id="{13137084-0D12-4A34-A399-DB9FB1ED0A7E}"/>
            </a:ext>
          </a:extLst>
        </xdr:cNvPr>
        <xdr:cNvSpPr/>
      </xdr:nvSpPr>
      <xdr:spPr>
        <a:xfrm>
          <a:off x="113126" y="2876550"/>
          <a:ext cx="1169391"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113126</xdr:colOff>
      <xdr:row>15</xdr:row>
      <xdr:rowOff>162484</xdr:rowOff>
    </xdr:from>
    <xdr:to>
      <xdr:col>1</xdr:col>
      <xdr:colOff>640046</xdr:colOff>
      <xdr:row>16</xdr:row>
      <xdr:rowOff>84793</xdr:rowOff>
    </xdr:to>
    <xdr:sp macro="" textlink="">
      <xdr:nvSpPr>
        <xdr:cNvPr id="20" name="Rectangle 19">
          <a:hlinkClick xmlns:r="http://schemas.openxmlformats.org/officeDocument/2006/relationships" r:id="rId10" tooltip="Risks and Issues"/>
          <a:extLst>
            <a:ext uri="{FF2B5EF4-FFF2-40B4-BE49-F238E27FC236}">
              <a16:creationId xmlns:a16="http://schemas.microsoft.com/office/drawing/2014/main" id="{77ADAC2F-4673-4821-A677-103287F71E35}"/>
            </a:ext>
          </a:extLst>
        </xdr:cNvPr>
        <xdr:cNvSpPr/>
      </xdr:nvSpPr>
      <xdr:spPr>
        <a:xfrm>
          <a:off x="113126" y="33565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Cost</a:t>
          </a:r>
        </a:p>
      </xdr:txBody>
    </xdr:sp>
    <xdr:clientData/>
  </xdr:twoCellAnchor>
  <xdr:twoCellAnchor>
    <xdr:from>
      <xdr:col>0</xdr:col>
      <xdr:colOff>113126</xdr:colOff>
      <xdr:row>16</xdr:row>
      <xdr:rowOff>118034</xdr:rowOff>
    </xdr:from>
    <xdr:to>
      <xdr:col>1</xdr:col>
      <xdr:colOff>640046</xdr:colOff>
      <xdr:row>17</xdr:row>
      <xdr:rowOff>40343</xdr:rowOff>
    </xdr:to>
    <xdr:sp macro="" textlink="">
      <xdr:nvSpPr>
        <xdr:cNvPr id="21" name="Rectangle 20">
          <a:hlinkClick xmlns:r="http://schemas.openxmlformats.org/officeDocument/2006/relationships" r:id="rId11" tooltip="Risks and Issues"/>
          <a:extLst>
            <a:ext uri="{FF2B5EF4-FFF2-40B4-BE49-F238E27FC236}">
              <a16:creationId xmlns:a16="http://schemas.microsoft.com/office/drawing/2014/main" id="{02A19F35-3342-43E7-AF4B-CD3073F5C22D}"/>
            </a:ext>
          </a:extLst>
        </xdr:cNvPr>
        <xdr:cNvSpPr/>
      </xdr:nvSpPr>
      <xdr:spPr>
        <a:xfrm>
          <a:off x="113126" y="362958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Other Issues</a:t>
          </a:r>
        </a:p>
      </xdr:txBody>
    </xdr:sp>
    <xdr:clientData/>
  </xdr:twoCellAnchor>
  <xdr:twoCellAnchor>
    <xdr:from>
      <xdr:col>0</xdr:col>
      <xdr:colOff>113126</xdr:colOff>
      <xdr:row>17</xdr:row>
      <xdr:rowOff>98984</xdr:rowOff>
    </xdr:from>
    <xdr:to>
      <xdr:col>1</xdr:col>
      <xdr:colOff>640046</xdr:colOff>
      <xdr:row>17</xdr:row>
      <xdr:rowOff>338793</xdr:rowOff>
    </xdr:to>
    <xdr:sp macro="" textlink="">
      <xdr:nvSpPr>
        <xdr:cNvPr id="22" name="Rectangle 21">
          <a:hlinkClick xmlns:r="http://schemas.openxmlformats.org/officeDocument/2006/relationships" r:id="rId1" tooltip="Risks and Issues"/>
          <a:extLst>
            <a:ext uri="{FF2B5EF4-FFF2-40B4-BE49-F238E27FC236}">
              <a16:creationId xmlns:a16="http://schemas.microsoft.com/office/drawing/2014/main" id="{CE27A299-CEA4-455B-A982-6137A10868B9}"/>
            </a:ext>
          </a:extLst>
        </xdr:cNvPr>
        <xdr:cNvSpPr/>
      </xdr:nvSpPr>
      <xdr:spPr>
        <a:xfrm>
          <a:off x="113126" y="39280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Clauses</a:t>
          </a:r>
        </a:p>
      </xdr:txBody>
    </xdr:sp>
    <xdr:clientData/>
  </xdr:twoCellAnchor>
  <xdr:twoCellAnchor>
    <xdr:from>
      <xdr:col>3</xdr:col>
      <xdr:colOff>0</xdr:colOff>
      <xdr:row>47</xdr:row>
      <xdr:rowOff>1</xdr:rowOff>
    </xdr:from>
    <xdr:to>
      <xdr:col>3</xdr:col>
      <xdr:colOff>1008528</xdr:colOff>
      <xdr:row>51</xdr:row>
      <xdr:rowOff>1</xdr:rowOff>
    </xdr:to>
    <xdr:sp macro="" textlink="">
      <xdr:nvSpPr>
        <xdr:cNvPr id="23" name="Arrow: Left 22">
          <a:extLst>
            <a:ext uri="{FF2B5EF4-FFF2-40B4-BE49-F238E27FC236}">
              <a16:creationId xmlns:a16="http://schemas.microsoft.com/office/drawing/2014/main" id="{DC67EC48-1078-46ED-AC43-53289C5BFD00}"/>
            </a:ext>
          </a:extLst>
        </xdr:cNvPr>
        <xdr:cNvSpPr/>
      </xdr:nvSpPr>
      <xdr:spPr>
        <a:xfrm>
          <a:off x="1924050" y="11531601"/>
          <a:ext cx="1008528" cy="736600"/>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twoCellAnchor>
    <xdr:from>
      <xdr:col>0</xdr:col>
      <xdr:colOff>0</xdr:colOff>
      <xdr:row>15</xdr:row>
      <xdr:rowOff>168089</xdr:rowOff>
    </xdr:from>
    <xdr:to>
      <xdr:col>1</xdr:col>
      <xdr:colOff>560293</xdr:colOff>
      <xdr:row>16</xdr:row>
      <xdr:rowOff>89647</xdr:rowOff>
    </xdr:to>
    <xdr:sp macro="" textlink="">
      <xdr:nvSpPr>
        <xdr:cNvPr id="25" name="Rectangle 24">
          <a:hlinkClick xmlns:r="http://schemas.openxmlformats.org/officeDocument/2006/relationships" r:id="rId1" tooltip="Risks and Issues"/>
          <a:extLst>
            <a:ext uri="{FF2B5EF4-FFF2-40B4-BE49-F238E27FC236}">
              <a16:creationId xmlns:a16="http://schemas.microsoft.com/office/drawing/2014/main" id="{6278A005-8463-486C-9678-E6532CB96522}"/>
            </a:ext>
          </a:extLst>
        </xdr:cNvPr>
        <xdr:cNvSpPr/>
      </xdr:nvSpPr>
      <xdr:spPr>
        <a:xfrm>
          <a:off x="0" y="3362139"/>
          <a:ext cx="1201643" cy="23905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16</xdr:row>
      <xdr:rowOff>242047</xdr:rowOff>
    </xdr:from>
    <xdr:to>
      <xdr:col>1</xdr:col>
      <xdr:colOff>529641</xdr:colOff>
      <xdr:row>17</xdr:row>
      <xdr:rowOff>155734</xdr:rowOff>
    </xdr:to>
    <xdr:sp macro="" textlink="">
      <xdr:nvSpPr>
        <xdr:cNvPr id="26" name="Rectangle 25">
          <a:hlinkClick xmlns:r="http://schemas.openxmlformats.org/officeDocument/2006/relationships" r:id="rId2" tooltip="Risks and Issues"/>
          <a:extLst>
            <a:ext uri="{FF2B5EF4-FFF2-40B4-BE49-F238E27FC236}">
              <a16:creationId xmlns:a16="http://schemas.microsoft.com/office/drawing/2014/main" id="{7B360D36-02E6-41DA-B30F-5E0B5134B778}"/>
            </a:ext>
          </a:extLst>
        </xdr:cNvPr>
        <xdr:cNvSpPr/>
      </xdr:nvSpPr>
      <xdr:spPr>
        <a:xfrm>
          <a:off x="0" y="3753597"/>
          <a:ext cx="1170991" cy="231187"/>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36286</xdr:colOff>
      <xdr:row>0</xdr:row>
      <xdr:rowOff>0</xdr:rowOff>
    </xdr:from>
    <xdr:to>
      <xdr:col>2</xdr:col>
      <xdr:colOff>498929</xdr:colOff>
      <xdr:row>25</xdr:row>
      <xdr:rowOff>272143</xdr:rowOff>
    </xdr:to>
    <xdr:sp macro="" textlink="">
      <xdr:nvSpPr>
        <xdr:cNvPr id="27" name="Rectangle 26">
          <a:extLst>
            <a:ext uri="{FF2B5EF4-FFF2-40B4-BE49-F238E27FC236}">
              <a16:creationId xmlns:a16="http://schemas.microsoft.com/office/drawing/2014/main" id="{F7063B6D-E8BC-4226-B70C-46BE79CDE9F8}"/>
            </a:ext>
          </a:extLst>
        </xdr:cNvPr>
        <xdr:cNvSpPr/>
      </xdr:nvSpPr>
      <xdr:spPr>
        <a:xfrm>
          <a:off x="36286" y="0"/>
          <a:ext cx="1745343" cy="6406243"/>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90714</xdr:rowOff>
    </xdr:to>
    <xdr:sp macro="" textlink="">
      <xdr:nvSpPr>
        <xdr:cNvPr id="28" name="Rectangle 27">
          <a:extLst>
            <a:ext uri="{FF2B5EF4-FFF2-40B4-BE49-F238E27FC236}">
              <a16:creationId xmlns:a16="http://schemas.microsoft.com/office/drawing/2014/main" id="{BA9FA54C-0490-4508-87CC-57B3C2638D4E}"/>
            </a:ext>
          </a:extLst>
        </xdr:cNvPr>
        <xdr:cNvSpPr/>
      </xdr:nvSpPr>
      <xdr:spPr>
        <a:xfrm>
          <a:off x="641350" y="0"/>
          <a:ext cx="13898335" cy="471714"/>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19050</xdr:rowOff>
    </xdr:to>
    <xdr:sp macro="" textlink="">
      <xdr:nvSpPr>
        <xdr:cNvPr id="29" name="Rectangle 28">
          <a:extLst>
            <a:ext uri="{FF2B5EF4-FFF2-40B4-BE49-F238E27FC236}">
              <a16:creationId xmlns:a16="http://schemas.microsoft.com/office/drawing/2014/main" id="{96685B23-B6FE-49C9-8261-F19D6D637A89}"/>
            </a:ext>
          </a:extLst>
        </xdr:cNvPr>
        <xdr:cNvSpPr/>
      </xdr:nvSpPr>
      <xdr:spPr>
        <a:xfrm>
          <a:off x="641350" y="0"/>
          <a:ext cx="13898335" cy="40005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154215</xdr:colOff>
      <xdr:row>12</xdr:row>
      <xdr:rowOff>207785</xdr:rowOff>
    </xdr:from>
    <xdr:to>
      <xdr:col>2</xdr:col>
      <xdr:colOff>38322</xdr:colOff>
      <xdr:row>13</xdr:row>
      <xdr:rowOff>131381</xdr:rowOff>
    </xdr:to>
    <xdr:sp macro="" textlink="">
      <xdr:nvSpPr>
        <xdr:cNvPr id="30" name="Rectangle 29">
          <a:hlinkClick xmlns:r="http://schemas.openxmlformats.org/officeDocument/2006/relationships" r:id="rId3" tooltip="Risks and Issues"/>
          <a:extLst>
            <a:ext uri="{FF2B5EF4-FFF2-40B4-BE49-F238E27FC236}">
              <a16:creationId xmlns:a16="http://schemas.microsoft.com/office/drawing/2014/main" id="{B8F6681B-08A9-4B01-8194-79C70D82BFF5}"/>
            </a:ext>
          </a:extLst>
        </xdr:cNvPr>
        <xdr:cNvSpPr/>
      </xdr:nvSpPr>
      <xdr:spPr>
        <a:xfrm>
          <a:off x="154215" y="2449335"/>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4</a:t>
          </a:r>
        </a:p>
      </xdr:txBody>
    </xdr:sp>
    <xdr:clientData/>
  </xdr:twoCellAnchor>
  <xdr:twoCellAnchor>
    <xdr:from>
      <xdr:col>0</xdr:col>
      <xdr:colOff>181429</xdr:colOff>
      <xdr:row>6</xdr:row>
      <xdr:rowOff>0</xdr:rowOff>
    </xdr:from>
    <xdr:to>
      <xdr:col>2</xdr:col>
      <xdr:colOff>188829</xdr:colOff>
      <xdr:row>7</xdr:row>
      <xdr:rowOff>59668</xdr:rowOff>
    </xdr:to>
    <xdr:sp macro="" textlink="">
      <xdr:nvSpPr>
        <xdr:cNvPr id="31" name="Rectangle 30">
          <a:hlinkClick xmlns:r="http://schemas.openxmlformats.org/officeDocument/2006/relationships" r:id="rId4"/>
          <a:extLst>
            <a:ext uri="{FF2B5EF4-FFF2-40B4-BE49-F238E27FC236}">
              <a16:creationId xmlns:a16="http://schemas.microsoft.com/office/drawing/2014/main" id="{4A00D64A-7F04-4402-97EE-0695BC7BDEF7}"/>
            </a:ext>
          </a:extLst>
        </xdr:cNvPr>
        <xdr:cNvSpPr/>
      </xdr:nvSpPr>
      <xdr:spPr>
        <a:xfrm>
          <a:off x="181429" y="857250"/>
          <a:ext cx="1290100" cy="243818"/>
        </a:xfrm>
        <a:prstGeom prst="rect">
          <a:avLst/>
        </a:prstGeom>
        <a:solidFill>
          <a:schemeClr val="tx2">
            <a:lumMod val="75000"/>
          </a:schemeClr>
        </a:solidFill>
      </xdr:spPr>
      <xdr:txBody>
        <a:bodyPr wrap="square" lIns="91440" tIns="45720" rIns="91440" bIns="45720" anchor="ctr">
          <a:noAutofit/>
        </a:bodyPr>
        <a:lstStyle/>
        <a:p>
          <a:pPr algn="l"/>
          <a:r>
            <a:rPr lang="en-US" sz="1100" b="0" cap="none" spc="0">
              <a:ln w="0"/>
              <a:solidFill>
                <a:schemeClr val="bg1"/>
              </a:solidFill>
              <a:effectLst/>
              <a:latin typeface="Arial" panose="020B0604020202020204" pitchFamily="34" charset="0"/>
              <a:cs typeface="Arial" panose="020B0604020202020204" pitchFamily="34" charset="0"/>
            </a:rPr>
            <a:t>Home</a:t>
          </a:r>
          <a:r>
            <a:rPr lang="en-US" sz="1100" b="0" cap="none" spc="0" baseline="0">
              <a:ln w="0"/>
              <a:solidFill>
                <a:schemeClr val="bg1"/>
              </a:solidFill>
              <a:effectLst/>
              <a:latin typeface="Arial" panose="020B0604020202020204" pitchFamily="34" charset="0"/>
              <a:cs typeface="Arial" panose="020B0604020202020204" pitchFamily="34" charset="0"/>
            </a:rPr>
            <a:t> Page</a:t>
          </a:r>
          <a:endParaRPr lang="en-US" sz="11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154215</xdr:colOff>
      <xdr:row>8</xdr:row>
      <xdr:rowOff>49219</xdr:rowOff>
    </xdr:from>
    <xdr:to>
      <xdr:col>2</xdr:col>
      <xdr:colOff>156508</xdr:colOff>
      <xdr:row>9</xdr:row>
      <xdr:rowOff>99815</xdr:rowOff>
    </xdr:to>
    <xdr:sp macro="" textlink="">
      <xdr:nvSpPr>
        <xdr:cNvPr id="32" name="Rectangle 31">
          <a:hlinkClick xmlns:r="http://schemas.openxmlformats.org/officeDocument/2006/relationships" r:id="rId5" tooltip="Gantt View"/>
          <a:extLst>
            <a:ext uri="{FF2B5EF4-FFF2-40B4-BE49-F238E27FC236}">
              <a16:creationId xmlns:a16="http://schemas.microsoft.com/office/drawing/2014/main" id="{CAF83A10-8C08-4D7C-B5CB-C41E6DC44C40}"/>
            </a:ext>
          </a:extLst>
        </xdr:cNvPr>
        <xdr:cNvSpPr/>
      </xdr:nvSpPr>
      <xdr:spPr>
        <a:xfrm>
          <a:off x="154215" y="1274769"/>
          <a:ext cx="1284993"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clientData/>
  </xdr:twoCellAnchor>
  <xdr:twoCellAnchor>
    <xdr:from>
      <xdr:col>0</xdr:col>
      <xdr:colOff>154215</xdr:colOff>
      <xdr:row>9</xdr:row>
      <xdr:rowOff>123659</xdr:rowOff>
    </xdr:from>
    <xdr:to>
      <xdr:col>2</xdr:col>
      <xdr:colOff>38322</xdr:colOff>
      <xdr:row>10</xdr:row>
      <xdr:rowOff>174255</xdr:rowOff>
    </xdr:to>
    <xdr:sp macro="" textlink="">
      <xdr:nvSpPr>
        <xdr:cNvPr id="33" name="Rectangle 32">
          <a:hlinkClick xmlns:r="http://schemas.openxmlformats.org/officeDocument/2006/relationships" r:id="rId6" tooltip="Resource View"/>
          <a:extLst>
            <a:ext uri="{FF2B5EF4-FFF2-40B4-BE49-F238E27FC236}">
              <a16:creationId xmlns:a16="http://schemas.microsoft.com/office/drawing/2014/main" id="{D1E2078A-5C21-45B8-98E4-6414B67C1B1C}"/>
            </a:ext>
          </a:extLst>
        </xdr:cNvPr>
        <xdr:cNvSpPr/>
      </xdr:nvSpPr>
      <xdr:spPr>
        <a:xfrm>
          <a:off x="154215" y="1539709"/>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1</a:t>
          </a:r>
        </a:p>
      </xdr:txBody>
    </xdr:sp>
    <xdr:clientData/>
  </xdr:twoCellAnchor>
  <xdr:twoCellAnchor>
    <xdr:from>
      <xdr:col>0</xdr:col>
      <xdr:colOff>154215</xdr:colOff>
      <xdr:row>10</xdr:row>
      <xdr:rowOff>233198</xdr:rowOff>
    </xdr:from>
    <xdr:to>
      <xdr:col>2</xdr:col>
      <xdr:colOff>38322</xdr:colOff>
      <xdr:row>11</xdr:row>
      <xdr:rowOff>156794</xdr:rowOff>
    </xdr:to>
    <xdr:sp macro="" textlink="">
      <xdr:nvSpPr>
        <xdr:cNvPr id="34" name="Rectangle 33">
          <a:hlinkClick xmlns:r="http://schemas.openxmlformats.org/officeDocument/2006/relationships" r:id="rId7" tooltip="Timeline View"/>
          <a:extLst>
            <a:ext uri="{FF2B5EF4-FFF2-40B4-BE49-F238E27FC236}">
              <a16:creationId xmlns:a16="http://schemas.microsoft.com/office/drawing/2014/main" id="{9FC13EBE-E435-44C0-8AF6-745B257FBC09}"/>
            </a:ext>
          </a:extLst>
        </xdr:cNvPr>
        <xdr:cNvSpPr/>
      </xdr:nvSpPr>
      <xdr:spPr>
        <a:xfrm>
          <a:off x="154215" y="1839748"/>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2</a:t>
          </a:r>
        </a:p>
      </xdr:txBody>
    </xdr:sp>
    <xdr:clientData/>
  </xdr:twoCellAnchor>
  <xdr:twoCellAnchor>
    <xdr:from>
      <xdr:col>0</xdr:col>
      <xdr:colOff>154215</xdr:colOff>
      <xdr:row>11</xdr:row>
      <xdr:rowOff>241274</xdr:rowOff>
    </xdr:from>
    <xdr:to>
      <xdr:col>2</xdr:col>
      <xdr:colOff>38322</xdr:colOff>
      <xdr:row>12</xdr:row>
      <xdr:rowOff>164870</xdr:rowOff>
    </xdr:to>
    <xdr:sp macro="" textlink="">
      <xdr:nvSpPr>
        <xdr:cNvPr id="35" name="Rectangle 34">
          <a:hlinkClick xmlns:r="http://schemas.openxmlformats.org/officeDocument/2006/relationships" r:id="rId8" tooltip="Heatmap View"/>
          <a:extLst>
            <a:ext uri="{FF2B5EF4-FFF2-40B4-BE49-F238E27FC236}">
              <a16:creationId xmlns:a16="http://schemas.microsoft.com/office/drawing/2014/main" id="{78D2353B-DC1B-4B06-A7C6-612C56458863}"/>
            </a:ext>
          </a:extLst>
        </xdr:cNvPr>
        <xdr:cNvSpPr/>
      </xdr:nvSpPr>
      <xdr:spPr>
        <a:xfrm>
          <a:off x="154215" y="2165324"/>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3</a:t>
          </a:r>
        </a:p>
      </xdr:txBody>
    </xdr:sp>
    <xdr:clientData/>
  </xdr:twoCellAnchor>
  <xdr:twoCellAnchor>
    <xdr:from>
      <xdr:col>0</xdr:col>
      <xdr:colOff>90714</xdr:colOff>
      <xdr:row>17</xdr:row>
      <xdr:rowOff>364190</xdr:rowOff>
    </xdr:from>
    <xdr:to>
      <xdr:col>1</xdr:col>
      <xdr:colOff>618755</xdr:colOff>
      <xdr:row>18</xdr:row>
      <xdr:rowOff>215312</xdr:rowOff>
    </xdr:to>
    <xdr:sp macro="" textlink="">
      <xdr:nvSpPr>
        <xdr:cNvPr id="36" name="Rectangle 35">
          <a:hlinkClick xmlns:r="http://schemas.openxmlformats.org/officeDocument/2006/relationships" r:id="rId2" tooltip="Risks and Issues"/>
          <a:extLst>
            <a:ext uri="{FF2B5EF4-FFF2-40B4-BE49-F238E27FC236}">
              <a16:creationId xmlns:a16="http://schemas.microsoft.com/office/drawing/2014/main" id="{AD8EB59C-A158-4263-BF1C-6EE84B5BEF30}"/>
            </a:ext>
          </a:extLst>
        </xdr:cNvPr>
        <xdr:cNvSpPr/>
      </xdr:nvSpPr>
      <xdr:spPr>
        <a:xfrm>
          <a:off x="90714" y="4193240"/>
          <a:ext cx="1169391" cy="44167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113126</xdr:colOff>
      <xdr:row>14</xdr:row>
      <xdr:rowOff>0</xdr:rowOff>
    </xdr:from>
    <xdr:to>
      <xdr:col>1</xdr:col>
      <xdr:colOff>641167</xdr:colOff>
      <xdr:row>14</xdr:row>
      <xdr:rowOff>315632</xdr:rowOff>
    </xdr:to>
    <xdr:sp macro="" textlink="">
      <xdr:nvSpPr>
        <xdr:cNvPr id="37" name="Rectangle 36">
          <a:hlinkClick xmlns:r="http://schemas.openxmlformats.org/officeDocument/2006/relationships" r:id="rId9" tooltip="Risks and Issues"/>
          <a:extLst>
            <a:ext uri="{FF2B5EF4-FFF2-40B4-BE49-F238E27FC236}">
              <a16:creationId xmlns:a16="http://schemas.microsoft.com/office/drawing/2014/main" id="{61E44CB8-2446-4A78-9CFA-08AAED0FE7CA}"/>
            </a:ext>
          </a:extLst>
        </xdr:cNvPr>
        <xdr:cNvSpPr/>
      </xdr:nvSpPr>
      <xdr:spPr>
        <a:xfrm>
          <a:off x="113126" y="2876550"/>
          <a:ext cx="1169391"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113126</xdr:colOff>
      <xdr:row>15</xdr:row>
      <xdr:rowOff>162484</xdr:rowOff>
    </xdr:from>
    <xdr:to>
      <xdr:col>1</xdr:col>
      <xdr:colOff>640046</xdr:colOff>
      <xdr:row>16</xdr:row>
      <xdr:rowOff>84793</xdr:rowOff>
    </xdr:to>
    <xdr:sp macro="" textlink="">
      <xdr:nvSpPr>
        <xdr:cNvPr id="38" name="Rectangle 37">
          <a:hlinkClick xmlns:r="http://schemas.openxmlformats.org/officeDocument/2006/relationships" r:id="rId10" tooltip="Risks and Issues"/>
          <a:extLst>
            <a:ext uri="{FF2B5EF4-FFF2-40B4-BE49-F238E27FC236}">
              <a16:creationId xmlns:a16="http://schemas.microsoft.com/office/drawing/2014/main" id="{8CD47ADA-B927-4678-B683-4ED775171A4B}"/>
            </a:ext>
          </a:extLst>
        </xdr:cNvPr>
        <xdr:cNvSpPr/>
      </xdr:nvSpPr>
      <xdr:spPr>
        <a:xfrm>
          <a:off x="113126" y="33565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Cost</a:t>
          </a:r>
        </a:p>
      </xdr:txBody>
    </xdr:sp>
    <xdr:clientData/>
  </xdr:twoCellAnchor>
  <xdr:twoCellAnchor>
    <xdr:from>
      <xdr:col>0</xdr:col>
      <xdr:colOff>113126</xdr:colOff>
      <xdr:row>16</xdr:row>
      <xdr:rowOff>118034</xdr:rowOff>
    </xdr:from>
    <xdr:to>
      <xdr:col>1</xdr:col>
      <xdr:colOff>640046</xdr:colOff>
      <xdr:row>17</xdr:row>
      <xdr:rowOff>40343</xdr:rowOff>
    </xdr:to>
    <xdr:sp macro="" textlink="">
      <xdr:nvSpPr>
        <xdr:cNvPr id="39" name="Rectangle 38">
          <a:hlinkClick xmlns:r="http://schemas.openxmlformats.org/officeDocument/2006/relationships" r:id="rId11" tooltip="Risks and Issues"/>
          <a:extLst>
            <a:ext uri="{FF2B5EF4-FFF2-40B4-BE49-F238E27FC236}">
              <a16:creationId xmlns:a16="http://schemas.microsoft.com/office/drawing/2014/main" id="{18B1620C-0BAA-48E5-9033-0AFE2B46BDE4}"/>
            </a:ext>
          </a:extLst>
        </xdr:cNvPr>
        <xdr:cNvSpPr/>
      </xdr:nvSpPr>
      <xdr:spPr>
        <a:xfrm>
          <a:off x="113126" y="362958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Other Issues</a:t>
          </a:r>
        </a:p>
      </xdr:txBody>
    </xdr:sp>
    <xdr:clientData/>
  </xdr:twoCellAnchor>
  <xdr:twoCellAnchor>
    <xdr:from>
      <xdr:col>0</xdr:col>
      <xdr:colOff>113126</xdr:colOff>
      <xdr:row>17</xdr:row>
      <xdr:rowOff>98984</xdr:rowOff>
    </xdr:from>
    <xdr:to>
      <xdr:col>1</xdr:col>
      <xdr:colOff>640046</xdr:colOff>
      <xdr:row>17</xdr:row>
      <xdr:rowOff>338793</xdr:rowOff>
    </xdr:to>
    <xdr:sp macro="" textlink="">
      <xdr:nvSpPr>
        <xdr:cNvPr id="40" name="Rectangle 39">
          <a:hlinkClick xmlns:r="http://schemas.openxmlformats.org/officeDocument/2006/relationships" r:id="rId1" tooltip="Risks and Issues"/>
          <a:extLst>
            <a:ext uri="{FF2B5EF4-FFF2-40B4-BE49-F238E27FC236}">
              <a16:creationId xmlns:a16="http://schemas.microsoft.com/office/drawing/2014/main" id="{7B09B4EE-B837-44D4-8A41-9C82C3AE5AA5}"/>
            </a:ext>
          </a:extLst>
        </xdr:cNvPr>
        <xdr:cNvSpPr/>
      </xdr:nvSpPr>
      <xdr:spPr>
        <a:xfrm>
          <a:off x="113126" y="39280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Clauses</a:t>
          </a:r>
        </a:p>
      </xdr:txBody>
    </xdr:sp>
    <xdr:clientData/>
  </xdr:twoCellAnchor>
  <xdr:twoCellAnchor>
    <xdr:from>
      <xdr:col>3</xdr:col>
      <xdr:colOff>0</xdr:colOff>
      <xdr:row>47</xdr:row>
      <xdr:rowOff>1</xdr:rowOff>
    </xdr:from>
    <xdr:to>
      <xdr:col>3</xdr:col>
      <xdr:colOff>1008528</xdr:colOff>
      <xdr:row>51</xdr:row>
      <xdr:rowOff>1</xdr:rowOff>
    </xdr:to>
    <xdr:sp macro="[0]!CostBack" textlink="">
      <xdr:nvSpPr>
        <xdr:cNvPr id="41" name="Arrow: Left 40">
          <a:extLst>
            <a:ext uri="{FF2B5EF4-FFF2-40B4-BE49-F238E27FC236}">
              <a16:creationId xmlns:a16="http://schemas.microsoft.com/office/drawing/2014/main" id="{08B54AD5-2B84-4730-8203-B2513FA8CD8D}"/>
            </a:ext>
          </a:extLst>
        </xdr:cNvPr>
        <xdr:cNvSpPr/>
      </xdr:nvSpPr>
      <xdr:spPr>
        <a:xfrm>
          <a:off x="1924050" y="11531601"/>
          <a:ext cx="1008528" cy="736600"/>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twoCellAnchor>
    <xdr:from>
      <xdr:col>6</xdr:col>
      <xdr:colOff>3308350</xdr:colOff>
      <xdr:row>46</xdr:row>
      <xdr:rowOff>81643</xdr:rowOff>
    </xdr:from>
    <xdr:to>
      <xdr:col>7</xdr:col>
      <xdr:colOff>562429</xdr:colOff>
      <xdr:row>49</xdr:row>
      <xdr:rowOff>81643</xdr:rowOff>
    </xdr:to>
    <xdr:sp macro="[0]!Otherissues" textlink="">
      <xdr:nvSpPr>
        <xdr:cNvPr id="42" name="Rectangle: Rounded Corners 41">
          <a:extLst>
            <a:ext uri="{FF2B5EF4-FFF2-40B4-BE49-F238E27FC236}">
              <a16:creationId xmlns:a16="http://schemas.microsoft.com/office/drawing/2014/main" id="{63865747-290B-4D3B-BDE4-A01DA84D0F63}"/>
            </a:ext>
          </a:extLst>
        </xdr:cNvPr>
        <xdr:cNvSpPr/>
      </xdr:nvSpPr>
      <xdr:spPr>
        <a:xfrm>
          <a:off x="12742636" y="11420929"/>
          <a:ext cx="1182007" cy="54428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IN" sz="1200" b="1"/>
            <a:t>Submit</a:t>
          </a:r>
        </a:p>
      </xdr:txBody>
    </xdr:sp>
    <xdr:clientData/>
  </xdr:twoCellAnchor>
  <xdr:twoCellAnchor>
    <xdr:from>
      <xdr:col>0</xdr:col>
      <xdr:colOff>0</xdr:colOff>
      <xdr:row>15</xdr:row>
      <xdr:rowOff>168089</xdr:rowOff>
    </xdr:from>
    <xdr:to>
      <xdr:col>1</xdr:col>
      <xdr:colOff>560293</xdr:colOff>
      <xdr:row>16</xdr:row>
      <xdr:rowOff>89647</xdr:rowOff>
    </xdr:to>
    <xdr:sp macro="" textlink="">
      <xdr:nvSpPr>
        <xdr:cNvPr id="43" name="Rectangle 42">
          <a:hlinkClick xmlns:r="http://schemas.openxmlformats.org/officeDocument/2006/relationships" r:id="rId1" tooltip="Risks and Issues"/>
          <a:extLst>
            <a:ext uri="{FF2B5EF4-FFF2-40B4-BE49-F238E27FC236}">
              <a16:creationId xmlns:a16="http://schemas.microsoft.com/office/drawing/2014/main" id="{6591D99F-8D1B-4AD1-A2B4-C5FE7F448F6D}"/>
            </a:ext>
          </a:extLst>
        </xdr:cNvPr>
        <xdr:cNvSpPr/>
      </xdr:nvSpPr>
      <xdr:spPr>
        <a:xfrm>
          <a:off x="0" y="3362139"/>
          <a:ext cx="1201643" cy="23905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16</xdr:row>
      <xdr:rowOff>242047</xdr:rowOff>
    </xdr:from>
    <xdr:to>
      <xdr:col>1</xdr:col>
      <xdr:colOff>529641</xdr:colOff>
      <xdr:row>17</xdr:row>
      <xdr:rowOff>155734</xdr:rowOff>
    </xdr:to>
    <xdr:sp macro="" textlink="">
      <xdr:nvSpPr>
        <xdr:cNvPr id="44" name="Rectangle 43">
          <a:hlinkClick xmlns:r="http://schemas.openxmlformats.org/officeDocument/2006/relationships" r:id="rId2" tooltip="Risks and Issues"/>
          <a:extLst>
            <a:ext uri="{FF2B5EF4-FFF2-40B4-BE49-F238E27FC236}">
              <a16:creationId xmlns:a16="http://schemas.microsoft.com/office/drawing/2014/main" id="{AFA61313-167C-4415-A132-B91431403CBB}"/>
            </a:ext>
          </a:extLst>
        </xdr:cNvPr>
        <xdr:cNvSpPr/>
      </xdr:nvSpPr>
      <xdr:spPr>
        <a:xfrm>
          <a:off x="0" y="3753597"/>
          <a:ext cx="1170991" cy="231187"/>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36286</xdr:colOff>
      <xdr:row>0</xdr:row>
      <xdr:rowOff>0</xdr:rowOff>
    </xdr:from>
    <xdr:to>
      <xdr:col>2</xdr:col>
      <xdr:colOff>498929</xdr:colOff>
      <xdr:row>25</xdr:row>
      <xdr:rowOff>272143</xdr:rowOff>
    </xdr:to>
    <xdr:sp macro="" textlink="">
      <xdr:nvSpPr>
        <xdr:cNvPr id="45" name="Rectangle 44">
          <a:extLst>
            <a:ext uri="{FF2B5EF4-FFF2-40B4-BE49-F238E27FC236}">
              <a16:creationId xmlns:a16="http://schemas.microsoft.com/office/drawing/2014/main" id="{3275BCBC-E3D8-4C22-8BE0-110866DF95D9}"/>
            </a:ext>
          </a:extLst>
        </xdr:cNvPr>
        <xdr:cNvSpPr/>
      </xdr:nvSpPr>
      <xdr:spPr>
        <a:xfrm>
          <a:off x="36286" y="0"/>
          <a:ext cx="1745343" cy="6406243"/>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90714</xdr:rowOff>
    </xdr:to>
    <xdr:sp macro="" textlink="">
      <xdr:nvSpPr>
        <xdr:cNvPr id="46" name="Rectangle 45">
          <a:extLst>
            <a:ext uri="{FF2B5EF4-FFF2-40B4-BE49-F238E27FC236}">
              <a16:creationId xmlns:a16="http://schemas.microsoft.com/office/drawing/2014/main" id="{8970D136-E2E9-4BCF-AF79-6BC03189AE07}"/>
            </a:ext>
          </a:extLst>
        </xdr:cNvPr>
        <xdr:cNvSpPr/>
      </xdr:nvSpPr>
      <xdr:spPr>
        <a:xfrm>
          <a:off x="641350" y="0"/>
          <a:ext cx="13898335" cy="471714"/>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19050</xdr:rowOff>
    </xdr:to>
    <xdr:sp macro="" textlink="">
      <xdr:nvSpPr>
        <xdr:cNvPr id="47" name="Rectangle 46">
          <a:extLst>
            <a:ext uri="{FF2B5EF4-FFF2-40B4-BE49-F238E27FC236}">
              <a16:creationId xmlns:a16="http://schemas.microsoft.com/office/drawing/2014/main" id="{B680CC60-3996-41C3-9E65-F14E5E1753F6}"/>
            </a:ext>
          </a:extLst>
        </xdr:cNvPr>
        <xdr:cNvSpPr/>
      </xdr:nvSpPr>
      <xdr:spPr>
        <a:xfrm>
          <a:off x="641350" y="0"/>
          <a:ext cx="13898335" cy="40005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154215</xdr:colOff>
      <xdr:row>12</xdr:row>
      <xdr:rowOff>207785</xdr:rowOff>
    </xdr:from>
    <xdr:to>
      <xdr:col>2</xdr:col>
      <xdr:colOff>38322</xdr:colOff>
      <xdr:row>13</xdr:row>
      <xdr:rowOff>131381</xdr:rowOff>
    </xdr:to>
    <xdr:sp macro="" textlink="">
      <xdr:nvSpPr>
        <xdr:cNvPr id="48" name="Rectangle 47">
          <a:hlinkClick xmlns:r="http://schemas.openxmlformats.org/officeDocument/2006/relationships" r:id="rId3" tooltip="Risks and Issues"/>
          <a:extLst>
            <a:ext uri="{FF2B5EF4-FFF2-40B4-BE49-F238E27FC236}">
              <a16:creationId xmlns:a16="http://schemas.microsoft.com/office/drawing/2014/main" id="{4304DD9A-53C3-4EEF-865D-55769152685C}"/>
            </a:ext>
          </a:extLst>
        </xdr:cNvPr>
        <xdr:cNvSpPr/>
      </xdr:nvSpPr>
      <xdr:spPr>
        <a:xfrm>
          <a:off x="154215" y="2449335"/>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4</a:t>
          </a:r>
        </a:p>
      </xdr:txBody>
    </xdr:sp>
    <xdr:clientData/>
  </xdr:twoCellAnchor>
  <xdr:twoCellAnchor>
    <xdr:from>
      <xdr:col>0</xdr:col>
      <xdr:colOff>181429</xdr:colOff>
      <xdr:row>6</xdr:row>
      <xdr:rowOff>0</xdr:rowOff>
    </xdr:from>
    <xdr:to>
      <xdr:col>2</xdr:col>
      <xdr:colOff>188829</xdr:colOff>
      <xdr:row>7</xdr:row>
      <xdr:rowOff>59668</xdr:rowOff>
    </xdr:to>
    <xdr:sp macro="" textlink="">
      <xdr:nvSpPr>
        <xdr:cNvPr id="49" name="Rectangle 48">
          <a:hlinkClick xmlns:r="http://schemas.openxmlformats.org/officeDocument/2006/relationships" r:id="rId4"/>
          <a:extLst>
            <a:ext uri="{FF2B5EF4-FFF2-40B4-BE49-F238E27FC236}">
              <a16:creationId xmlns:a16="http://schemas.microsoft.com/office/drawing/2014/main" id="{A9F7BD8C-7E09-48D4-BC2F-26CBA73AE263}"/>
            </a:ext>
          </a:extLst>
        </xdr:cNvPr>
        <xdr:cNvSpPr/>
      </xdr:nvSpPr>
      <xdr:spPr>
        <a:xfrm>
          <a:off x="181429" y="857250"/>
          <a:ext cx="1290100" cy="243818"/>
        </a:xfrm>
        <a:prstGeom prst="rect">
          <a:avLst/>
        </a:prstGeom>
        <a:solidFill>
          <a:schemeClr val="tx2">
            <a:lumMod val="75000"/>
          </a:schemeClr>
        </a:solidFill>
      </xdr:spPr>
      <xdr:txBody>
        <a:bodyPr wrap="square" lIns="91440" tIns="45720" rIns="91440" bIns="45720" anchor="ctr">
          <a:noAutofit/>
        </a:bodyPr>
        <a:lstStyle/>
        <a:p>
          <a:pPr algn="l"/>
          <a:r>
            <a:rPr lang="en-US" sz="1100" b="0" cap="none" spc="0">
              <a:ln w="0"/>
              <a:solidFill>
                <a:schemeClr val="bg1"/>
              </a:solidFill>
              <a:effectLst/>
              <a:latin typeface="Arial" panose="020B0604020202020204" pitchFamily="34" charset="0"/>
              <a:cs typeface="Arial" panose="020B0604020202020204" pitchFamily="34" charset="0"/>
            </a:rPr>
            <a:t>Home</a:t>
          </a:r>
          <a:r>
            <a:rPr lang="en-US" sz="1100" b="0" cap="none" spc="0" baseline="0">
              <a:ln w="0"/>
              <a:solidFill>
                <a:schemeClr val="bg1"/>
              </a:solidFill>
              <a:effectLst/>
              <a:latin typeface="Arial" panose="020B0604020202020204" pitchFamily="34" charset="0"/>
              <a:cs typeface="Arial" panose="020B0604020202020204" pitchFamily="34" charset="0"/>
            </a:rPr>
            <a:t> Page</a:t>
          </a:r>
          <a:endParaRPr lang="en-US" sz="11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154215</xdr:colOff>
      <xdr:row>8</xdr:row>
      <xdr:rowOff>49219</xdr:rowOff>
    </xdr:from>
    <xdr:to>
      <xdr:col>2</xdr:col>
      <xdr:colOff>156508</xdr:colOff>
      <xdr:row>9</xdr:row>
      <xdr:rowOff>99815</xdr:rowOff>
    </xdr:to>
    <xdr:sp macro="" textlink="">
      <xdr:nvSpPr>
        <xdr:cNvPr id="50" name="Rectangle 49">
          <a:hlinkClick xmlns:r="http://schemas.openxmlformats.org/officeDocument/2006/relationships" r:id="rId5" tooltip="Gantt View"/>
          <a:extLst>
            <a:ext uri="{FF2B5EF4-FFF2-40B4-BE49-F238E27FC236}">
              <a16:creationId xmlns:a16="http://schemas.microsoft.com/office/drawing/2014/main" id="{CBED4C21-F9B3-4F97-922D-056E2230CD07}"/>
            </a:ext>
          </a:extLst>
        </xdr:cNvPr>
        <xdr:cNvSpPr/>
      </xdr:nvSpPr>
      <xdr:spPr>
        <a:xfrm>
          <a:off x="154215" y="1274769"/>
          <a:ext cx="1284993"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clientData/>
  </xdr:twoCellAnchor>
  <xdr:twoCellAnchor>
    <xdr:from>
      <xdr:col>0</xdr:col>
      <xdr:colOff>154215</xdr:colOff>
      <xdr:row>9</xdr:row>
      <xdr:rowOff>123659</xdr:rowOff>
    </xdr:from>
    <xdr:to>
      <xdr:col>2</xdr:col>
      <xdr:colOff>38322</xdr:colOff>
      <xdr:row>10</xdr:row>
      <xdr:rowOff>174255</xdr:rowOff>
    </xdr:to>
    <xdr:sp macro="" textlink="">
      <xdr:nvSpPr>
        <xdr:cNvPr id="51" name="Rectangle 50">
          <a:hlinkClick xmlns:r="http://schemas.openxmlformats.org/officeDocument/2006/relationships" r:id="rId6" tooltip="Resource View"/>
          <a:extLst>
            <a:ext uri="{FF2B5EF4-FFF2-40B4-BE49-F238E27FC236}">
              <a16:creationId xmlns:a16="http://schemas.microsoft.com/office/drawing/2014/main" id="{5840FC31-BBB2-47F5-AAA6-0C02E8D4C0AF}"/>
            </a:ext>
          </a:extLst>
        </xdr:cNvPr>
        <xdr:cNvSpPr/>
      </xdr:nvSpPr>
      <xdr:spPr>
        <a:xfrm>
          <a:off x="154215" y="1539709"/>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1</a:t>
          </a:r>
        </a:p>
      </xdr:txBody>
    </xdr:sp>
    <xdr:clientData/>
  </xdr:twoCellAnchor>
  <xdr:twoCellAnchor>
    <xdr:from>
      <xdr:col>0</xdr:col>
      <xdr:colOff>154215</xdr:colOff>
      <xdr:row>10</xdr:row>
      <xdr:rowOff>233198</xdr:rowOff>
    </xdr:from>
    <xdr:to>
      <xdr:col>2</xdr:col>
      <xdr:colOff>38322</xdr:colOff>
      <xdr:row>11</xdr:row>
      <xdr:rowOff>156794</xdr:rowOff>
    </xdr:to>
    <xdr:sp macro="" textlink="">
      <xdr:nvSpPr>
        <xdr:cNvPr id="52" name="Rectangle 51">
          <a:hlinkClick xmlns:r="http://schemas.openxmlformats.org/officeDocument/2006/relationships" r:id="rId7" tooltip="Timeline View"/>
          <a:extLst>
            <a:ext uri="{FF2B5EF4-FFF2-40B4-BE49-F238E27FC236}">
              <a16:creationId xmlns:a16="http://schemas.microsoft.com/office/drawing/2014/main" id="{DC7BEA42-9CC9-47B2-9B8C-5E198609EDF0}"/>
            </a:ext>
          </a:extLst>
        </xdr:cNvPr>
        <xdr:cNvSpPr/>
      </xdr:nvSpPr>
      <xdr:spPr>
        <a:xfrm>
          <a:off x="154215" y="1839748"/>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2</a:t>
          </a:r>
        </a:p>
      </xdr:txBody>
    </xdr:sp>
    <xdr:clientData/>
  </xdr:twoCellAnchor>
  <xdr:twoCellAnchor>
    <xdr:from>
      <xdr:col>0</xdr:col>
      <xdr:colOff>154215</xdr:colOff>
      <xdr:row>11</xdr:row>
      <xdr:rowOff>241274</xdr:rowOff>
    </xdr:from>
    <xdr:to>
      <xdr:col>2</xdr:col>
      <xdr:colOff>38322</xdr:colOff>
      <xdr:row>12</xdr:row>
      <xdr:rowOff>164870</xdr:rowOff>
    </xdr:to>
    <xdr:sp macro="" textlink="">
      <xdr:nvSpPr>
        <xdr:cNvPr id="53" name="Rectangle 52">
          <a:hlinkClick xmlns:r="http://schemas.openxmlformats.org/officeDocument/2006/relationships" r:id="rId8" tooltip="Heatmap View"/>
          <a:extLst>
            <a:ext uri="{FF2B5EF4-FFF2-40B4-BE49-F238E27FC236}">
              <a16:creationId xmlns:a16="http://schemas.microsoft.com/office/drawing/2014/main" id="{621578D0-9220-4997-8DEE-D0361B2AE739}"/>
            </a:ext>
          </a:extLst>
        </xdr:cNvPr>
        <xdr:cNvSpPr/>
      </xdr:nvSpPr>
      <xdr:spPr>
        <a:xfrm>
          <a:off x="154215" y="2165324"/>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3</a:t>
          </a:r>
        </a:p>
      </xdr:txBody>
    </xdr:sp>
    <xdr:clientData/>
  </xdr:twoCellAnchor>
  <xdr:twoCellAnchor>
    <xdr:from>
      <xdr:col>0</xdr:col>
      <xdr:colOff>90714</xdr:colOff>
      <xdr:row>17</xdr:row>
      <xdr:rowOff>364190</xdr:rowOff>
    </xdr:from>
    <xdr:to>
      <xdr:col>1</xdr:col>
      <xdr:colOff>618755</xdr:colOff>
      <xdr:row>18</xdr:row>
      <xdr:rowOff>215312</xdr:rowOff>
    </xdr:to>
    <xdr:sp macro="" textlink="">
      <xdr:nvSpPr>
        <xdr:cNvPr id="54" name="Rectangle 53">
          <a:hlinkClick xmlns:r="http://schemas.openxmlformats.org/officeDocument/2006/relationships" r:id="rId2" tooltip="Risks and Issues"/>
          <a:extLst>
            <a:ext uri="{FF2B5EF4-FFF2-40B4-BE49-F238E27FC236}">
              <a16:creationId xmlns:a16="http://schemas.microsoft.com/office/drawing/2014/main" id="{F0E93D63-4D90-4D49-9360-0D674B98A0CD}"/>
            </a:ext>
          </a:extLst>
        </xdr:cNvPr>
        <xdr:cNvSpPr/>
      </xdr:nvSpPr>
      <xdr:spPr>
        <a:xfrm>
          <a:off x="90714" y="4193240"/>
          <a:ext cx="1169391" cy="44167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113126</xdr:colOff>
      <xdr:row>14</xdr:row>
      <xdr:rowOff>0</xdr:rowOff>
    </xdr:from>
    <xdr:to>
      <xdr:col>1</xdr:col>
      <xdr:colOff>641167</xdr:colOff>
      <xdr:row>14</xdr:row>
      <xdr:rowOff>315632</xdr:rowOff>
    </xdr:to>
    <xdr:sp macro="" textlink="">
      <xdr:nvSpPr>
        <xdr:cNvPr id="55" name="Rectangle 54">
          <a:hlinkClick xmlns:r="http://schemas.openxmlformats.org/officeDocument/2006/relationships" r:id="rId9" tooltip="Risks and Issues"/>
          <a:extLst>
            <a:ext uri="{FF2B5EF4-FFF2-40B4-BE49-F238E27FC236}">
              <a16:creationId xmlns:a16="http://schemas.microsoft.com/office/drawing/2014/main" id="{737F114A-2D30-4CFF-BBF4-011EADAFD9D3}"/>
            </a:ext>
          </a:extLst>
        </xdr:cNvPr>
        <xdr:cNvSpPr/>
      </xdr:nvSpPr>
      <xdr:spPr>
        <a:xfrm>
          <a:off x="113126" y="2876550"/>
          <a:ext cx="1169391"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113126</xdr:colOff>
      <xdr:row>15</xdr:row>
      <xdr:rowOff>162484</xdr:rowOff>
    </xdr:from>
    <xdr:to>
      <xdr:col>1</xdr:col>
      <xdr:colOff>640046</xdr:colOff>
      <xdr:row>16</xdr:row>
      <xdr:rowOff>84793</xdr:rowOff>
    </xdr:to>
    <xdr:sp macro="" textlink="">
      <xdr:nvSpPr>
        <xdr:cNvPr id="56" name="Rectangle 55">
          <a:hlinkClick xmlns:r="http://schemas.openxmlformats.org/officeDocument/2006/relationships" r:id="rId10" tooltip="Risks and Issues"/>
          <a:extLst>
            <a:ext uri="{FF2B5EF4-FFF2-40B4-BE49-F238E27FC236}">
              <a16:creationId xmlns:a16="http://schemas.microsoft.com/office/drawing/2014/main" id="{8E70007D-E6F9-4290-A815-D5094BB1A042}"/>
            </a:ext>
          </a:extLst>
        </xdr:cNvPr>
        <xdr:cNvSpPr/>
      </xdr:nvSpPr>
      <xdr:spPr>
        <a:xfrm>
          <a:off x="113126" y="33565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Cost</a:t>
          </a:r>
        </a:p>
      </xdr:txBody>
    </xdr:sp>
    <xdr:clientData/>
  </xdr:twoCellAnchor>
  <xdr:twoCellAnchor>
    <xdr:from>
      <xdr:col>0</xdr:col>
      <xdr:colOff>113126</xdr:colOff>
      <xdr:row>16</xdr:row>
      <xdr:rowOff>118034</xdr:rowOff>
    </xdr:from>
    <xdr:to>
      <xdr:col>1</xdr:col>
      <xdr:colOff>640046</xdr:colOff>
      <xdr:row>17</xdr:row>
      <xdr:rowOff>40343</xdr:rowOff>
    </xdr:to>
    <xdr:sp macro="" textlink="">
      <xdr:nvSpPr>
        <xdr:cNvPr id="57" name="Rectangle 56">
          <a:hlinkClick xmlns:r="http://schemas.openxmlformats.org/officeDocument/2006/relationships" r:id="rId11" tooltip="Risks and Issues"/>
          <a:extLst>
            <a:ext uri="{FF2B5EF4-FFF2-40B4-BE49-F238E27FC236}">
              <a16:creationId xmlns:a16="http://schemas.microsoft.com/office/drawing/2014/main" id="{DE570E57-23CB-42BE-A09F-7A7D9D4729AC}"/>
            </a:ext>
          </a:extLst>
        </xdr:cNvPr>
        <xdr:cNvSpPr/>
      </xdr:nvSpPr>
      <xdr:spPr>
        <a:xfrm>
          <a:off x="113126" y="362958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Other Issues</a:t>
          </a:r>
        </a:p>
      </xdr:txBody>
    </xdr:sp>
    <xdr:clientData/>
  </xdr:twoCellAnchor>
  <xdr:twoCellAnchor>
    <xdr:from>
      <xdr:col>0</xdr:col>
      <xdr:colOff>113126</xdr:colOff>
      <xdr:row>17</xdr:row>
      <xdr:rowOff>98984</xdr:rowOff>
    </xdr:from>
    <xdr:to>
      <xdr:col>1</xdr:col>
      <xdr:colOff>640046</xdr:colOff>
      <xdr:row>17</xdr:row>
      <xdr:rowOff>338793</xdr:rowOff>
    </xdr:to>
    <xdr:sp macro="" textlink="">
      <xdr:nvSpPr>
        <xdr:cNvPr id="58" name="Rectangle 57">
          <a:hlinkClick xmlns:r="http://schemas.openxmlformats.org/officeDocument/2006/relationships" r:id="rId1" tooltip="Risks and Issues"/>
          <a:extLst>
            <a:ext uri="{FF2B5EF4-FFF2-40B4-BE49-F238E27FC236}">
              <a16:creationId xmlns:a16="http://schemas.microsoft.com/office/drawing/2014/main" id="{75D71476-4C2F-44C0-A3C0-02FDB088A820}"/>
            </a:ext>
          </a:extLst>
        </xdr:cNvPr>
        <xdr:cNvSpPr/>
      </xdr:nvSpPr>
      <xdr:spPr>
        <a:xfrm>
          <a:off x="113126" y="39280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Clauses</a:t>
          </a:r>
        </a:p>
      </xdr:txBody>
    </xdr:sp>
    <xdr:clientData/>
  </xdr:twoCellAnchor>
  <xdr:twoCellAnchor>
    <xdr:from>
      <xdr:col>3</xdr:col>
      <xdr:colOff>0</xdr:colOff>
      <xdr:row>47</xdr:row>
      <xdr:rowOff>1</xdr:rowOff>
    </xdr:from>
    <xdr:to>
      <xdr:col>3</xdr:col>
      <xdr:colOff>1008528</xdr:colOff>
      <xdr:row>51</xdr:row>
      <xdr:rowOff>1</xdr:rowOff>
    </xdr:to>
    <xdr:sp macro="[0]!CostBack" textlink="">
      <xdr:nvSpPr>
        <xdr:cNvPr id="59" name="Arrow: Left 58">
          <a:extLst>
            <a:ext uri="{FF2B5EF4-FFF2-40B4-BE49-F238E27FC236}">
              <a16:creationId xmlns:a16="http://schemas.microsoft.com/office/drawing/2014/main" id="{D565919B-92D0-4FE4-AD5F-BD8A40A1EB6F}"/>
            </a:ext>
          </a:extLst>
        </xdr:cNvPr>
        <xdr:cNvSpPr/>
      </xdr:nvSpPr>
      <xdr:spPr>
        <a:xfrm>
          <a:off x="1924050" y="11531601"/>
          <a:ext cx="1008528" cy="736600"/>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twoCellAnchor>
    <xdr:from>
      <xdr:col>0</xdr:col>
      <xdr:colOff>0</xdr:colOff>
      <xdr:row>15</xdr:row>
      <xdr:rowOff>168089</xdr:rowOff>
    </xdr:from>
    <xdr:to>
      <xdr:col>1</xdr:col>
      <xdr:colOff>560293</xdr:colOff>
      <xdr:row>16</xdr:row>
      <xdr:rowOff>89647</xdr:rowOff>
    </xdr:to>
    <xdr:sp macro="" textlink="">
      <xdr:nvSpPr>
        <xdr:cNvPr id="61" name="Rectangle 60">
          <a:hlinkClick xmlns:r="http://schemas.openxmlformats.org/officeDocument/2006/relationships" r:id="rId1" tooltip="Risks and Issues"/>
          <a:extLst>
            <a:ext uri="{FF2B5EF4-FFF2-40B4-BE49-F238E27FC236}">
              <a16:creationId xmlns:a16="http://schemas.microsoft.com/office/drawing/2014/main" id="{ECC2A8EB-0DAF-4FB0-9B5F-199C3F4D3CC0}"/>
            </a:ext>
          </a:extLst>
        </xdr:cNvPr>
        <xdr:cNvSpPr/>
      </xdr:nvSpPr>
      <xdr:spPr>
        <a:xfrm>
          <a:off x="0" y="3362139"/>
          <a:ext cx="1201643" cy="23905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16</xdr:row>
      <xdr:rowOff>242047</xdr:rowOff>
    </xdr:from>
    <xdr:to>
      <xdr:col>1</xdr:col>
      <xdr:colOff>529641</xdr:colOff>
      <xdr:row>17</xdr:row>
      <xdr:rowOff>155734</xdr:rowOff>
    </xdr:to>
    <xdr:sp macro="" textlink="">
      <xdr:nvSpPr>
        <xdr:cNvPr id="62" name="Rectangle 61">
          <a:hlinkClick xmlns:r="http://schemas.openxmlformats.org/officeDocument/2006/relationships" r:id="rId2" tooltip="Risks and Issues"/>
          <a:extLst>
            <a:ext uri="{FF2B5EF4-FFF2-40B4-BE49-F238E27FC236}">
              <a16:creationId xmlns:a16="http://schemas.microsoft.com/office/drawing/2014/main" id="{1C308464-1B38-4B08-86B5-6D93F2033E1C}"/>
            </a:ext>
          </a:extLst>
        </xdr:cNvPr>
        <xdr:cNvSpPr/>
      </xdr:nvSpPr>
      <xdr:spPr>
        <a:xfrm>
          <a:off x="0" y="3753597"/>
          <a:ext cx="1170991" cy="231187"/>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36286</xdr:colOff>
      <xdr:row>0</xdr:row>
      <xdr:rowOff>0</xdr:rowOff>
    </xdr:from>
    <xdr:to>
      <xdr:col>2</xdr:col>
      <xdr:colOff>498929</xdr:colOff>
      <xdr:row>25</xdr:row>
      <xdr:rowOff>272143</xdr:rowOff>
    </xdr:to>
    <xdr:sp macro="" textlink="">
      <xdr:nvSpPr>
        <xdr:cNvPr id="63" name="Rectangle 62">
          <a:extLst>
            <a:ext uri="{FF2B5EF4-FFF2-40B4-BE49-F238E27FC236}">
              <a16:creationId xmlns:a16="http://schemas.microsoft.com/office/drawing/2014/main" id="{F2A942FF-C02F-4230-BFA9-E9E5F5FBED80}"/>
            </a:ext>
          </a:extLst>
        </xdr:cNvPr>
        <xdr:cNvSpPr/>
      </xdr:nvSpPr>
      <xdr:spPr>
        <a:xfrm>
          <a:off x="36286" y="0"/>
          <a:ext cx="1745343" cy="6406243"/>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90714</xdr:rowOff>
    </xdr:to>
    <xdr:sp macro="" textlink="">
      <xdr:nvSpPr>
        <xdr:cNvPr id="64" name="Rectangle 63">
          <a:extLst>
            <a:ext uri="{FF2B5EF4-FFF2-40B4-BE49-F238E27FC236}">
              <a16:creationId xmlns:a16="http://schemas.microsoft.com/office/drawing/2014/main" id="{4B1A0DBF-96F4-4FFB-8DFF-484A103B5262}"/>
            </a:ext>
          </a:extLst>
        </xdr:cNvPr>
        <xdr:cNvSpPr/>
      </xdr:nvSpPr>
      <xdr:spPr>
        <a:xfrm>
          <a:off x="641350" y="0"/>
          <a:ext cx="13898335" cy="471714"/>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19050</xdr:rowOff>
    </xdr:to>
    <xdr:sp macro="" textlink="">
      <xdr:nvSpPr>
        <xdr:cNvPr id="65" name="Rectangle 64">
          <a:extLst>
            <a:ext uri="{FF2B5EF4-FFF2-40B4-BE49-F238E27FC236}">
              <a16:creationId xmlns:a16="http://schemas.microsoft.com/office/drawing/2014/main" id="{A558E08A-E76C-4226-AABE-35A50B8726DA}"/>
            </a:ext>
          </a:extLst>
        </xdr:cNvPr>
        <xdr:cNvSpPr/>
      </xdr:nvSpPr>
      <xdr:spPr>
        <a:xfrm>
          <a:off x="641350" y="0"/>
          <a:ext cx="13898335" cy="40005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154215</xdr:colOff>
      <xdr:row>12</xdr:row>
      <xdr:rowOff>207785</xdr:rowOff>
    </xdr:from>
    <xdr:to>
      <xdr:col>2</xdr:col>
      <xdr:colOff>38322</xdr:colOff>
      <xdr:row>13</xdr:row>
      <xdr:rowOff>131381</xdr:rowOff>
    </xdr:to>
    <xdr:sp macro="" textlink="">
      <xdr:nvSpPr>
        <xdr:cNvPr id="66" name="Rectangle 65">
          <a:hlinkClick xmlns:r="http://schemas.openxmlformats.org/officeDocument/2006/relationships" r:id="rId3" tooltip="Risks and Issues"/>
          <a:extLst>
            <a:ext uri="{FF2B5EF4-FFF2-40B4-BE49-F238E27FC236}">
              <a16:creationId xmlns:a16="http://schemas.microsoft.com/office/drawing/2014/main" id="{239A3746-2C2E-46FA-87D5-6E4863BD4188}"/>
            </a:ext>
          </a:extLst>
        </xdr:cNvPr>
        <xdr:cNvSpPr/>
      </xdr:nvSpPr>
      <xdr:spPr>
        <a:xfrm>
          <a:off x="154215" y="2449335"/>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4</a:t>
          </a:r>
        </a:p>
      </xdr:txBody>
    </xdr:sp>
    <xdr:clientData/>
  </xdr:twoCellAnchor>
  <xdr:twoCellAnchor>
    <xdr:from>
      <xdr:col>0</xdr:col>
      <xdr:colOff>181429</xdr:colOff>
      <xdr:row>6</xdr:row>
      <xdr:rowOff>0</xdr:rowOff>
    </xdr:from>
    <xdr:to>
      <xdr:col>2</xdr:col>
      <xdr:colOff>188829</xdr:colOff>
      <xdr:row>7</xdr:row>
      <xdr:rowOff>59668</xdr:rowOff>
    </xdr:to>
    <xdr:sp macro="" textlink="">
      <xdr:nvSpPr>
        <xdr:cNvPr id="67" name="Rectangle 66">
          <a:hlinkClick xmlns:r="http://schemas.openxmlformats.org/officeDocument/2006/relationships" r:id="rId4"/>
          <a:extLst>
            <a:ext uri="{FF2B5EF4-FFF2-40B4-BE49-F238E27FC236}">
              <a16:creationId xmlns:a16="http://schemas.microsoft.com/office/drawing/2014/main" id="{C0301D7A-F216-43EB-8092-8BB6510384F2}"/>
            </a:ext>
          </a:extLst>
        </xdr:cNvPr>
        <xdr:cNvSpPr/>
      </xdr:nvSpPr>
      <xdr:spPr>
        <a:xfrm>
          <a:off x="181429" y="857250"/>
          <a:ext cx="1290100" cy="243818"/>
        </a:xfrm>
        <a:prstGeom prst="rect">
          <a:avLst/>
        </a:prstGeom>
        <a:solidFill>
          <a:schemeClr val="tx2">
            <a:lumMod val="75000"/>
          </a:schemeClr>
        </a:solidFill>
      </xdr:spPr>
      <xdr:txBody>
        <a:bodyPr wrap="square" lIns="91440" tIns="45720" rIns="91440" bIns="45720" anchor="ctr">
          <a:noAutofit/>
        </a:bodyPr>
        <a:lstStyle/>
        <a:p>
          <a:pPr algn="l"/>
          <a:r>
            <a:rPr lang="en-US" sz="1100" b="0" cap="none" spc="0">
              <a:ln w="0"/>
              <a:solidFill>
                <a:schemeClr val="bg1"/>
              </a:solidFill>
              <a:effectLst/>
              <a:latin typeface="Arial" panose="020B0604020202020204" pitchFamily="34" charset="0"/>
              <a:cs typeface="Arial" panose="020B0604020202020204" pitchFamily="34" charset="0"/>
            </a:rPr>
            <a:t>Home</a:t>
          </a:r>
          <a:r>
            <a:rPr lang="en-US" sz="1100" b="0" cap="none" spc="0" baseline="0">
              <a:ln w="0"/>
              <a:solidFill>
                <a:schemeClr val="bg1"/>
              </a:solidFill>
              <a:effectLst/>
              <a:latin typeface="Arial" panose="020B0604020202020204" pitchFamily="34" charset="0"/>
              <a:cs typeface="Arial" panose="020B0604020202020204" pitchFamily="34" charset="0"/>
            </a:rPr>
            <a:t> Page</a:t>
          </a:r>
          <a:endParaRPr lang="en-US" sz="11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154215</xdr:colOff>
      <xdr:row>8</xdr:row>
      <xdr:rowOff>49219</xdr:rowOff>
    </xdr:from>
    <xdr:to>
      <xdr:col>2</xdr:col>
      <xdr:colOff>156508</xdr:colOff>
      <xdr:row>9</xdr:row>
      <xdr:rowOff>99815</xdr:rowOff>
    </xdr:to>
    <xdr:sp macro="" textlink="">
      <xdr:nvSpPr>
        <xdr:cNvPr id="68" name="Rectangle 67">
          <a:hlinkClick xmlns:r="http://schemas.openxmlformats.org/officeDocument/2006/relationships" r:id="rId5" tooltip="Gantt View"/>
          <a:extLst>
            <a:ext uri="{FF2B5EF4-FFF2-40B4-BE49-F238E27FC236}">
              <a16:creationId xmlns:a16="http://schemas.microsoft.com/office/drawing/2014/main" id="{1A855F58-E754-4328-8641-EC23106722AE}"/>
            </a:ext>
          </a:extLst>
        </xdr:cNvPr>
        <xdr:cNvSpPr/>
      </xdr:nvSpPr>
      <xdr:spPr>
        <a:xfrm>
          <a:off x="154215" y="1274769"/>
          <a:ext cx="1284993"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clientData/>
  </xdr:twoCellAnchor>
  <xdr:twoCellAnchor>
    <xdr:from>
      <xdr:col>0</xdr:col>
      <xdr:colOff>154215</xdr:colOff>
      <xdr:row>9</xdr:row>
      <xdr:rowOff>123659</xdr:rowOff>
    </xdr:from>
    <xdr:to>
      <xdr:col>2</xdr:col>
      <xdr:colOff>38322</xdr:colOff>
      <xdr:row>10</xdr:row>
      <xdr:rowOff>174255</xdr:rowOff>
    </xdr:to>
    <xdr:sp macro="" textlink="">
      <xdr:nvSpPr>
        <xdr:cNvPr id="69" name="Rectangle 68">
          <a:hlinkClick xmlns:r="http://schemas.openxmlformats.org/officeDocument/2006/relationships" r:id="rId6" tooltip="Resource View"/>
          <a:extLst>
            <a:ext uri="{FF2B5EF4-FFF2-40B4-BE49-F238E27FC236}">
              <a16:creationId xmlns:a16="http://schemas.microsoft.com/office/drawing/2014/main" id="{D58FAEB3-133F-4A44-8240-7318A9C0FE71}"/>
            </a:ext>
          </a:extLst>
        </xdr:cNvPr>
        <xdr:cNvSpPr/>
      </xdr:nvSpPr>
      <xdr:spPr>
        <a:xfrm>
          <a:off x="154215" y="1539709"/>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1</a:t>
          </a:r>
        </a:p>
      </xdr:txBody>
    </xdr:sp>
    <xdr:clientData/>
  </xdr:twoCellAnchor>
  <xdr:twoCellAnchor>
    <xdr:from>
      <xdr:col>0</xdr:col>
      <xdr:colOff>154215</xdr:colOff>
      <xdr:row>10</xdr:row>
      <xdr:rowOff>233198</xdr:rowOff>
    </xdr:from>
    <xdr:to>
      <xdr:col>2</xdr:col>
      <xdr:colOff>38322</xdr:colOff>
      <xdr:row>11</xdr:row>
      <xdr:rowOff>156794</xdr:rowOff>
    </xdr:to>
    <xdr:sp macro="" textlink="">
      <xdr:nvSpPr>
        <xdr:cNvPr id="70" name="Rectangle 69">
          <a:hlinkClick xmlns:r="http://schemas.openxmlformats.org/officeDocument/2006/relationships" r:id="rId7" tooltip="Timeline View"/>
          <a:extLst>
            <a:ext uri="{FF2B5EF4-FFF2-40B4-BE49-F238E27FC236}">
              <a16:creationId xmlns:a16="http://schemas.microsoft.com/office/drawing/2014/main" id="{D0BC0072-1911-46FC-9DCA-800C7EDAAE1C}"/>
            </a:ext>
          </a:extLst>
        </xdr:cNvPr>
        <xdr:cNvSpPr/>
      </xdr:nvSpPr>
      <xdr:spPr>
        <a:xfrm>
          <a:off x="154215" y="1839748"/>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2</a:t>
          </a:r>
        </a:p>
      </xdr:txBody>
    </xdr:sp>
    <xdr:clientData/>
  </xdr:twoCellAnchor>
  <xdr:twoCellAnchor>
    <xdr:from>
      <xdr:col>0</xdr:col>
      <xdr:colOff>154215</xdr:colOff>
      <xdr:row>11</xdr:row>
      <xdr:rowOff>241274</xdr:rowOff>
    </xdr:from>
    <xdr:to>
      <xdr:col>2</xdr:col>
      <xdr:colOff>38322</xdr:colOff>
      <xdr:row>12</xdr:row>
      <xdr:rowOff>164870</xdr:rowOff>
    </xdr:to>
    <xdr:sp macro="" textlink="">
      <xdr:nvSpPr>
        <xdr:cNvPr id="71" name="Rectangle 70">
          <a:hlinkClick xmlns:r="http://schemas.openxmlformats.org/officeDocument/2006/relationships" r:id="rId8" tooltip="Heatmap View"/>
          <a:extLst>
            <a:ext uri="{FF2B5EF4-FFF2-40B4-BE49-F238E27FC236}">
              <a16:creationId xmlns:a16="http://schemas.microsoft.com/office/drawing/2014/main" id="{E175E534-4C68-4E45-9830-1485472D426B}"/>
            </a:ext>
          </a:extLst>
        </xdr:cNvPr>
        <xdr:cNvSpPr/>
      </xdr:nvSpPr>
      <xdr:spPr>
        <a:xfrm>
          <a:off x="154215" y="2165324"/>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3</a:t>
          </a:r>
        </a:p>
      </xdr:txBody>
    </xdr:sp>
    <xdr:clientData/>
  </xdr:twoCellAnchor>
  <xdr:twoCellAnchor>
    <xdr:from>
      <xdr:col>0</xdr:col>
      <xdr:colOff>90714</xdr:colOff>
      <xdr:row>17</xdr:row>
      <xdr:rowOff>364190</xdr:rowOff>
    </xdr:from>
    <xdr:to>
      <xdr:col>1</xdr:col>
      <xdr:colOff>618755</xdr:colOff>
      <xdr:row>18</xdr:row>
      <xdr:rowOff>215312</xdr:rowOff>
    </xdr:to>
    <xdr:sp macro="" textlink="">
      <xdr:nvSpPr>
        <xdr:cNvPr id="72" name="Rectangle 71">
          <a:hlinkClick xmlns:r="http://schemas.openxmlformats.org/officeDocument/2006/relationships" r:id="rId2" tooltip="Risks and Issues"/>
          <a:extLst>
            <a:ext uri="{FF2B5EF4-FFF2-40B4-BE49-F238E27FC236}">
              <a16:creationId xmlns:a16="http://schemas.microsoft.com/office/drawing/2014/main" id="{C22ACFC1-27D1-430D-85FC-C8EB4318B4EA}"/>
            </a:ext>
          </a:extLst>
        </xdr:cNvPr>
        <xdr:cNvSpPr/>
      </xdr:nvSpPr>
      <xdr:spPr>
        <a:xfrm>
          <a:off x="90714" y="4193240"/>
          <a:ext cx="1169391" cy="44167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113126</xdr:colOff>
      <xdr:row>14</xdr:row>
      <xdr:rowOff>0</xdr:rowOff>
    </xdr:from>
    <xdr:to>
      <xdr:col>1</xdr:col>
      <xdr:colOff>641167</xdr:colOff>
      <xdr:row>14</xdr:row>
      <xdr:rowOff>315632</xdr:rowOff>
    </xdr:to>
    <xdr:sp macro="" textlink="">
      <xdr:nvSpPr>
        <xdr:cNvPr id="73" name="Rectangle 72">
          <a:hlinkClick xmlns:r="http://schemas.openxmlformats.org/officeDocument/2006/relationships" r:id="rId9" tooltip="Risks and Issues"/>
          <a:extLst>
            <a:ext uri="{FF2B5EF4-FFF2-40B4-BE49-F238E27FC236}">
              <a16:creationId xmlns:a16="http://schemas.microsoft.com/office/drawing/2014/main" id="{908E3AE2-282F-4F12-A568-9A0E6B7CD1ED}"/>
            </a:ext>
          </a:extLst>
        </xdr:cNvPr>
        <xdr:cNvSpPr/>
      </xdr:nvSpPr>
      <xdr:spPr>
        <a:xfrm>
          <a:off x="113126" y="2876550"/>
          <a:ext cx="1169391"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113126</xdr:colOff>
      <xdr:row>15</xdr:row>
      <xdr:rowOff>162484</xdr:rowOff>
    </xdr:from>
    <xdr:to>
      <xdr:col>1</xdr:col>
      <xdr:colOff>640046</xdr:colOff>
      <xdr:row>16</xdr:row>
      <xdr:rowOff>84793</xdr:rowOff>
    </xdr:to>
    <xdr:sp macro="" textlink="">
      <xdr:nvSpPr>
        <xdr:cNvPr id="74" name="Rectangle 73">
          <a:hlinkClick xmlns:r="http://schemas.openxmlformats.org/officeDocument/2006/relationships" r:id="rId10" tooltip="Risks and Issues"/>
          <a:extLst>
            <a:ext uri="{FF2B5EF4-FFF2-40B4-BE49-F238E27FC236}">
              <a16:creationId xmlns:a16="http://schemas.microsoft.com/office/drawing/2014/main" id="{4420DF61-E96E-424F-98A9-36776AAC384A}"/>
            </a:ext>
          </a:extLst>
        </xdr:cNvPr>
        <xdr:cNvSpPr/>
      </xdr:nvSpPr>
      <xdr:spPr>
        <a:xfrm>
          <a:off x="113126" y="33565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Cost</a:t>
          </a:r>
        </a:p>
      </xdr:txBody>
    </xdr:sp>
    <xdr:clientData/>
  </xdr:twoCellAnchor>
  <xdr:twoCellAnchor>
    <xdr:from>
      <xdr:col>0</xdr:col>
      <xdr:colOff>113126</xdr:colOff>
      <xdr:row>16</xdr:row>
      <xdr:rowOff>118034</xdr:rowOff>
    </xdr:from>
    <xdr:to>
      <xdr:col>1</xdr:col>
      <xdr:colOff>640046</xdr:colOff>
      <xdr:row>17</xdr:row>
      <xdr:rowOff>40343</xdr:rowOff>
    </xdr:to>
    <xdr:sp macro="" textlink="">
      <xdr:nvSpPr>
        <xdr:cNvPr id="75" name="Rectangle 74">
          <a:hlinkClick xmlns:r="http://schemas.openxmlformats.org/officeDocument/2006/relationships" r:id="rId11" tooltip="Risks and Issues"/>
          <a:extLst>
            <a:ext uri="{FF2B5EF4-FFF2-40B4-BE49-F238E27FC236}">
              <a16:creationId xmlns:a16="http://schemas.microsoft.com/office/drawing/2014/main" id="{53D27014-C5BC-4B09-88C3-73F7E61EBCD6}"/>
            </a:ext>
          </a:extLst>
        </xdr:cNvPr>
        <xdr:cNvSpPr/>
      </xdr:nvSpPr>
      <xdr:spPr>
        <a:xfrm>
          <a:off x="113126" y="362958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Other Issues</a:t>
          </a:r>
        </a:p>
      </xdr:txBody>
    </xdr:sp>
    <xdr:clientData/>
  </xdr:twoCellAnchor>
  <xdr:twoCellAnchor>
    <xdr:from>
      <xdr:col>0</xdr:col>
      <xdr:colOff>113126</xdr:colOff>
      <xdr:row>17</xdr:row>
      <xdr:rowOff>98984</xdr:rowOff>
    </xdr:from>
    <xdr:to>
      <xdr:col>1</xdr:col>
      <xdr:colOff>640046</xdr:colOff>
      <xdr:row>17</xdr:row>
      <xdr:rowOff>338793</xdr:rowOff>
    </xdr:to>
    <xdr:sp macro="" textlink="">
      <xdr:nvSpPr>
        <xdr:cNvPr id="76" name="Rectangle 75">
          <a:hlinkClick xmlns:r="http://schemas.openxmlformats.org/officeDocument/2006/relationships" r:id="rId1" tooltip="Risks and Issues"/>
          <a:extLst>
            <a:ext uri="{FF2B5EF4-FFF2-40B4-BE49-F238E27FC236}">
              <a16:creationId xmlns:a16="http://schemas.microsoft.com/office/drawing/2014/main" id="{9FE3DB60-4705-45B2-AA9C-F4D7014FD710}"/>
            </a:ext>
          </a:extLst>
        </xdr:cNvPr>
        <xdr:cNvSpPr/>
      </xdr:nvSpPr>
      <xdr:spPr>
        <a:xfrm>
          <a:off x="113126" y="39280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Clauses</a:t>
          </a:r>
        </a:p>
      </xdr:txBody>
    </xdr:sp>
    <xdr:clientData/>
  </xdr:twoCellAnchor>
  <xdr:twoCellAnchor>
    <xdr:from>
      <xdr:col>3</xdr:col>
      <xdr:colOff>0</xdr:colOff>
      <xdr:row>47</xdr:row>
      <xdr:rowOff>1</xdr:rowOff>
    </xdr:from>
    <xdr:to>
      <xdr:col>3</xdr:col>
      <xdr:colOff>1008528</xdr:colOff>
      <xdr:row>51</xdr:row>
      <xdr:rowOff>1</xdr:rowOff>
    </xdr:to>
    <xdr:sp macro="[0]!CostBack" textlink="">
      <xdr:nvSpPr>
        <xdr:cNvPr id="77" name="Arrow: Left 76">
          <a:extLst>
            <a:ext uri="{FF2B5EF4-FFF2-40B4-BE49-F238E27FC236}">
              <a16:creationId xmlns:a16="http://schemas.microsoft.com/office/drawing/2014/main" id="{B2A8A1AB-7105-4C43-B642-9C9CD431264F}"/>
            </a:ext>
          </a:extLst>
        </xdr:cNvPr>
        <xdr:cNvSpPr/>
      </xdr:nvSpPr>
      <xdr:spPr>
        <a:xfrm>
          <a:off x="1924050" y="11531601"/>
          <a:ext cx="1008528" cy="736600"/>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13</xdr:col>
      <xdr:colOff>342900</xdr:colOff>
      <xdr:row>17</xdr:row>
      <xdr:rowOff>38099</xdr:rowOff>
    </xdr:to>
    <xdr:grpSp>
      <xdr:nvGrpSpPr>
        <xdr:cNvPr id="2" name="Group 1">
          <a:extLst>
            <a:ext uri="{FF2B5EF4-FFF2-40B4-BE49-F238E27FC236}">
              <a16:creationId xmlns:a16="http://schemas.microsoft.com/office/drawing/2014/main" id="{C67C910A-4438-461C-8C05-5E56846F35EF}"/>
            </a:ext>
          </a:extLst>
        </xdr:cNvPr>
        <xdr:cNvGrpSpPr/>
      </xdr:nvGrpSpPr>
      <xdr:grpSpPr>
        <a:xfrm>
          <a:off x="0" y="0"/>
          <a:ext cx="13900150" cy="5499099"/>
          <a:chOff x="0" y="0"/>
          <a:chExt cx="14653315" cy="5795347"/>
        </a:xfrm>
      </xdr:grpSpPr>
      <xdr:sp macro="" textlink="">
        <xdr:nvSpPr>
          <xdr:cNvPr id="3" name="Rectangle 2">
            <a:extLst>
              <a:ext uri="{FF2B5EF4-FFF2-40B4-BE49-F238E27FC236}">
                <a16:creationId xmlns:a16="http://schemas.microsoft.com/office/drawing/2014/main" id="{6AAEB06E-9503-2D4D-9AAF-4E5C3D641056}"/>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extLst>
              <a:ext uri="{FF2B5EF4-FFF2-40B4-BE49-F238E27FC236}">
                <a16:creationId xmlns:a16="http://schemas.microsoft.com/office/drawing/2014/main" id="{C2FDC8D5-02B8-7DDB-AC09-0D9D913B42E5}"/>
              </a:ext>
            </a:extLst>
          </xdr:cNvPr>
          <xdr:cNvSpPr/>
        </xdr:nvSpPr>
        <xdr:spPr>
          <a:xfrm>
            <a:off x="0" y="381449"/>
            <a:ext cx="1364274" cy="5413898"/>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hlinkClick xmlns:r="http://schemas.openxmlformats.org/officeDocument/2006/relationships" r:id="rId1"/>
            <a:extLst>
              <a:ext uri="{FF2B5EF4-FFF2-40B4-BE49-F238E27FC236}">
                <a16:creationId xmlns:a16="http://schemas.microsoft.com/office/drawing/2014/main" id="{077E443F-9BEB-526A-8F7F-F8DF054E23F4}"/>
              </a:ext>
            </a:extLst>
          </xdr:cNvPr>
          <xdr:cNvSpPr/>
        </xdr:nvSpPr>
        <xdr:spPr>
          <a:xfrm>
            <a:off x="0" y="449981"/>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6" name="Rectangle 5">
            <a:hlinkClick xmlns:r="http://schemas.openxmlformats.org/officeDocument/2006/relationships" r:id="rId2" tooltip="Gantt View"/>
            <a:extLst>
              <a:ext uri="{FF2B5EF4-FFF2-40B4-BE49-F238E27FC236}">
                <a16:creationId xmlns:a16="http://schemas.microsoft.com/office/drawing/2014/main" id="{6A3A0593-480E-A7DE-55A8-219C4BF2FABB}"/>
              </a:ext>
            </a:extLst>
          </xdr:cNvPr>
          <xdr:cNvSpPr/>
        </xdr:nvSpPr>
        <xdr:spPr>
          <a:xfrm>
            <a:off x="0" y="767829"/>
            <a:ext cx="1358896"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sp macro="" textlink="">
        <xdr:nvSpPr>
          <xdr:cNvPr id="7" name="Rectangle 6">
            <a:hlinkClick xmlns:r="http://schemas.openxmlformats.org/officeDocument/2006/relationships" r:id="rId3" tooltip="Resource View"/>
            <a:extLst>
              <a:ext uri="{FF2B5EF4-FFF2-40B4-BE49-F238E27FC236}">
                <a16:creationId xmlns:a16="http://schemas.microsoft.com/office/drawing/2014/main" id="{9A072DC1-D455-C0D2-F1F8-F971CB714655}"/>
              </a:ext>
            </a:extLst>
          </xdr:cNvPr>
          <xdr:cNvSpPr/>
        </xdr:nvSpPr>
        <xdr:spPr>
          <a:xfrm>
            <a:off x="0" y="1045552"/>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Clause</a:t>
            </a:r>
          </a:p>
        </xdr:txBody>
      </xdr:sp>
      <xdr:sp macro="" textlink="">
        <xdr:nvSpPr>
          <xdr:cNvPr id="8" name="Rectangle 7">
            <a:hlinkClick xmlns:r="http://schemas.openxmlformats.org/officeDocument/2006/relationships" r:id="rId4" tooltip="Timeline View"/>
            <a:extLst>
              <a:ext uri="{FF2B5EF4-FFF2-40B4-BE49-F238E27FC236}">
                <a16:creationId xmlns:a16="http://schemas.microsoft.com/office/drawing/2014/main" id="{C7115D90-44D6-2B26-1AB7-28EB28E760E7}"/>
              </a:ext>
            </a:extLst>
          </xdr:cNvPr>
          <xdr:cNvSpPr/>
        </xdr:nvSpPr>
        <xdr:spPr>
          <a:xfrm>
            <a:off x="0" y="1360067"/>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Assesment</a:t>
            </a:r>
          </a:p>
        </xdr:txBody>
      </xdr:sp>
      <xdr:sp macro="" textlink="">
        <xdr:nvSpPr>
          <xdr:cNvPr id="9" name="Rectangle 8">
            <a:hlinkClick xmlns:r="http://schemas.openxmlformats.org/officeDocument/2006/relationships" r:id="rId5" tooltip="Heatmap View"/>
            <a:extLst>
              <a:ext uri="{FF2B5EF4-FFF2-40B4-BE49-F238E27FC236}">
                <a16:creationId xmlns:a16="http://schemas.microsoft.com/office/drawing/2014/main" id="{70863026-F814-1BAF-49E3-A378D1637ED0}"/>
              </a:ext>
            </a:extLst>
          </xdr:cNvPr>
          <xdr:cNvSpPr/>
        </xdr:nvSpPr>
        <xdr:spPr>
          <a:xfrm>
            <a:off x="0" y="1701351"/>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Comclusion</a:t>
            </a:r>
          </a:p>
        </xdr:txBody>
      </xdr:sp>
    </xdr:grpSp>
    <xdr:clientData/>
  </xdr:twoCellAnchor>
  <xdr:twoCellAnchor>
    <xdr:from>
      <xdr:col>0</xdr:col>
      <xdr:colOff>0</xdr:colOff>
      <xdr:row>6</xdr:row>
      <xdr:rowOff>698500</xdr:rowOff>
    </xdr:from>
    <xdr:to>
      <xdr:col>1</xdr:col>
      <xdr:colOff>561391</xdr:colOff>
      <xdr:row>6</xdr:row>
      <xdr:rowOff>938309</xdr:rowOff>
    </xdr:to>
    <xdr:sp macro="" textlink="">
      <xdr:nvSpPr>
        <xdr:cNvPr id="12" name="Rectangle 11">
          <a:hlinkClick xmlns:r="http://schemas.openxmlformats.org/officeDocument/2006/relationships" r:id="rId6" tooltip="Heatmap View"/>
          <a:extLst>
            <a:ext uri="{FF2B5EF4-FFF2-40B4-BE49-F238E27FC236}">
              <a16:creationId xmlns:a16="http://schemas.microsoft.com/office/drawing/2014/main" id="{0717A4F9-3A54-45E8-A403-F43E4547A997}"/>
            </a:ext>
          </a:extLst>
        </xdr:cNvPr>
        <xdr:cNvSpPr/>
      </xdr:nvSpPr>
      <xdr:spPr>
        <a:xfrm>
          <a:off x="0" y="2025650"/>
          <a:ext cx="1170991" cy="239809"/>
        </a:xfrm>
        <a:prstGeom prst="rect">
          <a:avLst/>
        </a:prstGeom>
        <a:solidFill>
          <a:schemeClr val="tx2">
            <a:lumMod val="75000"/>
          </a:schemeClr>
        </a:solidFill>
      </xdr:spPr>
      <xdr:txBody>
        <a:bodyPr wrap="square" lIns="91440" tIns="45720" rIns="91440" bIns="45720" anchor="ctr">
          <a:no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Mapping</a:t>
          </a:r>
        </a:p>
      </xdr:txBody>
    </xdr:sp>
    <xdr:clientData/>
  </xdr:twoCellAnchor>
  <xdr:twoCellAnchor>
    <xdr:from>
      <xdr:col>4</xdr:col>
      <xdr:colOff>0</xdr:colOff>
      <xdr:row>26</xdr:row>
      <xdr:rowOff>0</xdr:rowOff>
    </xdr:from>
    <xdr:to>
      <xdr:col>4</xdr:col>
      <xdr:colOff>914400</xdr:colOff>
      <xdr:row>27</xdr:row>
      <xdr:rowOff>171450</xdr:rowOff>
    </xdr:to>
    <xdr:sp macro="[0]!Reviewed" textlink="">
      <xdr:nvSpPr>
        <xdr:cNvPr id="11" name="Rectangle: Rounded Corners 10">
          <a:extLst>
            <a:ext uri="{FF2B5EF4-FFF2-40B4-BE49-F238E27FC236}">
              <a16:creationId xmlns:a16="http://schemas.microsoft.com/office/drawing/2014/main" id="{872061D5-55F0-40E3-950C-912E8EF2A1B8}"/>
            </a:ext>
          </a:extLst>
        </xdr:cNvPr>
        <xdr:cNvSpPr/>
      </xdr:nvSpPr>
      <xdr:spPr>
        <a:xfrm>
          <a:off x="2438400" y="7156450"/>
          <a:ext cx="914400" cy="35560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IN" sz="1000" b="1">
              <a:latin typeface="+mn-lt"/>
            </a:rPr>
            <a:t>Reviewed</a:t>
          </a: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5"/>
  <dimension ref="A1:L5"/>
  <sheetViews>
    <sheetView workbookViewId="0">
      <selection activeCell="G12" sqref="G12"/>
    </sheetView>
  </sheetViews>
  <sheetFormatPr defaultRowHeight="14.5" x14ac:dyDescent="0.35"/>
  <cols>
    <col min="4" max="4" width="30.453125" bestFit="1" customWidth="1"/>
    <col min="8" max="8" width="7.81640625" bestFit="1" customWidth="1"/>
    <col min="10" max="10" width="41" customWidth="1"/>
  </cols>
  <sheetData>
    <row r="1" spans="1:12" x14ac:dyDescent="0.35">
      <c r="A1" s="12"/>
      <c r="B1" s="12" t="s">
        <v>235</v>
      </c>
      <c r="C1" s="12"/>
      <c r="D1" s="12" t="s">
        <v>254</v>
      </c>
      <c r="F1" s="12" t="s">
        <v>309</v>
      </c>
      <c r="H1" t="s">
        <v>464</v>
      </c>
      <c r="J1" s="12" t="s">
        <v>352</v>
      </c>
      <c r="K1" s="77" t="s">
        <v>374</v>
      </c>
      <c r="L1" s="76"/>
    </row>
    <row r="2" spans="1:12" x14ac:dyDescent="0.35">
      <c r="A2" t="s">
        <v>158</v>
      </c>
      <c r="B2" t="s">
        <v>301</v>
      </c>
      <c r="D2" t="s">
        <v>255</v>
      </c>
      <c r="F2" t="s">
        <v>310</v>
      </c>
      <c r="H2" t="s">
        <v>306</v>
      </c>
      <c r="J2" t="s">
        <v>349</v>
      </c>
      <c r="K2" s="148" t="s">
        <v>378</v>
      </c>
      <c r="L2" s="148"/>
    </row>
    <row r="3" spans="1:12" x14ac:dyDescent="0.35">
      <c r="A3" t="s">
        <v>159</v>
      </c>
      <c r="B3" t="s">
        <v>302</v>
      </c>
      <c r="D3" t="s">
        <v>256</v>
      </c>
      <c r="F3" t="s">
        <v>311</v>
      </c>
      <c r="H3" t="s">
        <v>347</v>
      </c>
      <c r="J3" t="s">
        <v>350</v>
      </c>
      <c r="K3" s="75" t="s">
        <v>379</v>
      </c>
      <c r="L3" s="76"/>
    </row>
    <row r="4" spans="1:12" x14ac:dyDescent="0.35">
      <c r="A4" t="s">
        <v>160</v>
      </c>
      <c r="B4" t="s">
        <v>406</v>
      </c>
      <c r="F4" t="s">
        <v>406</v>
      </c>
      <c r="J4" t="s">
        <v>351</v>
      </c>
      <c r="K4" s="75" t="s">
        <v>380</v>
      </c>
      <c r="L4" s="76"/>
    </row>
    <row r="5" spans="1:12" x14ac:dyDescent="0.35">
      <c r="K5" t="s">
        <v>407</v>
      </c>
    </row>
  </sheetData>
  <mergeCells count="1">
    <mergeCell ref="K2:L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ain"/>
  <dimension ref="A1:S36"/>
  <sheetViews>
    <sheetView showGridLines="0" showRowColHeaders="0" workbookViewId="0">
      <selection activeCell="F10" sqref="F10"/>
    </sheetView>
  </sheetViews>
  <sheetFormatPr defaultColWidth="0" defaultRowHeight="14.5" zeroHeight="1" x14ac:dyDescent="0.35"/>
  <cols>
    <col min="1" max="3" width="9.1796875" style="6" customWidth="1"/>
    <col min="4" max="4" width="19.453125" style="6" customWidth="1"/>
    <col min="5" max="5" width="14.81640625" style="6" customWidth="1"/>
    <col min="6" max="6" width="91" style="6" customWidth="1"/>
    <col min="7" max="10" width="9.1796875" style="6" customWidth="1"/>
    <col min="11" max="11" width="11.81640625" style="6" customWidth="1"/>
    <col min="12" max="12" width="5.81640625" style="6" customWidth="1"/>
    <col min="13" max="13" width="51.7265625" style="6" customWidth="1"/>
    <col min="14" max="14" width="12.26953125" style="6" customWidth="1"/>
    <col min="15" max="15" width="12.81640625" style="6" customWidth="1"/>
    <col min="16" max="16" width="9.1796875" style="6" customWidth="1"/>
    <col min="17" max="19" width="0" style="6" hidden="1" customWidth="1"/>
    <col min="20" max="16384" width="9.1796875" style="6" hidden="1"/>
  </cols>
  <sheetData>
    <row r="1" spans="3:18" x14ac:dyDescent="0.35">
      <c r="P1" s="6">
        <v>2</v>
      </c>
    </row>
    <row r="2" spans="3:18" ht="10" customHeight="1" x14ac:dyDescent="0.35"/>
    <row r="3" spans="3:18" ht="5.5" customHeight="1" x14ac:dyDescent="0.35"/>
    <row r="4" spans="3:18" ht="7.5" customHeight="1" x14ac:dyDescent="0.35">
      <c r="C4" s="13"/>
      <c r="D4" s="13"/>
      <c r="E4" s="13"/>
      <c r="F4" s="13"/>
      <c r="G4" s="13"/>
      <c r="H4" s="13"/>
      <c r="I4" s="13"/>
      <c r="J4" s="13"/>
      <c r="K4" s="13"/>
      <c r="L4" s="13"/>
      <c r="M4" s="13"/>
      <c r="N4" s="13"/>
      <c r="O4" s="13"/>
      <c r="P4" s="13"/>
      <c r="Q4" s="13"/>
      <c r="R4" s="13"/>
    </row>
    <row r="5" spans="3:18" x14ac:dyDescent="0.35">
      <c r="C5" s="13"/>
      <c r="D5" s="13"/>
      <c r="E5" s="14"/>
      <c r="F5" s="13"/>
      <c r="G5" s="13"/>
      <c r="H5" s="13"/>
      <c r="I5" s="13"/>
      <c r="J5" s="13"/>
      <c r="K5" s="13"/>
      <c r="L5" s="13"/>
      <c r="M5" s="13"/>
      <c r="N5" s="13"/>
      <c r="O5" s="13"/>
      <c r="P5" s="13"/>
      <c r="Q5" s="13"/>
      <c r="R5" s="13"/>
    </row>
    <row r="6" spans="3:18" x14ac:dyDescent="0.35">
      <c r="C6" s="13"/>
      <c r="D6" s="13"/>
      <c r="E6" s="14"/>
      <c r="F6" s="13"/>
      <c r="G6" s="13"/>
      <c r="H6" s="13"/>
      <c r="I6" s="13"/>
      <c r="J6" s="13"/>
      <c r="K6" s="13"/>
      <c r="L6" s="13"/>
      <c r="M6" s="13"/>
      <c r="N6" s="13"/>
      <c r="O6" s="13"/>
      <c r="P6" s="13"/>
      <c r="Q6" s="13"/>
      <c r="R6" s="13"/>
    </row>
    <row r="7" spans="3:18" x14ac:dyDescent="0.35">
      <c r="C7" s="13"/>
      <c r="D7" s="13"/>
      <c r="E7" s="14"/>
      <c r="F7" s="13"/>
      <c r="G7" s="13"/>
      <c r="H7" s="13"/>
      <c r="I7" s="13"/>
      <c r="J7" s="13"/>
      <c r="K7" s="13"/>
      <c r="L7" s="13"/>
      <c r="M7" s="13"/>
      <c r="N7" s="13"/>
      <c r="O7" s="13"/>
      <c r="P7" s="13">
        <v>2</v>
      </c>
      <c r="Q7" s="13"/>
      <c r="R7" s="13"/>
    </row>
    <row r="8" spans="3:18" x14ac:dyDescent="0.35">
      <c r="C8" s="13"/>
      <c r="D8" s="13"/>
      <c r="E8" s="14"/>
      <c r="F8" s="13"/>
      <c r="G8" s="13"/>
      <c r="H8" s="13"/>
      <c r="I8" s="13"/>
      <c r="J8" s="13"/>
      <c r="K8" s="13"/>
      <c r="L8" s="13"/>
      <c r="M8" s="13"/>
      <c r="N8" s="13"/>
      <c r="O8" s="13"/>
      <c r="P8" s="13"/>
      <c r="Q8" s="13"/>
      <c r="R8" s="13"/>
    </row>
    <row r="9" spans="3:18" x14ac:dyDescent="0.35">
      <c r="C9" s="13"/>
      <c r="D9" s="13"/>
      <c r="E9" s="13"/>
      <c r="F9" s="13"/>
      <c r="G9" s="13"/>
      <c r="H9" s="13"/>
      <c r="I9" s="13"/>
      <c r="J9" s="13"/>
      <c r="K9" s="13"/>
      <c r="L9" s="13"/>
      <c r="M9" s="13"/>
      <c r="N9" s="13"/>
      <c r="O9" s="13"/>
      <c r="P9" s="13"/>
      <c r="Q9" s="13"/>
      <c r="R9" s="13"/>
    </row>
    <row r="10" spans="3:18" ht="30" customHeight="1" x14ac:dyDescent="0.35">
      <c r="C10" s="13"/>
      <c r="D10" s="44" t="s">
        <v>361</v>
      </c>
      <c r="E10" s="45"/>
      <c r="F10" s="45" t="s">
        <v>465</v>
      </c>
      <c r="G10" s="13"/>
      <c r="H10" s="13"/>
      <c r="I10" s="13"/>
      <c r="J10" s="13"/>
      <c r="K10" s="13"/>
      <c r="L10" s="13"/>
      <c r="M10" s="13"/>
      <c r="N10" s="13"/>
      <c r="O10" s="13"/>
      <c r="P10" s="13"/>
      <c r="Q10" s="13"/>
      <c r="R10" s="13"/>
    </row>
    <row r="11" spans="3:18" ht="27" customHeight="1" x14ac:dyDescent="0.35">
      <c r="C11" s="13"/>
      <c r="D11" s="44" t="s">
        <v>392</v>
      </c>
      <c r="E11" s="89">
        <v>45713</v>
      </c>
      <c r="F11" s="13"/>
      <c r="G11" s="13"/>
      <c r="H11" s="13"/>
      <c r="I11" s="13"/>
      <c r="J11" s="13"/>
      <c r="K11" s="13"/>
      <c r="L11" s="13"/>
      <c r="M11" s="13"/>
      <c r="N11" s="13"/>
      <c r="O11" s="13"/>
      <c r="P11" s="13"/>
      <c r="Q11" s="13"/>
      <c r="R11" s="13"/>
    </row>
    <row r="12" spans="3:18" ht="20.149999999999999" customHeight="1" x14ac:dyDescent="0.35">
      <c r="C12" s="13"/>
      <c r="D12" s="13"/>
      <c r="E12" s="13"/>
      <c r="F12" s="13"/>
      <c r="G12" s="13"/>
      <c r="H12" s="13"/>
      <c r="I12" s="13"/>
      <c r="J12" s="13"/>
      <c r="K12" s="13"/>
      <c r="L12" s="13"/>
      <c r="M12" s="13"/>
      <c r="N12" s="13"/>
      <c r="O12" s="13"/>
      <c r="P12" s="13"/>
      <c r="Q12" s="13"/>
      <c r="R12" s="13"/>
    </row>
    <row r="13" spans="3:18" ht="20.149999999999999" customHeight="1" x14ac:dyDescent="0.35">
      <c r="C13" s="13"/>
      <c r="D13" s="149" t="s">
        <v>402</v>
      </c>
      <c r="E13" s="91" t="s">
        <v>441</v>
      </c>
      <c r="F13" s="13"/>
      <c r="G13" s="13"/>
      <c r="H13" s="13"/>
      <c r="I13" s="13"/>
      <c r="J13" s="13"/>
      <c r="K13" s="13"/>
      <c r="L13" s="13"/>
      <c r="M13" s="13"/>
      <c r="N13" s="13"/>
      <c r="O13" s="13"/>
      <c r="P13" s="13"/>
      <c r="Q13" s="13"/>
    </row>
    <row r="14" spans="3:18" ht="20.149999999999999" customHeight="1" x14ac:dyDescent="0.35">
      <c r="C14" s="13"/>
      <c r="D14" s="150"/>
      <c r="E14" s="90"/>
      <c r="F14" s="13"/>
      <c r="G14" s="13"/>
      <c r="H14" s="13"/>
      <c r="I14" s="13"/>
      <c r="J14" s="13"/>
      <c r="K14" s="13"/>
      <c r="L14" s="13"/>
      <c r="M14" s="13"/>
      <c r="N14" s="13"/>
      <c r="O14" s="13"/>
      <c r="P14" s="13"/>
      <c r="Q14" s="13"/>
    </row>
    <row r="15" spans="3:18" ht="13.75" customHeight="1" x14ac:dyDescent="0.35">
      <c r="C15" s="13"/>
      <c r="D15" s="13"/>
      <c r="E15" s="13"/>
      <c r="F15" s="13"/>
      <c r="G15" s="13"/>
      <c r="H15" s="13"/>
      <c r="I15" s="13"/>
      <c r="J15" s="13"/>
      <c r="K15" s="13"/>
      <c r="L15" s="13"/>
      <c r="M15" s="13"/>
      <c r="N15" s="13"/>
      <c r="O15" s="13"/>
      <c r="P15" s="13"/>
      <c r="Q15" s="13"/>
    </row>
    <row r="16" spans="3:18" ht="13.75" customHeight="1" x14ac:dyDescent="0.35">
      <c r="C16" s="13"/>
      <c r="D16" s="13"/>
      <c r="E16" s="13"/>
      <c r="F16" s="13"/>
      <c r="G16" s="13"/>
      <c r="H16" s="13"/>
      <c r="I16" s="13"/>
      <c r="J16" s="13"/>
      <c r="K16" s="13"/>
      <c r="L16" s="13"/>
      <c r="M16" s="13"/>
      <c r="N16" s="13"/>
      <c r="O16" s="13"/>
      <c r="P16" s="13"/>
      <c r="Q16" s="13"/>
    </row>
    <row r="17" spans="1:18" ht="13.75" customHeight="1" x14ac:dyDescent="0.35">
      <c r="C17" s="13"/>
      <c r="D17" s="149" t="s">
        <v>401</v>
      </c>
      <c r="E17" s="151"/>
      <c r="F17" s="13"/>
      <c r="G17" s="13"/>
      <c r="H17" s="13"/>
      <c r="I17" s="13"/>
      <c r="J17" s="13"/>
      <c r="K17" s="13"/>
      <c r="L17" s="13"/>
      <c r="M17" s="13"/>
      <c r="N17" s="13"/>
      <c r="O17" s="13"/>
      <c r="P17" s="13"/>
      <c r="Q17" s="13"/>
    </row>
    <row r="18" spans="1:18" ht="13.75" customHeight="1" x14ac:dyDescent="0.35">
      <c r="C18" s="13"/>
      <c r="D18" s="150"/>
      <c r="E18" s="152"/>
      <c r="F18" s="13"/>
      <c r="G18" s="13"/>
      <c r="H18" s="13"/>
      <c r="I18" s="13"/>
      <c r="J18" s="13"/>
      <c r="K18" s="13"/>
      <c r="L18" s="13"/>
      <c r="M18" s="13"/>
      <c r="N18" s="13"/>
      <c r="O18" s="13"/>
      <c r="P18" s="13"/>
      <c r="Q18" s="13"/>
    </row>
    <row r="19" spans="1:18" ht="13.75" customHeight="1" x14ac:dyDescent="0.35">
      <c r="C19" s="13"/>
      <c r="D19" s="13"/>
      <c r="E19" s="13"/>
      <c r="F19" s="13"/>
      <c r="G19" s="13"/>
      <c r="H19" s="13"/>
      <c r="I19" s="13"/>
      <c r="J19" s="13"/>
      <c r="K19" s="13"/>
      <c r="L19" s="13"/>
      <c r="M19" s="13"/>
      <c r="N19" s="13"/>
      <c r="O19" s="13"/>
      <c r="P19" s="13"/>
      <c r="Q19" s="13"/>
    </row>
    <row r="20" spans="1:18" ht="13.75" customHeight="1" x14ac:dyDescent="0.35">
      <c r="C20" s="13"/>
      <c r="D20" s="13"/>
      <c r="E20" s="13"/>
      <c r="F20" s="13"/>
      <c r="G20" s="13"/>
      <c r="H20" s="13"/>
      <c r="I20" s="13"/>
      <c r="J20" s="13"/>
      <c r="K20" s="13"/>
      <c r="L20" s="13"/>
      <c r="M20" s="13"/>
      <c r="N20" s="13"/>
      <c r="O20" s="13"/>
      <c r="P20" s="13"/>
      <c r="Q20" s="13"/>
    </row>
    <row r="21" spans="1:18" ht="13.75" customHeight="1" x14ac:dyDescent="0.35">
      <c r="C21" s="13"/>
      <c r="D21" s="13"/>
      <c r="E21" s="13"/>
      <c r="F21" s="13"/>
      <c r="G21" s="13"/>
      <c r="H21" s="13"/>
      <c r="I21" s="13"/>
      <c r="J21" s="13"/>
      <c r="K21" s="13"/>
      <c r="L21" s="13"/>
      <c r="M21" s="13"/>
      <c r="N21" s="13"/>
      <c r="O21" s="13"/>
      <c r="P21" s="13"/>
      <c r="Q21" s="13"/>
      <c r="R21" s="13"/>
    </row>
    <row r="22" spans="1:18" ht="13.75" customHeight="1" x14ac:dyDescent="0.35">
      <c r="C22" s="13"/>
      <c r="D22" s="13"/>
      <c r="E22" s="13"/>
      <c r="F22" s="13"/>
      <c r="G22" s="13"/>
      <c r="H22" s="13"/>
      <c r="I22" s="13"/>
      <c r="J22" s="13"/>
      <c r="K22" s="13"/>
      <c r="L22" s="13"/>
      <c r="M22" s="13"/>
      <c r="N22" s="13"/>
      <c r="O22" s="13"/>
      <c r="P22" s="13"/>
      <c r="Q22" s="13"/>
      <c r="R22" s="13"/>
    </row>
    <row r="23" spans="1:18" ht="13.75" customHeight="1" x14ac:dyDescent="0.35">
      <c r="C23" s="13"/>
      <c r="D23" s="13"/>
      <c r="E23" s="13"/>
      <c r="F23" s="13"/>
      <c r="G23" s="13"/>
      <c r="H23" s="13"/>
      <c r="I23" s="13"/>
      <c r="J23" s="13"/>
      <c r="K23" s="13"/>
      <c r="L23" s="13"/>
      <c r="M23" s="13"/>
      <c r="N23" s="13"/>
      <c r="O23" s="13"/>
      <c r="P23" s="13"/>
      <c r="Q23" s="13"/>
      <c r="R23" s="13"/>
    </row>
    <row r="24" spans="1:18" ht="13.75" customHeight="1" x14ac:dyDescent="0.35">
      <c r="C24" s="13"/>
      <c r="D24" s="13"/>
      <c r="E24" s="13"/>
      <c r="F24" s="13"/>
      <c r="G24" s="13"/>
      <c r="H24" s="13"/>
      <c r="I24" s="13"/>
      <c r="J24" s="13"/>
      <c r="K24" s="13"/>
      <c r="L24" s="13"/>
      <c r="M24" s="13"/>
      <c r="N24" s="13"/>
      <c r="O24" s="13"/>
      <c r="P24" s="13"/>
      <c r="Q24" s="13"/>
      <c r="R24" s="13"/>
    </row>
    <row r="25" spans="1:18" x14ac:dyDescent="0.35">
      <c r="C25" s="13"/>
      <c r="D25" s="13"/>
      <c r="E25" s="13"/>
      <c r="F25" s="13"/>
      <c r="G25" s="13"/>
      <c r="H25" s="13"/>
      <c r="I25" s="13"/>
      <c r="J25" s="13"/>
      <c r="K25" s="13"/>
      <c r="L25" s="13"/>
      <c r="M25" s="13"/>
      <c r="N25" s="13"/>
      <c r="O25" s="13"/>
      <c r="P25" s="13"/>
      <c r="Q25" s="13"/>
      <c r="R25" s="13"/>
    </row>
    <row r="26" spans="1:18" x14ac:dyDescent="0.35">
      <c r="C26" s="13"/>
      <c r="D26" s="13"/>
      <c r="E26" s="13"/>
      <c r="F26" s="13"/>
      <c r="G26" s="13"/>
      <c r="H26" s="13"/>
      <c r="I26" s="13"/>
      <c r="J26" s="13"/>
      <c r="K26" s="13"/>
      <c r="L26" s="13"/>
      <c r="M26" s="13"/>
      <c r="N26" s="13"/>
      <c r="O26" s="13"/>
      <c r="P26" s="13"/>
      <c r="Q26" s="13"/>
      <c r="R26" s="13"/>
    </row>
    <row r="27" spans="1:18" x14ac:dyDescent="0.35">
      <c r="C27" s="13"/>
      <c r="D27" s="13"/>
      <c r="E27" s="13"/>
      <c r="F27" s="13"/>
      <c r="G27" s="13"/>
      <c r="H27" s="13"/>
      <c r="I27" s="13"/>
      <c r="J27" s="13"/>
      <c r="K27" s="13"/>
      <c r="L27" s="13"/>
      <c r="M27" s="13"/>
      <c r="N27" s="13"/>
      <c r="O27" s="13"/>
      <c r="P27" s="13"/>
      <c r="Q27" s="13"/>
      <c r="R27" s="13"/>
    </row>
    <row r="28" spans="1:18" x14ac:dyDescent="0.35">
      <c r="C28" s="13"/>
      <c r="D28" s="13"/>
      <c r="E28" s="13"/>
      <c r="F28" s="13"/>
      <c r="G28" s="13"/>
      <c r="H28" s="13"/>
      <c r="I28" s="13"/>
      <c r="J28" s="13"/>
      <c r="K28" s="13"/>
      <c r="L28" s="13"/>
      <c r="M28" s="13"/>
      <c r="N28" s="13"/>
      <c r="O28" s="13"/>
      <c r="P28" s="13"/>
      <c r="Q28" s="13"/>
      <c r="R28" s="13"/>
    </row>
    <row r="29" spans="1:18" x14ac:dyDescent="0.35">
      <c r="C29" s="13"/>
      <c r="D29" s="13"/>
      <c r="E29" s="13"/>
      <c r="F29" s="13"/>
      <c r="G29" s="13"/>
      <c r="H29" s="13"/>
      <c r="I29" s="13"/>
      <c r="J29" s="13"/>
      <c r="K29" s="13"/>
      <c r="L29" s="13"/>
      <c r="M29" s="13"/>
      <c r="N29" s="13"/>
      <c r="O29" s="13"/>
      <c r="P29" s="13"/>
      <c r="Q29" s="13"/>
      <c r="R29" s="13"/>
    </row>
    <row r="30" spans="1:18" x14ac:dyDescent="0.35">
      <c r="C30" s="13"/>
      <c r="D30" s="13"/>
      <c r="E30" s="13"/>
      <c r="F30" s="13"/>
      <c r="G30" s="13"/>
      <c r="H30" s="13"/>
      <c r="I30" s="13"/>
      <c r="J30" s="13"/>
      <c r="K30" s="13"/>
      <c r="L30" s="13"/>
      <c r="M30" s="13"/>
      <c r="N30" s="13"/>
      <c r="O30" s="13"/>
      <c r="P30" s="13"/>
      <c r="Q30" s="13"/>
      <c r="R30" s="13"/>
    </row>
    <row r="31" spans="1:18" x14ac:dyDescent="0.35">
      <c r="C31" s="13"/>
      <c r="D31" s="13"/>
      <c r="E31" s="13"/>
      <c r="F31" s="13"/>
      <c r="G31" s="13"/>
      <c r="H31" s="13"/>
      <c r="I31" s="13"/>
      <c r="J31" s="13"/>
      <c r="K31" s="13"/>
      <c r="L31" s="13"/>
      <c r="M31" s="13"/>
      <c r="N31" s="13"/>
      <c r="O31" s="13"/>
      <c r="P31" s="13"/>
      <c r="Q31" s="13"/>
      <c r="R31" s="13"/>
    </row>
    <row r="32" spans="1:18" x14ac:dyDescent="0.35">
      <c r="A32" s="13"/>
      <c r="B32" s="13"/>
      <c r="C32" s="13"/>
      <c r="D32" s="13"/>
      <c r="E32" s="13"/>
      <c r="F32" s="13"/>
      <c r="G32" s="13"/>
      <c r="H32" s="13"/>
      <c r="I32" s="13"/>
      <c r="J32" s="13"/>
      <c r="K32" s="13"/>
      <c r="L32" s="13"/>
      <c r="M32" s="13"/>
      <c r="N32" s="13"/>
      <c r="O32" s="13"/>
      <c r="P32" s="13"/>
      <c r="Q32" s="13"/>
      <c r="R32" s="13"/>
    </row>
    <row r="33" spans="3:14" hidden="1" x14ac:dyDescent="0.35">
      <c r="C33" s="13"/>
      <c r="D33" s="13"/>
      <c r="E33" s="13"/>
      <c r="F33" s="13"/>
      <c r="G33" s="13"/>
      <c r="H33" s="13"/>
      <c r="I33" s="13"/>
      <c r="J33" s="13"/>
      <c r="K33" s="13"/>
      <c r="L33" s="13"/>
      <c r="M33" s="13"/>
      <c r="N33" s="13"/>
    </row>
    <row r="34" spans="3:14" hidden="1" x14ac:dyDescent="0.35">
      <c r="L34" s="13"/>
      <c r="M34" s="13"/>
      <c r="N34" s="13"/>
    </row>
    <row r="35" spans="3:14" hidden="1" x14ac:dyDescent="0.35">
      <c r="L35" s="13"/>
      <c r="M35" s="13"/>
      <c r="N35" s="13"/>
    </row>
    <row r="36" spans="3:14" hidden="1" x14ac:dyDescent="0.35">
      <c r="L36" s="13"/>
      <c r="M36" s="13"/>
      <c r="N36" s="13"/>
    </row>
  </sheetData>
  <mergeCells count="3">
    <mergeCell ref="D13:D14"/>
    <mergeCell ref="D17:D18"/>
    <mergeCell ref="E17:E18"/>
  </mergeCells>
  <conditionalFormatting sqref="E14">
    <cfRule type="expression" dxfId="20" priority="5">
      <formula>$P$7&lt;=1</formula>
    </cfRule>
    <cfRule type="expression" dxfId="19" priority="6">
      <formula>$P$7&gt;1</formula>
    </cfRule>
  </conditionalFormatting>
  <conditionalFormatting sqref="E17:E18">
    <cfRule type="expression" dxfId="18" priority="1">
      <formula>$P$1&lt;=1</formula>
    </cfRule>
    <cfRule type="expression" dxfId="17" priority="2">
      <formula>$P$1&gt;1</formula>
    </cfRule>
  </conditionalFormatting>
  <dataValidations disablePrompts="1" count="1">
    <dataValidation type="list" allowBlank="1" showInputMessage="1" showErrorMessage="1" sqref="N13" xr:uid="{00000000-0002-0000-0100-000000000000}">
      <formula1>"High,Medium,Low"</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S63"/>
  <sheetViews>
    <sheetView topLeftCell="A55" workbookViewId="0">
      <selection activeCell="C59" sqref="C59:E59"/>
    </sheetView>
  </sheetViews>
  <sheetFormatPr defaultColWidth="0" defaultRowHeight="14.5" customHeight="1" x14ac:dyDescent="0.35"/>
  <cols>
    <col min="1" max="1" width="9.1796875" style="16" customWidth="1"/>
    <col min="2" max="2" width="16.7265625" style="16" customWidth="1"/>
    <col min="3" max="3" width="41.1796875" style="16" customWidth="1"/>
    <col min="4" max="4" width="37.81640625" style="16" customWidth="1"/>
    <col min="5" max="5" width="28" style="16" customWidth="1"/>
    <col min="6" max="6" width="21" style="16" bestFit="1" customWidth="1"/>
    <col min="7" max="11" width="9.1796875" style="16" customWidth="1"/>
    <col min="12" max="12" width="11.81640625" style="16" customWidth="1"/>
    <col min="13" max="13" width="5.81640625" style="16" customWidth="1"/>
    <col min="14" max="14" width="51.7265625" style="16" customWidth="1"/>
    <col min="15" max="15" width="12.26953125" style="16" customWidth="1"/>
    <col min="16" max="16" width="12.81640625" style="16" customWidth="1"/>
    <col min="17" max="17" width="9.1796875" style="16" customWidth="1"/>
    <col min="18" max="19" width="0" style="16" hidden="1" customWidth="1"/>
    <col min="20" max="16384" width="9.1796875" style="16" hidden="1"/>
  </cols>
  <sheetData>
    <row r="1" spans="3:6" x14ac:dyDescent="0.35"/>
    <row r="2" spans="3:6" ht="10" customHeight="1" x14ac:dyDescent="0.35"/>
    <row r="3" spans="3:6" ht="5.5" customHeight="1" x14ac:dyDescent="0.35"/>
    <row r="4" spans="3:6" ht="7.5" customHeight="1" x14ac:dyDescent="0.35"/>
    <row r="5" spans="3:6" ht="15" thickBot="1" x14ac:dyDescent="0.4">
      <c r="E5" s="17"/>
      <c r="F5" s="17"/>
    </row>
    <row r="6" spans="3:6" ht="20.149999999999999" customHeight="1" thickBot="1" x14ac:dyDescent="0.4">
      <c r="C6" s="71" t="s">
        <v>466</v>
      </c>
      <c r="D6" s="153" t="s">
        <v>478</v>
      </c>
      <c r="E6" s="154"/>
      <c r="F6" s="17"/>
    </row>
    <row r="7" spans="3:6" ht="20.149999999999999" customHeight="1" thickBot="1" x14ac:dyDescent="0.4">
      <c r="C7" s="72" t="s">
        <v>304</v>
      </c>
      <c r="D7" s="153" t="s">
        <v>468</v>
      </c>
      <c r="E7" s="154"/>
      <c r="F7" s="17"/>
    </row>
    <row r="8" spans="3:6" ht="20.149999999999999" customHeight="1" thickBot="1" x14ac:dyDescent="0.4">
      <c r="C8" s="72" t="s">
        <v>346</v>
      </c>
      <c r="D8" s="153" t="s">
        <v>414</v>
      </c>
      <c r="E8" s="154"/>
      <c r="F8" s="17"/>
    </row>
    <row r="9" spans="3:6" ht="20.149999999999999" customHeight="1" thickBot="1" x14ac:dyDescent="0.4">
      <c r="C9" s="72" t="s">
        <v>305</v>
      </c>
      <c r="D9" s="153" t="s">
        <v>415</v>
      </c>
      <c r="E9" s="154"/>
    </row>
    <row r="10" spans="3:6" ht="20.149999999999999" customHeight="1" thickBot="1" x14ac:dyDescent="0.4">
      <c r="C10" s="72" t="s">
        <v>418</v>
      </c>
      <c r="D10" s="153" t="s">
        <v>469</v>
      </c>
      <c r="E10" s="154"/>
    </row>
    <row r="11" spans="3:6" ht="44" customHeight="1" thickBot="1" x14ac:dyDescent="0.4">
      <c r="C11" s="72" t="s">
        <v>370</v>
      </c>
      <c r="D11" s="155" t="s">
        <v>458</v>
      </c>
      <c r="E11" s="154"/>
    </row>
    <row r="12" spans="3:6" ht="20.149999999999999" customHeight="1" thickBot="1" x14ac:dyDescent="0.4">
      <c r="C12" s="72" t="s">
        <v>419</v>
      </c>
      <c r="D12" s="153" t="s">
        <v>422</v>
      </c>
      <c r="E12" s="154"/>
    </row>
    <row r="13" spans="3:6" ht="20.149999999999999" customHeight="1" thickBot="1" x14ac:dyDescent="0.4">
      <c r="C13" s="72" t="s">
        <v>420</v>
      </c>
      <c r="D13" s="156" t="s">
        <v>421</v>
      </c>
      <c r="E13" s="154"/>
    </row>
    <row r="14" spans="3:6" ht="20.149999999999999" customHeight="1" thickBot="1" x14ac:dyDescent="0.4">
      <c r="C14" s="72" t="s">
        <v>363</v>
      </c>
      <c r="D14" s="121" t="s">
        <v>416</v>
      </c>
      <c r="E14" s="121" t="s">
        <v>417</v>
      </c>
    </row>
    <row r="15" spans="3:6" ht="20.149999999999999" customHeight="1" thickBot="1" x14ac:dyDescent="0.4">
      <c r="C15" s="72" t="s">
        <v>371</v>
      </c>
      <c r="D15" s="157" t="s">
        <v>459</v>
      </c>
      <c r="E15" s="154"/>
    </row>
    <row r="16" spans="3:6" ht="30" customHeight="1" thickBot="1" x14ac:dyDescent="0.4">
      <c r="C16" s="73" t="s">
        <v>307</v>
      </c>
      <c r="D16" s="153" t="s">
        <v>423</v>
      </c>
      <c r="E16" s="154"/>
    </row>
    <row r="17" spans="3:5" ht="20.149999999999999" customHeight="1" thickBot="1" x14ac:dyDescent="0.4">
      <c r="C17" s="72" t="s">
        <v>345</v>
      </c>
      <c r="D17" s="153" t="s">
        <v>463</v>
      </c>
      <c r="E17" s="154"/>
    </row>
    <row r="18" spans="3:5" ht="20.149999999999999" customHeight="1" thickBot="1" x14ac:dyDescent="0.4">
      <c r="C18" s="112"/>
      <c r="D18" s="113"/>
      <c r="E18" s="113"/>
    </row>
    <row r="19" spans="3:5" ht="20.149999999999999" customHeight="1" thickBot="1" x14ac:dyDescent="0.4">
      <c r="C19" s="56" t="s">
        <v>365</v>
      </c>
      <c r="D19" s="122" t="s">
        <v>159</v>
      </c>
      <c r="E19" s="113"/>
    </row>
    <row r="20" spans="3:5" ht="20.149999999999999" customHeight="1" thickBot="1" x14ac:dyDescent="0.4">
      <c r="C20" s="47" t="s">
        <v>364</v>
      </c>
      <c r="D20" s="123" t="s">
        <v>158</v>
      </c>
      <c r="E20" s="113"/>
    </row>
    <row r="21" spans="3:5" ht="20.149999999999999" customHeight="1" thickBot="1" x14ac:dyDescent="0.4">
      <c r="C21" s="81" t="s">
        <v>400</v>
      </c>
      <c r="D21" s="124" t="s">
        <v>158</v>
      </c>
      <c r="E21" s="113"/>
    </row>
    <row r="22" spans="3:5" ht="20.149999999999999" customHeight="1" thickBot="1" x14ac:dyDescent="0.4">
      <c r="C22" s="82" t="s">
        <v>386</v>
      </c>
      <c r="D22" s="125" t="s">
        <v>160</v>
      </c>
      <c r="E22" s="113"/>
    </row>
    <row r="23" spans="3:5" ht="13.75" customHeight="1" thickBot="1" x14ac:dyDescent="0.4"/>
    <row r="24" spans="3:5" ht="13.75" customHeight="1" thickBot="1" x14ac:dyDescent="0.4">
      <c r="C24" s="56" t="s">
        <v>130</v>
      </c>
      <c r="D24" s="55" t="s">
        <v>131</v>
      </c>
      <c r="E24" s="55" t="s">
        <v>132</v>
      </c>
    </row>
    <row r="25" spans="3:5" ht="13.75" customHeight="1" thickBot="1" x14ac:dyDescent="0.4">
      <c r="C25" s="47"/>
      <c r="D25" s="48"/>
      <c r="E25" s="48"/>
    </row>
    <row r="26" spans="3:5" ht="13.75" customHeight="1" thickBot="1" x14ac:dyDescent="0.4">
      <c r="C26" s="47" t="s">
        <v>133</v>
      </c>
      <c r="D26" s="48" t="s">
        <v>134</v>
      </c>
      <c r="E26" s="48" t="s">
        <v>135</v>
      </c>
    </row>
    <row r="27" spans="3:5" ht="13.75" customHeight="1" thickBot="1" x14ac:dyDescent="0.4">
      <c r="C27" s="141" t="s">
        <v>424</v>
      </c>
      <c r="D27" s="126" t="s">
        <v>424</v>
      </c>
      <c r="E27" s="126" t="s">
        <v>424</v>
      </c>
    </row>
    <row r="28" spans="3:5" ht="13.75" customHeight="1" x14ac:dyDescent="0.35"/>
    <row r="29" spans="3:5" ht="13.75" customHeight="1" thickBot="1" x14ac:dyDescent="0.4">
      <c r="C29" s="20" t="s">
        <v>384</v>
      </c>
    </row>
    <row r="30" spans="3:5" ht="13.75" customHeight="1" thickBot="1" x14ac:dyDescent="0.4">
      <c r="C30" s="160" t="s">
        <v>427</v>
      </c>
      <c r="D30" s="161"/>
      <c r="E30" s="162"/>
    </row>
    <row r="31" spans="3:5" ht="13.75" customHeight="1" thickBot="1" x14ac:dyDescent="0.4">
      <c r="C31" s="160" t="s">
        <v>425</v>
      </c>
      <c r="D31" s="161"/>
      <c r="E31" s="162"/>
    </row>
    <row r="32" spans="3:5" ht="13.75" customHeight="1" thickBot="1" x14ac:dyDescent="0.4">
      <c r="C32" s="160" t="s">
        <v>426</v>
      </c>
      <c r="D32" s="161"/>
      <c r="E32" s="162"/>
    </row>
    <row r="33" spans="3:5" ht="13.75" customHeight="1" thickBot="1" x14ac:dyDescent="0.4">
      <c r="C33" s="160" t="s">
        <v>445</v>
      </c>
      <c r="D33" s="161"/>
      <c r="E33" s="162"/>
    </row>
    <row r="34" spans="3:5" ht="13.75" customHeight="1" thickBot="1" x14ac:dyDescent="0.4">
      <c r="C34" s="160" t="s">
        <v>446</v>
      </c>
      <c r="D34" s="161"/>
      <c r="E34" s="162"/>
    </row>
    <row r="35" spans="3:5" ht="13.75" customHeight="1" thickBot="1" x14ac:dyDescent="0.4">
      <c r="C35" s="160" t="s">
        <v>447</v>
      </c>
      <c r="D35" s="161"/>
      <c r="E35" s="162"/>
    </row>
    <row r="36" spans="3:5" ht="13.75" customHeight="1" thickBot="1" x14ac:dyDescent="0.4">
      <c r="C36" s="160"/>
      <c r="D36" s="161"/>
      <c r="E36" s="162"/>
    </row>
    <row r="37" spans="3:5" ht="13.75" customHeight="1" thickBot="1" x14ac:dyDescent="0.4">
      <c r="C37" s="160"/>
      <c r="D37" s="161"/>
      <c r="E37" s="162"/>
    </row>
    <row r="38" spans="3:5" ht="13.75" customHeight="1" x14ac:dyDescent="0.35"/>
    <row r="39" spans="3:5" x14ac:dyDescent="0.35">
      <c r="C39" s="114" t="s">
        <v>217</v>
      </c>
    </row>
    <row r="40" spans="3:5" x14ac:dyDescent="0.35">
      <c r="C40" s="116" t="s">
        <v>220</v>
      </c>
    </row>
    <row r="41" spans="3:5" x14ac:dyDescent="0.35">
      <c r="C41" s="116" t="s">
        <v>412</v>
      </c>
      <c r="D41" s="115"/>
    </row>
    <row r="42" spans="3:5" x14ac:dyDescent="0.35">
      <c r="C42" s="116" t="s">
        <v>411</v>
      </c>
      <c r="D42" s="115"/>
    </row>
    <row r="43" spans="3:5" x14ac:dyDescent="0.35">
      <c r="C43" s="16" t="s">
        <v>413</v>
      </c>
      <c r="D43" s="115"/>
    </row>
    <row r="44" spans="3:5" x14ac:dyDescent="0.35">
      <c r="C44" s="116" t="s">
        <v>218</v>
      </c>
      <c r="D44" s="115"/>
    </row>
    <row r="45" spans="3:5" x14ac:dyDescent="0.35">
      <c r="C45" s="116" t="s">
        <v>219</v>
      </c>
      <c r="D45" s="115"/>
    </row>
    <row r="46" spans="3:5" x14ac:dyDescent="0.35">
      <c r="C46" s="140" t="s">
        <v>136</v>
      </c>
      <c r="D46" s="115"/>
    </row>
    <row r="47" spans="3:5" ht="14.5" customHeight="1" x14ac:dyDescent="0.35">
      <c r="C47" s="114" t="s">
        <v>137</v>
      </c>
    </row>
    <row r="48" spans="3:5" ht="32.5" customHeight="1" x14ac:dyDescent="0.35">
      <c r="C48" s="159" t="s">
        <v>221</v>
      </c>
      <c r="D48" s="159"/>
      <c r="E48" s="159"/>
    </row>
    <row r="50" spans="3:5" ht="14.5" customHeight="1" x14ac:dyDescent="0.35">
      <c r="C50" s="78" t="s">
        <v>138</v>
      </c>
    </row>
    <row r="52" spans="3:5" ht="143.5" customHeight="1" x14ac:dyDescent="0.35">
      <c r="C52" s="158" t="s">
        <v>467</v>
      </c>
      <c r="D52" s="158"/>
      <c r="E52" s="158"/>
    </row>
    <row r="53" spans="3:5" ht="14.5" customHeight="1" x14ac:dyDescent="0.35">
      <c r="C53" s="112" t="s">
        <v>139</v>
      </c>
    </row>
    <row r="55" spans="3:5" ht="33" customHeight="1" x14ac:dyDescent="0.35">
      <c r="C55" s="158" t="s">
        <v>140</v>
      </c>
      <c r="D55" s="158"/>
      <c r="E55" s="158"/>
    </row>
    <row r="56" spans="3:5" ht="14.5" customHeight="1" x14ac:dyDescent="0.35">
      <c r="C56" s="117"/>
    </row>
    <row r="57" spans="3:5" ht="33" customHeight="1" x14ac:dyDescent="0.35">
      <c r="C57" s="158" t="s">
        <v>141</v>
      </c>
      <c r="D57" s="158"/>
      <c r="E57" s="158"/>
    </row>
    <row r="58" spans="3:5" ht="14.5" customHeight="1" x14ac:dyDescent="0.35">
      <c r="C58" s="117"/>
    </row>
    <row r="59" spans="3:5" ht="33" customHeight="1" x14ac:dyDescent="0.35">
      <c r="C59" s="158" t="s">
        <v>142</v>
      </c>
      <c r="D59" s="158"/>
      <c r="E59" s="158"/>
    </row>
    <row r="60" spans="3:5" ht="14.5" customHeight="1" x14ac:dyDescent="0.35">
      <c r="C60" s="117"/>
    </row>
    <row r="61" spans="3:5" ht="33" customHeight="1" x14ac:dyDescent="0.35">
      <c r="C61" s="158" t="s">
        <v>143</v>
      </c>
      <c r="D61" s="158"/>
      <c r="E61" s="158"/>
    </row>
    <row r="62" spans="3:5" ht="14.5" customHeight="1" x14ac:dyDescent="0.35">
      <c r="C62" s="117"/>
    </row>
    <row r="63" spans="3:5" ht="66" customHeight="1" x14ac:dyDescent="0.35">
      <c r="C63" s="158" t="s">
        <v>144</v>
      </c>
      <c r="D63" s="158"/>
      <c r="E63" s="158"/>
    </row>
  </sheetData>
  <sheetProtection selectLockedCells="1"/>
  <mergeCells count="26">
    <mergeCell ref="C37:E37"/>
    <mergeCell ref="C30:E30"/>
    <mergeCell ref="C32:E32"/>
    <mergeCell ref="C36:E36"/>
    <mergeCell ref="C31:E31"/>
    <mergeCell ref="C33:E33"/>
    <mergeCell ref="C34:E34"/>
    <mergeCell ref="C35:E35"/>
    <mergeCell ref="C61:E61"/>
    <mergeCell ref="C63:E63"/>
    <mergeCell ref="C48:E48"/>
    <mergeCell ref="C52:E52"/>
    <mergeCell ref="C55:E55"/>
    <mergeCell ref="C57:E57"/>
    <mergeCell ref="C59:E59"/>
    <mergeCell ref="D6:E6"/>
    <mergeCell ref="D7:E7"/>
    <mergeCell ref="D8:E8"/>
    <mergeCell ref="D9:E9"/>
    <mergeCell ref="D10:E10"/>
    <mergeCell ref="D16:E16"/>
    <mergeCell ref="D17:E17"/>
    <mergeCell ref="D11:E11"/>
    <mergeCell ref="D12:E12"/>
    <mergeCell ref="D13:E13"/>
    <mergeCell ref="D15:E15"/>
  </mergeCells>
  <conditionalFormatting sqref="D19">
    <cfRule type="cellIs" dxfId="16" priority="2" operator="equal">
      <formula>$H$20</formula>
    </cfRule>
  </conditionalFormatting>
  <conditionalFormatting sqref="D19 D21:D22">
    <cfRule type="cellIs" dxfId="15" priority="1" operator="equal">
      <formula>$H$19</formula>
    </cfRule>
  </conditionalFormatting>
  <dataValidations count="1">
    <dataValidation type="list" allowBlank="1" showInputMessage="1" showErrorMessage="1" sqref="O13" xr:uid="{00000000-0002-0000-0200-000000000000}">
      <formula1>"High,Medium,Low"</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Mapping!$A$2:$A$3</xm:f>
          </x14:formula1>
          <xm:sqref>D19:D21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C1:S75"/>
  <sheetViews>
    <sheetView topLeftCell="A70" zoomScale="85" zoomScaleNormal="85" workbookViewId="0">
      <selection activeCell="A73" sqref="A73"/>
    </sheetView>
  </sheetViews>
  <sheetFormatPr defaultColWidth="9.1796875" defaultRowHeight="14.5" customHeight="1" x14ac:dyDescent="0.35"/>
  <cols>
    <col min="1" max="1" width="9.1796875" style="16" customWidth="1"/>
    <col min="2" max="2" width="14.453125" style="16" customWidth="1"/>
    <col min="3" max="3" width="11" style="16" customWidth="1"/>
    <col min="4" max="4" width="67.7265625" style="16" customWidth="1"/>
    <col min="5" max="5" width="12.54296875" style="16" customWidth="1"/>
    <col min="6" max="6" width="46.54296875" style="16" customWidth="1"/>
    <col min="7" max="7" width="9.1796875" style="16" customWidth="1"/>
    <col min="8" max="8" width="52.81640625" style="16" customWidth="1"/>
    <col min="9" max="11" width="9.1796875" style="16" customWidth="1"/>
    <col min="12" max="12" width="11.81640625" style="16" customWidth="1"/>
    <col min="13" max="13" width="5.81640625" style="16" customWidth="1"/>
    <col min="14" max="14" width="51.7265625" style="16" customWidth="1"/>
    <col min="15" max="15" width="12.26953125" style="16" customWidth="1"/>
    <col min="16" max="16" width="12.81640625" style="16" customWidth="1"/>
    <col min="17" max="19" width="9.1796875" style="16" customWidth="1"/>
    <col min="20" max="16384" width="9.1796875" style="16"/>
  </cols>
  <sheetData>
    <row r="1" spans="3:6" x14ac:dyDescent="0.35"/>
    <row r="2" spans="3:6" ht="10" customHeight="1" x14ac:dyDescent="0.35"/>
    <row r="3" spans="3:6" ht="5.5" customHeight="1" x14ac:dyDescent="0.35"/>
    <row r="4" spans="3:6" ht="7.5" customHeight="1" x14ac:dyDescent="0.35"/>
    <row r="5" spans="3:6" x14ac:dyDescent="0.35">
      <c r="E5" s="17"/>
      <c r="F5" s="17"/>
    </row>
    <row r="6" spans="3:6" x14ac:dyDescent="0.35">
      <c r="E6" s="17"/>
      <c r="F6" s="17"/>
    </row>
    <row r="7" spans="3:6" x14ac:dyDescent="0.35">
      <c r="E7" s="17"/>
      <c r="F7" s="17"/>
    </row>
    <row r="8" spans="3:6" ht="15" customHeight="1" x14ac:dyDescent="0.35">
      <c r="C8" s="163" t="s">
        <v>145</v>
      </c>
      <c r="D8" s="164"/>
      <c r="E8" s="164"/>
      <c r="F8" s="164"/>
    </row>
    <row r="9" spans="3:6" ht="15" customHeight="1" x14ac:dyDescent="0.35">
      <c r="C9" s="54"/>
      <c r="D9" s="54"/>
      <c r="E9" s="15"/>
      <c r="F9"/>
    </row>
    <row r="10" spans="3:6" ht="15" customHeight="1" x14ac:dyDescent="0.35">
      <c r="C10" s="57" t="s">
        <v>216</v>
      </c>
      <c r="D10" s="54"/>
      <c r="E10" s="54"/>
      <c r="F10" s="54"/>
    </row>
    <row r="11" spans="3:6" ht="15" customHeight="1" thickBot="1" x14ac:dyDescent="0.4">
      <c r="C11" s="54"/>
      <c r="D11" s="54"/>
      <c r="E11" s="54"/>
      <c r="F11" s="54"/>
    </row>
    <row r="12" spans="3:6" ht="15" customHeight="1" thickBot="1" x14ac:dyDescent="0.4">
      <c r="C12" s="58" t="s">
        <v>146</v>
      </c>
      <c r="D12" s="165" t="s">
        <v>147</v>
      </c>
      <c r="E12" s="166"/>
      <c r="F12" s="167"/>
    </row>
    <row r="13" spans="3:6" ht="15" customHeight="1" thickBot="1" x14ac:dyDescent="0.4">
      <c r="C13" s="59" t="s">
        <v>148</v>
      </c>
      <c r="D13" s="165" t="s">
        <v>149</v>
      </c>
      <c r="E13" s="166" t="s">
        <v>149</v>
      </c>
      <c r="F13" s="167" t="s">
        <v>149</v>
      </c>
    </row>
    <row r="14" spans="3:6" ht="15" customHeight="1" thickBot="1" x14ac:dyDescent="0.4">
      <c r="C14" s="59" t="s">
        <v>150</v>
      </c>
      <c r="D14" s="165" t="s">
        <v>403</v>
      </c>
      <c r="E14" s="166" t="s">
        <v>151</v>
      </c>
      <c r="F14" s="167" t="s">
        <v>151</v>
      </c>
    </row>
    <row r="15" spans="3:6" ht="15" customHeight="1" thickBot="1" x14ac:dyDescent="0.4">
      <c r="C15" s="59" t="s">
        <v>152</v>
      </c>
      <c r="D15" s="165" t="s">
        <v>153</v>
      </c>
      <c r="E15" s="166" t="s">
        <v>153</v>
      </c>
      <c r="F15" s="167" t="s">
        <v>153</v>
      </c>
    </row>
    <row r="16" spans="3:6" ht="15" customHeight="1" x14ac:dyDescent="0.35">
      <c r="C16" s="54"/>
      <c r="D16" s="54"/>
      <c r="E16" s="54"/>
      <c r="F16" s="54"/>
    </row>
    <row r="17" spans="3:19" ht="15" customHeight="1" x14ac:dyDescent="0.35">
      <c r="C17" s="60" t="s">
        <v>154</v>
      </c>
      <c r="D17" s="54"/>
      <c r="E17" s="54"/>
      <c r="F17" s="54"/>
    </row>
    <row r="18" spans="3:19" ht="15" customHeight="1" thickBot="1" x14ac:dyDescent="0.4">
      <c r="C18" s="54"/>
      <c r="D18" s="54"/>
      <c r="E18" s="54"/>
      <c r="F18" s="54"/>
    </row>
    <row r="19" spans="3:19" ht="15" customHeight="1" thickBot="1" x14ac:dyDescent="0.4">
      <c r="C19" s="168" t="s">
        <v>155</v>
      </c>
      <c r="D19" s="169"/>
      <c r="E19" s="61" t="s">
        <v>156</v>
      </c>
      <c r="F19" s="62" t="s">
        <v>157</v>
      </c>
      <c r="I19" s="18"/>
      <c r="J19" s="18"/>
      <c r="K19" s="18"/>
      <c r="L19" s="18"/>
      <c r="M19" s="18"/>
      <c r="N19" s="18"/>
      <c r="O19" s="18"/>
      <c r="P19" s="18"/>
      <c r="Q19" s="18"/>
      <c r="R19" s="18"/>
      <c r="S19" s="18"/>
    </row>
    <row r="20" spans="3:19" ht="25" customHeight="1" thickBot="1" x14ac:dyDescent="0.4">
      <c r="C20" s="165" t="s">
        <v>395</v>
      </c>
      <c r="D20" s="166"/>
      <c r="E20" s="105" t="s">
        <v>158</v>
      </c>
      <c r="F20" s="46" t="s">
        <v>429</v>
      </c>
    </row>
    <row r="21" spans="3:19" ht="25" customHeight="1" thickBot="1" x14ac:dyDescent="0.4">
      <c r="C21" s="165" t="s">
        <v>396</v>
      </c>
      <c r="D21" s="166"/>
      <c r="E21" s="105" t="s">
        <v>158</v>
      </c>
      <c r="F21" s="46" t="s">
        <v>430</v>
      </c>
    </row>
    <row r="22" spans="3:19" ht="25" customHeight="1" thickBot="1" x14ac:dyDescent="0.4">
      <c r="C22" s="165" t="s">
        <v>397</v>
      </c>
      <c r="D22" s="166"/>
      <c r="E22" s="105" t="s">
        <v>158</v>
      </c>
      <c r="F22" s="46" t="s">
        <v>431</v>
      </c>
    </row>
    <row r="23" spans="3:19" ht="25" customHeight="1" thickBot="1" x14ac:dyDescent="0.4">
      <c r="C23" s="165" t="s">
        <v>398</v>
      </c>
      <c r="D23" s="166"/>
      <c r="E23" s="105" t="s">
        <v>158</v>
      </c>
      <c r="F23" s="46" t="s">
        <v>428</v>
      </c>
    </row>
    <row r="24" spans="3:19" ht="25" customHeight="1" thickBot="1" x14ac:dyDescent="0.4">
      <c r="C24" s="165" t="s">
        <v>399</v>
      </c>
      <c r="D24" s="166"/>
      <c r="E24" s="105" t="s">
        <v>158</v>
      </c>
      <c r="F24" s="46" t="s">
        <v>470</v>
      </c>
    </row>
    <row r="25" spans="3:19" ht="15" customHeight="1" thickBot="1" x14ac:dyDescent="0.4">
      <c r="C25" s="54"/>
      <c r="D25" s="54"/>
      <c r="E25" s="54"/>
      <c r="F25" s="54"/>
    </row>
    <row r="26" spans="3:19" ht="45.65" customHeight="1" thickBot="1" x14ac:dyDescent="0.4">
      <c r="C26" s="62" t="s">
        <v>161</v>
      </c>
      <c r="D26" s="165" t="str">
        <f>IF(COUNTIF($E$20:$E$24,"")=5,"",IF(COUNTIF($E$20:$E$24,"Yes")=5,"Contract exists between the parties","Contract does not exists between the parties"))</f>
        <v>Contract exists between the parties</v>
      </c>
      <c r="E26" s="166"/>
      <c r="F26" s="167"/>
    </row>
    <row r="27" spans="3:19" x14ac:dyDescent="0.35">
      <c r="C27" s="54"/>
      <c r="D27" s="54"/>
      <c r="E27" s="54"/>
      <c r="F27" s="54"/>
    </row>
    <row r="28" spans="3:19" x14ac:dyDescent="0.35">
      <c r="C28" s="54"/>
      <c r="D28" s="54"/>
      <c r="E28" s="54"/>
      <c r="F28" s="54"/>
    </row>
    <row r="29" spans="3:19" x14ac:dyDescent="0.35">
      <c r="C29" s="63" t="s">
        <v>162</v>
      </c>
      <c r="D29" s="54"/>
      <c r="E29" s="54"/>
      <c r="F29" s="54"/>
    </row>
    <row r="30" spans="3:19" x14ac:dyDescent="0.35">
      <c r="C30" s="54"/>
      <c r="D30" s="54"/>
      <c r="E30" s="54"/>
      <c r="F30" s="54"/>
    </row>
    <row r="31" spans="3:19" x14ac:dyDescent="0.35">
      <c r="C31" s="64" t="s">
        <v>163</v>
      </c>
      <c r="D31" s="54"/>
      <c r="E31" s="54"/>
      <c r="F31" s="54"/>
    </row>
    <row r="32" spans="3:19" x14ac:dyDescent="0.35">
      <c r="C32" s="64" t="s">
        <v>164</v>
      </c>
      <c r="D32" s="54"/>
      <c r="E32" s="54"/>
      <c r="F32" s="54"/>
    </row>
    <row r="33" spans="3:6" x14ac:dyDescent="0.35">
      <c r="C33" s="64" t="s">
        <v>165</v>
      </c>
      <c r="D33" s="54"/>
      <c r="E33" s="54"/>
      <c r="F33" s="54"/>
    </row>
    <row r="34" spans="3:6" x14ac:dyDescent="0.35">
      <c r="C34" s="64" t="s">
        <v>166</v>
      </c>
      <c r="D34" s="54"/>
      <c r="E34" s="54"/>
      <c r="F34" s="54"/>
    </row>
    <row r="35" spans="3:6" x14ac:dyDescent="0.35">
      <c r="C35" s="54"/>
      <c r="D35" s="54"/>
      <c r="E35" s="54"/>
      <c r="F35" s="54"/>
    </row>
    <row r="36" spans="3:6" x14ac:dyDescent="0.35">
      <c r="C36" s="15" t="s">
        <v>167</v>
      </c>
      <c r="D36" s="54"/>
      <c r="E36" s="54"/>
      <c r="F36" s="54"/>
    </row>
    <row r="37" spans="3:6" ht="14.5" customHeight="1" x14ac:dyDescent="0.35">
      <c r="C37" s="64" t="s">
        <v>168</v>
      </c>
      <c r="D37" s="54"/>
      <c r="E37" s="54"/>
      <c r="F37" s="54"/>
    </row>
    <row r="38" spans="3:6" ht="14.5" customHeight="1" thickBot="1" x14ac:dyDescent="0.4">
      <c r="C38" s="54"/>
      <c r="D38" s="54"/>
      <c r="E38" s="54"/>
      <c r="F38" s="54"/>
    </row>
    <row r="39" spans="3:6" ht="31.5" customHeight="1" thickBot="1" x14ac:dyDescent="0.4">
      <c r="C39" s="170" t="s">
        <v>169</v>
      </c>
      <c r="D39" s="172"/>
      <c r="E39" s="171"/>
      <c r="F39" s="46" t="s">
        <v>159</v>
      </c>
    </row>
    <row r="40" spans="3:6" ht="14.5" customHeight="1" thickBot="1" x14ac:dyDescent="0.4">
      <c r="C40" s="54"/>
      <c r="D40" s="54"/>
      <c r="E40" s="54"/>
      <c r="F40" s="54"/>
    </row>
    <row r="41" spans="3:6" ht="14.5" customHeight="1" thickBot="1" x14ac:dyDescent="0.4">
      <c r="C41" s="173" t="s">
        <v>222</v>
      </c>
      <c r="D41" s="174"/>
      <c r="E41" s="174"/>
      <c r="F41" s="175"/>
    </row>
    <row r="42" spans="3:6" ht="14.5" customHeight="1" thickBot="1" x14ac:dyDescent="0.4">
      <c r="C42" s="54"/>
      <c r="D42" s="54"/>
      <c r="E42" s="54"/>
      <c r="F42" s="54"/>
    </row>
    <row r="43" spans="3:6" ht="25" customHeight="1" thickBot="1" x14ac:dyDescent="0.4">
      <c r="C43" s="170" t="s">
        <v>170</v>
      </c>
      <c r="D43" s="172"/>
      <c r="E43" s="171" t="s">
        <v>159</v>
      </c>
      <c r="F43" s="108" t="s">
        <v>160</v>
      </c>
    </row>
    <row r="44" spans="3:6" ht="25" customHeight="1" thickBot="1" x14ac:dyDescent="0.4">
      <c r="C44" s="170" t="s">
        <v>171</v>
      </c>
      <c r="D44" s="172"/>
      <c r="E44" s="171" t="s">
        <v>159</v>
      </c>
      <c r="F44" s="108" t="s">
        <v>160</v>
      </c>
    </row>
    <row r="45" spans="3:6" ht="25" customHeight="1" thickBot="1" x14ac:dyDescent="0.4">
      <c r="C45" s="170" t="s">
        <v>223</v>
      </c>
      <c r="D45" s="172"/>
      <c r="E45" s="171" t="s">
        <v>159</v>
      </c>
      <c r="F45" s="108" t="s">
        <v>160</v>
      </c>
    </row>
    <row r="46" spans="3:6" ht="14.5" customHeight="1" thickBot="1" x14ac:dyDescent="0.4">
      <c r="C46" s="54"/>
      <c r="D46" s="54"/>
      <c r="E46" s="54"/>
      <c r="F46" s="54"/>
    </row>
    <row r="47" spans="3:6" ht="14.5" customHeight="1" thickBot="1" x14ac:dyDescent="0.4">
      <c r="C47" s="173" t="s">
        <v>224</v>
      </c>
      <c r="D47" s="174"/>
      <c r="E47" s="174"/>
      <c r="F47" s="175"/>
    </row>
    <row r="48" spans="3:6" ht="14.5" customHeight="1" thickBot="1" x14ac:dyDescent="0.4">
      <c r="C48" s="65"/>
      <c r="D48" s="54"/>
      <c r="E48" s="54"/>
      <c r="F48" s="54"/>
    </row>
    <row r="49" spans="3:6" ht="14.5" customHeight="1" thickBot="1" x14ac:dyDescent="0.4">
      <c r="C49" s="173" t="s">
        <v>172</v>
      </c>
      <c r="D49" s="174"/>
      <c r="E49" s="174"/>
      <c r="F49" s="175"/>
    </row>
    <row r="50" spans="3:6" ht="72" customHeight="1" thickBot="1" x14ac:dyDescent="0.4">
      <c r="C50" s="177" t="s">
        <v>432</v>
      </c>
      <c r="D50" s="178"/>
      <c r="E50" s="178"/>
      <c r="F50" s="179"/>
    </row>
    <row r="51" spans="3:6" ht="20.5" customHeight="1" thickBot="1" x14ac:dyDescent="0.4">
      <c r="C51" s="173" t="s">
        <v>366</v>
      </c>
      <c r="D51" s="174"/>
      <c r="E51" s="174"/>
      <c r="F51" s="175"/>
    </row>
    <row r="52" spans="3:6" ht="65.150000000000006" customHeight="1" thickBot="1" x14ac:dyDescent="0.4">
      <c r="C52" s="177" t="s">
        <v>433</v>
      </c>
      <c r="D52" s="178"/>
      <c r="E52" s="178"/>
      <c r="F52" s="179"/>
    </row>
    <row r="53" spans="3:6" ht="34.5" customHeight="1" thickBot="1" x14ac:dyDescent="0.4">
      <c r="C53" s="176" t="s">
        <v>215</v>
      </c>
      <c r="D53" s="176"/>
      <c r="E53" s="176"/>
      <c r="F53" s="54"/>
    </row>
    <row r="54" spans="3:6" ht="28" customHeight="1" thickBot="1" x14ac:dyDescent="0.4">
      <c r="C54" s="170" t="s">
        <v>211</v>
      </c>
      <c r="D54" s="171"/>
      <c r="E54" s="46" t="s">
        <v>158</v>
      </c>
    </row>
    <row r="55" spans="3:6" ht="13.5" hidden="1" customHeight="1" thickBot="1" x14ac:dyDescent="0.4">
      <c r="C55" s="183" t="s">
        <v>172</v>
      </c>
      <c r="D55" s="184"/>
      <c r="E55" s="185"/>
    </row>
    <row r="56" spans="3:6" ht="54" hidden="1" customHeight="1" thickBot="1" x14ac:dyDescent="0.4">
      <c r="C56" s="180"/>
      <c r="D56" s="181"/>
      <c r="E56" s="182"/>
    </row>
    <row r="57" spans="3:6" ht="20.149999999999999" customHeight="1" thickBot="1" x14ac:dyDescent="0.4">
      <c r="C57" s="54"/>
      <c r="D57" s="54"/>
      <c r="E57" s="54"/>
    </row>
    <row r="58" spans="3:6" ht="20.149999999999999" customHeight="1" thickBot="1" x14ac:dyDescent="0.4">
      <c r="C58" s="170" t="s">
        <v>212</v>
      </c>
      <c r="D58" s="171"/>
      <c r="E58" s="46" t="s">
        <v>158</v>
      </c>
    </row>
    <row r="59" spans="3:6" ht="20.149999999999999" customHeight="1" thickBot="1" x14ac:dyDescent="0.4">
      <c r="C59" s="54"/>
      <c r="D59" s="54"/>
      <c r="E59" s="54"/>
    </row>
    <row r="60" spans="3:6" ht="20.149999999999999" hidden="1" customHeight="1" thickBot="1" x14ac:dyDescent="0.4">
      <c r="C60" s="54"/>
      <c r="D60" s="54"/>
      <c r="E60" s="54"/>
    </row>
    <row r="61" spans="3:6" ht="20.149999999999999" customHeight="1" thickBot="1" x14ac:dyDescent="0.4">
      <c r="C61" s="170" t="s">
        <v>213</v>
      </c>
      <c r="D61" s="171"/>
      <c r="E61" s="46" t="s">
        <v>158</v>
      </c>
    </row>
    <row r="62" spans="3:6" ht="20.149999999999999" hidden="1" customHeight="1" x14ac:dyDescent="0.35">
      <c r="C62" s="54"/>
      <c r="D62" s="54"/>
      <c r="E62" s="54"/>
    </row>
    <row r="63" spans="3:6" ht="20.149999999999999" hidden="1" customHeight="1" thickBot="1" x14ac:dyDescent="0.4">
      <c r="C63" s="54"/>
      <c r="D63" s="54"/>
      <c r="E63" s="54"/>
    </row>
    <row r="64" spans="3:6" ht="20.149999999999999" hidden="1" customHeight="1" thickBot="1" x14ac:dyDescent="0.4">
      <c r="C64" s="170" t="s">
        <v>214</v>
      </c>
      <c r="D64" s="171"/>
      <c r="E64" s="46"/>
    </row>
    <row r="65" spans="3:5" ht="20.149999999999999" hidden="1" customHeight="1" x14ac:dyDescent="0.35">
      <c r="C65" s="54"/>
      <c r="D65" s="54"/>
      <c r="E65" s="66"/>
    </row>
    <row r="66" spans="3:5" ht="14.5" customHeight="1" x14ac:dyDescent="0.35">
      <c r="C66" s="54"/>
      <c r="D66" s="54"/>
      <c r="E66" s="54"/>
    </row>
    <row r="67" spans="3:5" ht="14.5" customHeight="1" x14ac:dyDescent="0.35">
      <c r="C67" s="54"/>
      <c r="D67" s="54"/>
      <c r="E67" s="54"/>
    </row>
    <row r="68" spans="3:5" ht="9.65" customHeight="1" thickBot="1" x14ac:dyDescent="0.4">
      <c r="C68" s="54"/>
      <c r="D68" s="54"/>
      <c r="E68" s="54"/>
    </row>
    <row r="69" spans="3:5" ht="34" customHeight="1" thickBot="1" x14ac:dyDescent="0.4">
      <c r="C69" s="170" t="s">
        <v>348</v>
      </c>
      <c r="D69" s="171"/>
      <c r="E69" s="46" t="s">
        <v>158</v>
      </c>
    </row>
    <row r="70" spans="3:5" ht="17.149999999999999" customHeight="1" thickBot="1" x14ac:dyDescent="0.4">
      <c r="C70" s="54"/>
      <c r="D70" s="54"/>
      <c r="E70" s="54"/>
    </row>
    <row r="71" spans="3:5" ht="20.149999999999999" customHeight="1" thickBot="1" x14ac:dyDescent="0.4">
      <c r="C71" s="183" t="s">
        <v>172</v>
      </c>
      <c r="D71" s="184"/>
      <c r="E71" s="185"/>
    </row>
    <row r="72" spans="3:5" ht="62.5" customHeight="1" thickBot="1" x14ac:dyDescent="0.4">
      <c r="C72" s="180" t="s">
        <v>434</v>
      </c>
      <c r="D72" s="181"/>
      <c r="E72" s="182"/>
    </row>
    <row r="73" spans="3:5" ht="14.5" customHeight="1" thickBot="1" x14ac:dyDescent="0.4">
      <c r="C73" s="54"/>
      <c r="D73" s="54"/>
      <c r="E73" s="54"/>
    </row>
    <row r="74" spans="3:5" ht="14.5" customHeight="1" thickBot="1" x14ac:dyDescent="0.4">
      <c r="C74" s="183" t="s">
        <v>367</v>
      </c>
      <c r="D74" s="184"/>
      <c r="E74" s="185"/>
    </row>
    <row r="75" spans="3:5" ht="66.650000000000006" customHeight="1" thickBot="1" x14ac:dyDescent="0.4">
      <c r="C75" s="180" t="s">
        <v>456</v>
      </c>
      <c r="D75" s="181"/>
      <c r="E75" s="182"/>
    </row>
  </sheetData>
  <sheetProtection selectLockedCells="1"/>
  <mergeCells count="34">
    <mergeCell ref="C74:E74"/>
    <mergeCell ref="C75:E75"/>
    <mergeCell ref="C58:D58"/>
    <mergeCell ref="C61:D61"/>
    <mergeCell ref="C64:D64"/>
    <mergeCell ref="C56:E56"/>
    <mergeCell ref="C69:D69"/>
    <mergeCell ref="C71:E71"/>
    <mergeCell ref="C72:E72"/>
    <mergeCell ref="C45:E45"/>
    <mergeCell ref="C55:E55"/>
    <mergeCell ref="C51:F51"/>
    <mergeCell ref="C52:F52"/>
    <mergeCell ref="C20:D20"/>
    <mergeCell ref="C19:D19"/>
    <mergeCell ref="C54:D54"/>
    <mergeCell ref="C21:D21"/>
    <mergeCell ref="C22:D22"/>
    <mergeCell ref="C23:D23"/>
    <mergeCell ref="C24:D24"/>
    <mergeCell ref="D26:F26"/>
    <mergeCell ref="C39:E39"/>
    <mergeCell ref="C41:F41"/>
    <mergeCell ref="C43:E43"/>
    <mergeCell ref="C44:E44"/>
    <mergeCell ref="C53:E53"/>
    <mergeCell ref="C47:F47"/>
    <mergeCell ref="C49:F49"/>
    <mergeCell ref="C50:F50"/>
    <mergeCell ref="C8:F8"/>
    <mergeCell ref="D12:F12"/>
    <mergeCell ref="D13:F13"/>
    <mergeCell ref="D14:F14"/>
    <mergeCell ref="D15:F15"/>
  </mergeCells>
  <conditionalFormatting sqref="E20:F24 D26:F26 F39 F43:F45 C50:F50 C52:F52 E54 C75:E75">
    <cfRule type="cellIs" dxfId="14" priority="1" operator="equal">
      <formula>$B$5</formula>
    </cfRule>
  </conditionalFormatting>
  <dataValidations count="2">
    <dataValidation type="list" allowBlank="1" showInputMessage="1" showErrorMessage="1" sqref="O13" xr:uid="{00000000-0002-0000-0300-000000000000}">
      <formula1>"High,Medium,Low"</formula1>
    </dataValidation>
    <dataValidation type="list" allowBlank="1" showInputMessage="1" showErrorMessage="1" sqref="E59 E62:E65" xr:uid="{00000000-0002-0000-0300-000001000000}">
      <formula1>Yes_No</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2000000}">
          <x14:formula1>
            <xm:f>Mapping!$A$2:$A$4</xm:f>
          </x14:formula1>
          <xm:sqref>E58 E69:E70 E61 E43:F45</xm:sqref>
        </x14:dataValidation>
        <x14:dataValidation type="list" allowBlank="1" showInputMessage="1" showErrorMessage="1" xr:uid="{00000000-0002-0000-0300-000003000000}">
          <x14:formula1>
            <xm:f>Mapping!$A$2:$A$3</xm:f>
          </x14:formula1>
          <xm:sqref>F39 E20:E24</xm:sqref>
        </x14:dataValidation>
        <x14:dataValidation type="list" allowBlank="1" showInputMessage="1" showErrorMessage="1" xr:uid="{00000000-0002-0000-0300-000004000000}">
          <x14:formula1>
            <xm:f>Mapping!$A$2</xm:f>
          </x14:formula1>
          <xm:sqref>E54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D1:I32"/>
  <sheetViews>
    <sheetView topLeftCell="A22" zoomScale="70" zoomScaleNormal="70" workbookViewId="0">
      <selection activeCell="D22" sqref="D22"/>
    </sheetView>
  </sheetViews>
  <sheetFormatPr defaultColWidth="9.1796875" defaultRowHeight="14.5" customHeight="1" x14ac:dyDescent="0.35"/>
  <cols>
    <col min="1" max="3" width="9.1796875" style="16" customWidth="1"/>
    <col min="4" max="4" width="91.453125" style="16" customWidth="1"/>
    <col min="5" max="6" width="9.1796875" style="16" customWidth="1"/>
    <col min="7" max="7" width="20.1796875" style="16" bestFit="1" customWidth="1"/>
    <col min="8" max="8" width="53.81640625" style="16" customWidth="1"/>
    <col min="9" max="11" width="9.1796875" style="16" customWidth="1"/>
    <col min="12" max="12" width="11.81640625" style="16" customWidth="1"/>
    <col min="13" max="13" width="5.81640625" style="16" customWidth="1"/>
    <col min="14" max="14" width="51.7265625" style="16" customWidth="1"/>
    <col min="15" max="15" width="12.26953125" style="16" customWidth="1"/>
    <col min="16" max="16" width="12.81640625" style="16" customWidth="1"/>
    <col min="17" max="19" width="9.1796875" style="16" customWidth="1"/>
    <col min="20" max="16384" width="9.1796875" style="16"/>
  </cols>
  <sheetData>
    <row r="1" spans="4:9" x14ac:dyDescent="0.35"/>
    <row r="2" spans="4:9" ht="10" customHeight="1" x14ac:dyDescent="0.35"/>
    <row r="3" spans="4:9" ht="5.5" customHeight="1" x14ac:dyDescent="0.35"/>
    <row r="4" spans="4:9" ht="7.5" customHeight="1" x14ac:dyDescent="0.35"/>
    <row r="5" spans="4:9" x14ac:dyDescent="0.35">
      <c r="E5" s="17"/>
      <c r="F5" s="17"/>
    </row>
    <row r="6" spans="4:9" ht="15" thickBot="1" x14ac:dyDescent="0.4">
      <c r="E6" s="17"/>
      <c r="F6" s="17"/>
    </row>
    <row r="7" spans="4:9" ht="15" thickBot="1" x14ac:dyDescent="0.4">
      <c r="D7" s="195" t="s">
        <v>173</v>
      </c>
      <c r="E7" s="190"/>
      <c r="F7" s="190"/>
      <c r="G7" s="190"/>
      <c r="H7" s="191"/>
    </row>
    <row r="8" spans="4:9" ht="33" customHeight="1" thickBot="1" x14ac:dyDescent="0.4">
      <c r="D8" s="180" t="s">
        <v>174</v>
      </c>
      <c r="E8" s="181"/>
      <c r="F8" s="181"/>
      <c r="G8" s="181"/>
      <c r="H8" s="182"/>
    </row>
    <row r="9" spans="4:9" ht="36.5" customHeight="1" x14ac:dyDescent="0.35">
      <c r="D9" s="199" t="s">
        <v>409</v>
      </c>
      <c r="E9" s="199"/>
      <c r="F9" s="199"/>
      <c r="G9" s="199"/>
      <c r="H9" s="199"/>
    </row>
    <row r="10" spans="4:9" ht="15" customHeight="1" x14ac:dyDescent="0.35">
      <c r="D10" s="139" t="s">
        <v>175</v>
      </c>
    </row>
    <row r="11" spans="4:9" ht="15" customHeight="1" x14ac:dyDescent="0.35">
      <c r="D11" s="16" t="s">
        <v>176</v>
      </c>
    </row>
    <row r="12" spans="4:9" ht="25" customHeight="1" thickBot="1" x14ac:dyDescent="0.4">
      <c r="D12" s="200" t="s">
        <v>225</v>
      </c>
      <c r="E12" s="200"/>
      <c r="F12" s="200"/>
      <c r="G12" s="200"/>
      <c r="H12" s="200"/>
      <c r="I12" s="98"/>
    </row>
    <row r="13" spans="4:9" ht="15" customHeight="1" thickBot="1" x14ac:dyDescent="0.4">
      <c r="D13" s="195" t="s">
        <v>177</v>
      </c>
      <c r="E13" s="190"/>
      <c r="F13" s="190"/>
      <c r="G13" s="190"/>
      <c r="H13" s="191"/>
    </row>
    <row r="14" spans="4:9" s="21" customFormat="1" ht="50" customHeight="1" thickBot="1" x14ac:dyDescent="0.4">
      <c r="D14" s="192" t="s">
        <v>226</v>
      </c>
      <c r="E14" s="193"/>
      <c r="F14" s="193"/>
      <c r="G14" s="193"/>
      <c r="H14" s="194"/>
    </row>
    <row r="15" spans="4:9" ht="15" customHeight="1" thickBot="1" x14ac:dyDescent="0.4"/>
    <row r="16" spans="4:9" ht="37" customHeight="1" thickBot="1" x14ac:dyDescent="0.4">
      <c r="D16" s="189" t="s">
        <v>410</v>
      </c>
      <c r="E16" s="190"/>
      <c r="F16" s="190"/>
      <c r="G16" s="190"/>
      <c r="H16" s="191"/>
    </row>
    <row r="17" spans="4:8" ht="25" customHeight="1" thickBot="1" x14ac:dyDescent="0.4">
      <c r="D17" s="180" t="s">
        <v>179</v>
      </c>
      <c r="E17" s="181"/>
      <c r="F17" s="181"/>
      <c r="G17" s="181"/>
      <c r="H17" s="182"/>
    </row>
    <row r="18" spans="4:8" ht="25" customHeight="1" thickBot="1" x14ac:dyDescent="0.4">
      <c r="D18" s="180" t="s">
        <v>180</v>
      </c>
      <c r="E18" s="181"/>
      <c r="F18" s="181"/>
      <c r="G18" s="181"/>
      <c r="H18" s="182"/>
    </row>
    <row r="19" spans="4:8" ht="25" customHeight="1" thickBot="1" x14ac:dyDescent="0.4">
      <c r="D19" s="180" t="s">
        <v>181</v>
      </c>
      <c r="E19" s="181"/>
      <c r="F19" s="181"/>
      <c r="G19" s="181"/>
      <c r="H19" s="182"/>
    </row>
    <row r="20" spans="4:8" ht="15" customHeight="1" x14ac:dyDescent="0.35"/>
    <row r="21" spans="4:8" ht="15" customHeight="1" thickBot="1" x14ac:dyDescent="0.4">
      <c r="D21" s="20" t="s">
        <v>182</v>
      </c>
    </row>
    <row r="22" spans="4:8" ht="22" customHeight="1" thickBot="1" x14ac:dyDescent="0.4">
      <c r="D22" s="67" t="s">
        <v>183</v>
      </c>
      <c r="E22" s="67" t="s">
        <v>177</v>
      </c>
      <c r="F22" s="67" t="s">
        <v>178</v>
      </c>
      <c r="G22" s="67" t="s">
        <v>184</v>
      </c>
      <c r="H22" s="67" t="s">
        <v>185</v>
      </c>
    </row>
    <row r="23" spans="4:8" ht="100" customHeight="1" thickBot="1" x14ac:dyDescent="0.4">
      <c r="D23" s="107" t="s">
        <v>460</v>
      </c>
      <c r="E23" s="46" t="s">
        <v>158</v>
      </c>
      <c r="F23" s="46" t="s">
        <v>158</v>
      </c>
      <c r="G23" s="108" t="str">
        <f t="shared" ref="G23:G26" si="0">IF(OR(E23="",F23=""),"",IF(AND(E23="Yes",F23="Yes"),"Yes",IF(AND(E23="No",F23="No"),"No","Error")))</f>
        <v>Yes</v>
      </c>
      <c r="H23" s="46" t="s">
        <v>350</v>
      </c>
    </row>
    <row r="24" spans="4:8" ht="40" customHeight="1" thickBot="1" x14ac:dyDescent="0.4">
      <c r="D24" s="107"/>
      <c r="E24" s="46"/>
      <c r="F24" s="46"/>
      <c r="G24" s="108" t="str">
        <f t="shared" si="0"/>
        <v/>
      </c>
      <c r="H24" s="46"/>
    </row>
    <row r="25" spans="4:8" ht="40" customHeight="1" thickBot="1" x14ac:dyDescent="0.4">
      <c r="D25" s="107"/>
      <c r="E25" s="46"/>
      <c r="F25" s="46"/>
      <c r="G25" s="108" t="str">
        <f t="shared" si="0"/>
        <v/>
      </c>
      <c r="H25" s="46"/>
    </row>
    <row r="26" spans="4:8" ht="40" customHeight="1" thickBot="1" x14ac:dyDescent="0.4">
      <c r="D26" s="107"/>
      <c r="E26" s="46"/>
      <c r="F26" s="46"/>
      <c r="G26" s="108" t="str">
        <f t="shared" si="0"/>
        <v/>
      </c>
      <c r="H26" s="46"/>
    </row>
    <row r="27" spans="4:8" ht="15" thickBot="1" x14ac:dyDescent="0.4"/>
    <row r="28" spans="4:8" ht="15" thickBot="1" x14ac:dyDescent="0.4">
      <c r="D28" s="196" t="s">
        <v>172</v>
      </c>
      <c r="E28" s="197"/>
      <c r="F28" s="197"/>
      <c r="G28" s="197"/>
      <c r="H28" s="198"/>
    </row>
    <row r="29" spans="4:8" ht="71.150000000000006" customHeight="1" thickBot="1" x14ac:dyDescent="0.4">
      <c r="D29" s="186" t="s">
        <v>461</v>
      </c>
      <c r="E29" s="187"/>
      <c r="F29" s="187"/>
      <c r="G29" s="187"/>
      <c r="H29" s="188"/>
    </row>
    <row r="30" spans="4:8" x14ac:dyDescent="0.35"/>
    <row r="31" spans="4:8" x14ac:dyDescent="0.35"/>
    <row r="32" spans="4:8" x14ac:dyDescent="0.35"/>
  </sheetData>
  <sheetProtection algorithmName="SHA-512" hashValue="FJBcFcLdmAtSXtwpSpG5rLPRwsGU+rnJM1Y95K727rIlL32UKR/4rdYWTPHxs60lk6kreAirnPZs+J09rSOMTQ==" saltValue="hphJwWqjQlUrh4GuRwh+pQ==" spinCount="100000" sheet="1" objects="1" scenarios="1" selectLockedCells="1"/>
  <mergeCells count="12">
    <mergeCell ref="D29:H29"/>
    <mergeCell ref="D16:H16"/>
    <mergeCell ref="D14:H14"/>
    <mergeCell ref="D13:H13"/>
    <mergeCell ref="D7:H7"/>
    <mergeCell ref="D8:H8"/>
    <mergeCell ref="D28:H28"/>
    <mergeCell ref="D17:H17"/>
    <mergeCell ref="D18:H18"/>
    <mergeCell ref="D19:H19"/>
    <mergeCell ref="D9:H9"/>
    <mergeCell ref="D12:H12"/>
  </mergeCells>
  <conditionalFormatting sqref="G23:G26">
    <cfRule type="containsText" dxfId="13" priority="2" operator="containsText" text="Error">
      <formula>NOT(ISERROR(SEARCH("Error",G23)))</formula>
    </cfRule>
  </conditionalFormatting>
  <conditionalFormatting sqref="D29:H29 D23:F26 H23:H26">
    <cfRule type="cellIs" dxfId="12" priority="1" operator="equal">
      <formula>$C$5</formula>
    </cfRule>
  </conditionalFormatting>
  <dataValidations count="1">
    <dataValidation type="list" allowBlank="1" showInputMessage="1" showErrorMessage="1" sqref="O13" xr:uid="{00000000-0002-0000-0400-000000000000}">
      <formula1>"High,Medium,Low"</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Mapping!$A$2:$A$4</xm:f>
          </x14:formula1>
          <xm:sqref>E23:G26</xm:sqref>
        </x14:dataValidation>
        <x14:dataValidation type="list" allowBlank="1" showInputMessage="1" showErrorMessage="1" xr:uid="{00000000-0002-0000-0400-000002000000}">
          <x14:formula1>
            <xm:f>Mapping!$J$2:$J$7</xm:f>
          </x14:formula1>
          <xm:sqref>H23:H26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C1:F119"/>
  <sheetViews>
    <sheetView topLeftCell="A143" zoomScale="85" zoomScaleNormal="85" workbookViewId="0">
      <selection activeCell="F123" sqref="F123"/>
    </sheetView>
  </sheetViews>
  <sheetFormatPr defaultColWidth="9.1796875" defaultRowHeight="14.5" customHeight="1" x14ac:dyDescent="0.35"/>
  <cols>
    <col min="1" max="1" width="9.1796875" style="16" customWidth="1"/>
    <col min="2" max="2" width="13.81640625" style="16" customWidth="1"/>
    <col min="3" max="3" width="5.453125" style="16" customWidth="1"/>
    <col min="4" max="4" width="57" style="16" customWidth="1"/>
    <col min="5" max="5" width="25.81640625" style="16" customWidth="1"/>
    <col min="6" max="6" width="59.1796875" style="16" customWidth="1"/>
    <col min="7" max="16384" width="9.1796875" style="16"/>
  </cols>
  <sheetData>
    <row r="1" spans="3:6" x14ac:dyDescent="0.35"/>
    <row r="2" spans="3:6" x14ac:dyDescent="0.35"/>
    <row r="3" spans="3:6" x14ac:dyDescent="0.35"/>
    <row r="4" spans="3:6" x14ac:dyDescent="0.35"/>
    <row r="5" spans="3:6" ht="25" customHeight="1" thickBot="1" x14ac:dyDescent="0.4">
      <c r="E5" s="17"/>
      <c r="F5" s="17"/>
    </row>
    <row r="6" spans="3:6" ht="25" customHeight="1" thickBot="1" x14ac:dyDescent="0.4">
      <c r="D6" s="195" t="s">
        <v>236</v>
      </c>
      <c r="E6" s="190"/>
      <c r="F6" s="191"/>
    </row>
    <row r="7" spans="3:6" ht="50.15" customHeight="1" thickBot="1" x14ac:dyDescent="0.4">
      <c r="D7" s="180" t="s">
        <v>237</v>
      </c>
      <c r="E7" s="181"/>
      <c r="F7" s="182"/>
    </row>
    <row r="8" spans="3:6" ht="50.15" customHeight="1" thickBot="1" x14ac:dyDescent="0.4">
      <c r="D8" s="180" t="s">
        <v>238</v>
      </c>
      <c r="E8" s="181"/>
      <c r="F8" s="182"/>
    </row>
    <row r="9" spans="3:6" ht="14.15" customHeight="1" thickBot="1" x14ac:dyDescent="0.4">
      <c r="D9" s="180" t="s">
        <v>239</v>
      </c>
      <c r="E9" s="181"/>
      <c r="F9" s="182"/>
    </row>
    <row r="10" spans="3:6" ht="25" customHeight="1" thickBot="1" x14ac:dyDescent="0.4">
      <c r="C10" s="236" t="s">
        <v>353</v>
      </c>
      <c r="D10" s="233" t="s">
        <v>240</v>
      </c>
      <c r="E10" s="234"/>
      <c r="F10" s="235"/>
    </row>
    <row r="11" spans="3:6" ht="25" customHeight="1" thickBot="1" x14ac:dyDescent="0.4">
      <c r="C11" s="237"/>
      <c r="D11" s="231" t="s">
        <v>241</v>
      </c>
      <c r="E11" s="178"/>
      <c r="F11" s="232"/>
    </row>
    <row r="12" spans="3:6" ht="25" customHeight="1" thickBot="1" x14ac:dyDescent="0.4">
      <c r="C12" s="236" t="s">
        <v>242</v>
      </c>
      <c r="D12" s="233" t="s">
        <v>243</v>
      </c>
      <c r="E12" s="234"/>
      <c r="F12" s="235"/>
    </row>
    <row r="13" spans="3:6" ht="25" customHeight="1" thickBot="1" x14ac:dyDescent="0.4">
      <c r="C13" s="237"/>
      <c r="D13" s="231" t="s">
        <v>244</v>
      </c>
      <c r="E13" s="178"/>
      <c r="F13" s="232"/>
    </row>
    <row r="14" spans="3:6" ht="25" customHeight="1" thickBot="1" x14ac:dyDescent="0.4">
      <c r="C14" s="236" t="s">
        <v>245</v>
      </c>
      <c r="D14" s="233" t="s">
        <v>246</v>
      </c>
      <c r="E14" s="234"/>
      <c r="F14" s="235"/>
    </row>
    <row r="15" spans="3:6" ht="25" customHeight="1" thickBot="1" x14ac:dyDescent="0.4">
      <c r="C15" s="237"/>
      <c r="D15" s="231" t="s">
        <v>247</v>
      </c>
      <c r="E15" s="178"/>
      <c r="F15" s="232"/>
    </row>
    <row r="16" spans="3:6" ht="25" customHeight="1" thickBot="1" x14ac:dyDescent="0.4">
      <c r="C16" s="236" t="s">
        <v>248</v>
      </c>
      <c r="D16" s="233" t="s">
        <v>249</v>
      </c>
      <c r="E16" s="234"/>
      <c r="F16" s="235"/>
    </row>
    <row r="17" spans="3:6" ht="25" customHeight="1" thickBot="1" x14ac:dyDescent="0.4">
      <c r="C17" s="237"/>
      <c r="D17" s="231" t="s">
        <v>250</v>
      </c>
      <c r="E17" s="178"/>
      <c r="F17" s="232"/>
    </row>
    <row r="18" spans="3:6" ht="15" thickBot="1" x14ac:dyDescent="0.4"/>
    <row r="19" spans="3:6" ht="19.5" customHeight="1" thickBot="1" x14ac:dyDescent="0.4">
      <c r="D19" s="207" t="s">
        <v>251</v>
      </c>
      <c r="E19" s="208"/>
      <c r="F19" s="209"/>
    </row>
    <row r="20" spans="3:6" ht="31.5" customHeight="1" thickBot="1" x14ac:dyDescent="0.4">
      <c r="D20" s="186" t="s">
        <v>252</v>
      </c>
      <c r="E20" s="188"/>
      <c r="F20" s="49" t="s">
        <v>158</v>
      </c>
    </row>
    <row r="21" spans="3:6" ht="35.5" customHeight="1" thickBot="1" x14ac:dyDescent="0.4">
      <c r="D21" s="180" t="s">
        <v>253</v>
      </c>
      <c r="E21" s="182"/>
      <c r="F21" s="49" t="s">
        <v>159</v>
      </c>
    </row>
    <row r="22" spans="3:6" x14ac:dyDescent="0.35"/>
    <row r="23" spans="3:6" ht="24" hidden="1" customHeight="1" thickBot="1" x14ac:dyDescent="0.4">
      <c r="D23" s="207" t="s">
        <v>381</v>
      </c>
      <c r="E23" s="208"/>
      <c r="F23" s="209"/>
    </row>
    <row r="24" spans="3:6" ht="25" hidden="1" customHeight="1" thickBot="1" x14ac:dyDescent="0.4">
      <c r="D24" s="105"/>
      <c r="E24" s="108" t="str">
        <f t="shared" ref="E24:E27" si="0">IF(D24&lt;&gt;"","Refer Para no from Contract clauses","")</f>
        <v/>
      </c>
      <c r="F24" s="74"/>
    </row>
    <row r="25" spans="3:6" ht="25" hidden="1" customHeight="1" thickBot="1" x14ac:dyDescent="0.4">
      <c r="D25" s="105"/>
      <c r="E25" s="108" t="str">
        <f t="shared" si="0"/>
        <v/>
      </c>
      <c r="F25" s="74"/>
    </row>
    <row r="26" spans="3:6" ht="25" hidden="1" customHeight="1" thickBot="1" x14ac:dyDescent="0.4">
      <c r="D26" s="105"/>
      <c r="E26" s="108" t="str">
        <f t="shared" si="0"/>
        <v/>
      </c>
      <c r="F26" s="74"/>
    </row>
    <row r="27" spans="3:6" ht="25" hidden="1" customHeight="1" thickBot="1" x14ac:dyDescent="0.4">
      <c r="D27" s="105"/>
      <c r="E27" s="108" t="str">
        <f t="shared" si="0"/>
        <v/>
      </c>
      <c r="F27" s="74"/>
    </row>
    <row r="28" spans="3:6" ht="25" hidden="1" customHeight="1" thickBot="1" x14ac:dyDescent="0.4">
      <c r="D28" s="105"/>
      <c r="E28" s="108" t="str">
        <f t="shared" ref="E28:E32" si="1">IF(D28&lt;&gt;"","Refer Para no from Contract clauses","")</f>
        <v/>
      </c>
      <c r="F28" s="74"/>
    </row>
    <row r="29" spans="3:6" ht="25" hidden="1" customHeight="1" thickBot="1" x14ac:dyDescent="0.4">
      <c r="D29" s="105"/>
      <c r="E29" s="108" t="str">
        <f t="shared" si="1"/>
        <v/>
      </c>
      <c r="F29" s="74"/>
    </row>
    <row r="30" spans="3:6" ht="25" hidden="1" customHeight="1" thickBot="1" x14ac:dyDescent="0.4">
      <c r="D30" s="105"/>
      <c r="E30" s="108" t="str">
        <f t="shared" si="1"/>
        <v/>
      </c>
      <c r="F30" s="74"/>
    </row>
    <row r="31" spans="3:6" ht="25" hidden="1" customHeight="1" thickBot="1" x14ac:dyDescent="0.4">
      <c r="D31" s="105"/>
      <c r="E31" s="108" t="str">
        <f t="shared" si="1"/>
        <v/>
      </c>
      <c r="F31" s="74"/>
    </row>
    <row r="32" spans="3:6" ht="25" hidden="1" customHeight="1" thickBot="1" x14ac:dyDescent="0.4">
      <c r="D32" s="105"/>
      <c r="E32" s="108" t="str">
        <f t="shared" si="1"/>
        <v/>
      </c>
      <c r="F32" s="74"/>
    </row>
    <row r="33" spans="4:6" ht="15" hidden="1" thickBot="1" x14ac:dyDescent="0.4"/>
    <row r="34" spans="4:6" ht="25" hidden="1" customHeight="1" thickBot="1" x14ac:dyDescent="0.4">
      <c r="D34" s="186" t="s">
        <v>257</v>
      </c>
      <c r="E34" s="188" t="s">
        <v>159</v>
      </c>
      <c r="F34" s="74"/>
    </row>
    <row r="35" spans="4:6" ht="25" hidden="1" customHeight="1" thickBot="1" x14ac:dyDescent="0.4">
      <c r="D35" s="186" t="s">
        <v>258</v>
      </c>
      <c r="E35" s="188" t="s">
        <v>159</v>
      </c>
      <c r="F35" s="74"/>
    </row>
    <row r="36" spans="4:6" ht="15" hidden="1" thickBot="1" x14ac:dyDescent="0.4"/>
    <row r="37" spans="4:6" ht="32.15" hidden="1" customHeight="1" thickBot="1" x14ac:dyDescent="0.4">
      <c r="D37" s="215" t="s">
        <v>259</v>
      </c>
      <c r="E37" s="216"/>
      <c r="F37" s="217"/>
    </row>
    <row r="38" spans="4:6" ht="83.5" hidden="1" customHeight="1" thickBot="1" x14ac:dyDescent="0.4">
      <c r="D38" s="212"/>
      <c r="E38" s="213"/>
      <c r="F38" s="214"/>
    </row>
    <row r="39" spans="4:6" ht="15" hidden="1" thickBot="1" x14ac:dyDescent="0.4">
      <c r="D39" s="50"/>
    </row>
    <row r="40" spans="4:6" ht="24" hidden="1" customHeight="1" thickBot="1" x14ac:dyDescent="0.4">
      <c r="D40" s="215" t="s">
        <v>260</v>
      </c>
      <c r="E40" s="216"/>
      <c r="F40" s="217"/>
    </row>
    <row r="41" spans="4:6" ht="22.5" hidden="1" customHeight="1" thickBot="1" x14ac:dyDescent="0.4">
      <c r="D41" s="51" t="s">
        <v>354</v>
      </c>
      <c r="E41" s="52" t="s">
        <v>308</v>
      </c>
      <c r="F41" s="53" t="s">
        <v>316</v>
      </c>
    </row>
    <row r="42" spans="4:6" ht="25" hidden="1" customHeight="1" thickBot="1" x14ac:dyDescent="0.4">
      <c r="D42" s="118">
        <f t="shared" ref="D42:D45" si="2">D24</f>
        <v>0</v>
      </c>
      <c r="E42" s="46"/>
      <c r="F42" s="119" t="str">
        <f>IF(E42&lt;&gt;"",IF(E42="Expected Value Method","The expected value is the sum of probability-weighted amounts in a range of possible consideration amounts.","The Most-likely amount is an appropriate estimate of the amount of variable consideration as the contract has only two possible outcomes"),"")</f>
        <v/>
      </c>
    </row>
    <row r="43" spans="4:6" ht="25" hidden="1" customHeight="1" thickBot="1" x14ac:dyDescent="0.4">
      <c r="D43" s="118">
        <f t="shared" si="2"/>
        <v>0</v>
      </c>
      <c r="E43" s="46"/>
      <c r="F43" s="119" t="str">
        <f t="shared" ref="F43:F50" si="3">IF(E43&lt;&gt;"",IF(E43="Expected Value Method","The expected value is the sum of probability-weighted amounts in a range of possible consideration amounts.","The Most-likely amount is an appropriate estimate of the amount of variable consideration as the contract has only two possible outcomes"),"")</f>
        <v/>
      </c>
    </row>
    <row r="44" spans="4:6" ht="25" hidden="1" customHeight="1" thickBot="1" x14ac:dyDescent="0.4">
      <c r="D44" s="118">
        <f t="shared" si="2"/>
        <v>0</v>
      </c>
      <c r="E44" s="46"/>
      <c r="F44" s="119" t="str">
        <f t="shared" si="3"/>
        <v/>
      </c>
    </row>
    <row r="45" spans="4:6" ht="24.65" hidden="1" customHeight="1" thickBot="1" x14ac:dyDescent="0.4">
      <c r="D45" s="118">
        <f t="shared" si="2"/>
        <v>0</v>
      </c>
      <c r="E45" s="46"/>
      <c r="F45" s="119" t="str">
        <f t="shared" si="3"/>
        <v/>
      </c>
    </row>
    <row r="46" spans="4:6" ht="24.65" hidden="1" customHeight="1" thickBot="1" x14ac:dyDescent="0.4">
      <c r="D46" s="118">
        <f t="shared" ref="D46:D50" si="4">D28</f>
        <v>0</v>
      </c>
      <c r="E46" s="46"/>
      <c r="F46" s="119" t="str">
        <f t="shared" si="3"/>
        <v/>
      </c>
    </row>
    <row r="47" spans="4:6" ht="24.65" hidden="1" customHeight="1" thickBot="1" x14ac:dyDescent="0.4">
      <c r="D47" s="118">
        <f t="shared" si="4"/>
        <v>0</v>
      </c>
      <c r="E47" s="46"/>
      <c r="F47" s="119" t="str">
        <f t="shared" si="3"/>
        <v/>
      </c>
    </row>
    <row r="48" spans="4:6" ht="24.65" hidden="1" customHeight="1" thickBot="1" x14ac:dyDescent="0.4">
      <c r="D48" s="118">
        <f t="shared" si="4"/>
        <v>0</v>
      </c>
      <c r="E48" s="46"/>
      <c r="F48" s="119" t="str">
        <f t="shared" si="3"/>
        <v/>
      </c>
    </row>
    <row r="49" spans="4:6" ht="24.65" hidden="1" customHeight="1" thickBot="1" x14ac:dyDescent="0.4">
      <c r="D49" s="118">
        <f t="shared" si="4"/>
        <v>0</v>
      </c>
      <c r="E49" s="46"/>
      <c r="F49" s="119" t="str">
        <f t="shared" si="3"/>
        <v/>
      </c>
    </row>
    <row r="50" spans="4:6" ht="24.65" hidden="1" customHeight="1" thickBot="1" x14ac:dyDescent="0.4">
      <c r="D50" s="118">
        <f t="shared" si="4"/>
        <v>0</v>
      </c>
      <c r="E50" s="46"/>
      <c r="F50" s="119" t="str">
        <f t="shared" si="3"/>
        <v/>
      </c>
    </row>
    <row r="51" spans="4:6" ht="25" hidden="1" customHeight="1" thickBot="1" x14ac:dyDescent="0.4"/>
    <row r="52" spans="4:6" ht="25" hidden="1" customHeight="1" thickBot="1" x14ac:dyDescent="0.4">
      <c r="D52" s="215" t="s">
        <v>315</v>
      </c>
      <c r="E52" s="216"/>
      <c r="F52" s="217"/>
    </row>
    <row r="53" spans="4:6" ht="45" hidden="1" customHeight="1" thickBot="1" x14ac:dyDescent="0.4">
      <c r="D53" s="201" t="s">
        <v>393</v>
      </c>
      <c r="E53" s="202"/>
      <c r="F53" s="203"/>
    </row>
    <row r="54" spans="4:6" ht="14.5" hidden="1" customHeight="1" thickBot="1" x14ac:dyDescent="0.4">
      <c r="D54" s="207" t="s">
        <v>261</v>
      </c>
      <c r="E54" s="208"/>
      <c r="F54" s="209"/>
    </row>
    <row r="55" spans="4:6" ht="30" hidden="1" customHeight="1" thickBot="1" x14ac:dyDescent="0.4">
      <c r="D55" s="186" t="s">
        <v>262</v>
      </c>
      <c r="E55" s="188" t="s">
        <v>159</v>
      </c>
      <c r="F55" s="74"/>
    </row>
    <row r="56" spans="4:6" ht="30" hidden="1" customHeight="1" thickBot="1" x14ac:dyDescent="0.4">
      <c r="D56" s="186" t="s">
        <v>263</v>
      </c>
      <c r="E56" s="188" t="s">
        <v>264</v>
      </c>
      <c r="F56" s="74"/>
    </row>
    <row r="57" spans="4:6" ht="30" hidden="1" customHeight="1" thickBot="1" x14ac:dyDescent="0.4">
      <c r="D57" s="186" t="s">
        <v>265</v>
      </c>
      <c r="E57" s="188" t="s">
        <v>159</v>
      </c>
      <c r="F57" s="74"/>
    </row>
    <row r="58" spans="4:6" ht="30" hidden="1" customHeight="1" thickBot="1" x14ac:dyDescent="0.4">
      <c r="D58" s="186" t="s">
        <v>266</v>
      </c>
      <c r="E58" s="188" t="s">
        <v>264</v>
      </c>
      <c r="F58" s="74"/>
    </row>
    <row r="59" spans="4:6" ht="30" hidden="1" customHeight="1" thickBot="1" x14ac:dyDescent="0.4">
      <c r="D59" s="186" t="s">
        <v>267</v>
      </c>
      <c r="E59" s="188" t="s">
        <v>264</v>
      </c>
      <c r="F59" s="74"/>
    </row>
    <row r="60" spans="4:6" ht="14.5" hidden="1" customHeight="1" thickBot="1" x14ac:dyDescent="0.4"/>
    <row r="61" spans="4:6" ht="31" hidden="1" customHeight="1" thickBot="1" x14ac:dyDescent="0.4">
      <c r="D61" s="218" t="s">
        <v>404</v>
      </c>
      <c r="E61" s="219"/>
      <c r="F61" s="220"/>
    </row>
    <row r="62" spans="4:6" ht="68.150000000000006" hidden="1" customHeight="1" thickBot="1" x14ac:dyDescent="0.4">
      <c r="D62" s="204"/>
      <c r="E62" s="205"/>
      <c r="F62" s="206"/>
    </row>
    <row r="63" spans="4:6" ht="25" hidden="1" customHeight="1" thickBot="1" x14ac:dyDescent="0.4">
      <c r="D63" s="210" t="s">
        <v>268</v>
      </c>
      <c r="E63" s="211" t="s">
        <v>158</v>
      </c>
      <c r="F63" s="74"/>
    </row>
    <row r="64" spans="4:6" ht="15" hidden="1" customHeight="1" thickBot="1" x14ac:dyDescent="0.4">
      <c r="D64" s="78" t="s">
        <v>383</v>
      </c>
    </row>
    <row r="65" spans="4:6" ht="76" hidden="1" customHeight="1" thickBot="1" x14ac:dyDescent="0.4">
      <c r="D65" s="201"/>
      <c r="E65" s="202"/>
      <c r="F65" s="203"/>
    </row>
    <row r="66" spans="4:6" ht="15" customHeight="1" x14ac:dyDescent="0.35"/>
    <row r="67" spans="4:6" ht="14.5" customHeight="1" x14ac:dyDescent="0.35">
      <c r="D67" s="221" t="s">
        <v>269</v>
      </c>
      <c r="E67" s="221"/>
      <c r="F67" s="221"/>
    </row>
    <row r="68" spans="4:6" ht="14.5" customHeight="1" thickBot="1" x14ac:dyDescent="0.4"/>
    <row r="69" spans="4:6" ht="25" customHeight="1" thickBot="1" x14ac:dyDescent="0.4">
      <c r="D69" s="210" t="s">
        <v>270</v>
      </c>
      <c r="E69" s="211" t="s">
        <v>264</v>
      </c>
      <c r="F69" s="74" t="s">
        <v>159</v>
      </c>
    </row>
    <row r="71" spans="4:6" ht="14.5" hidden="1" customHeight="1" thickBot="1" x14ac:dyDescent="0.4">
      <c r="D71" s="212" t="s">
        <v>312</v>
      </c>
      <c r="E71" s="213"/>
      <c r="F71" s="214"/>
    </row>
    <row r="72" spans="4:6" ht="42.65" hidden="1" customHeight="1" thickBot="1" x14ac:dyDescent="0.4">
      <c r="D72" s="201"/>
      <c r="E72" s="202"/>
      <c r="F72" s="203"/>
    </row>
    <row r="73" spans="4:6" ht="14.5" hidden="1" customHeight="1" thickBot="1" x14ac:dyDescent="0.4"/>
    <row r="74" spans="4:6" ht="33.65" hidden="1" customHeight="1" thickBot="1" x14ac:dyDescent="0.4">
      <c r="D74" s="215" t="s">
        <v>355</v>
      </c>
      <c r="E74" s="216"/>
      <c r="F74" s="217"/>
    </row>
    <row r="75" spans="4:6" ht="38.5" hidden="1" customHeight="1" thickBot="1" x14ac:dyDescent="0.4">
      <c r="D75" s="201"/>
      <c r="E75" s="202"/>
      <c r="F75" s="203"/>
    </row>
    <row r="76" spans="4:6" ht="14.5" hidden="1" customHeight="1" thickBot="1" x14ac:dyDescent="0.4"/>
    <row r="77" spans="4:6" ht="33" hidden="1" customHeight="1" thickBot="1" x14ac:dyDescent="0.4">
      <c r="D77" s="215" t="s">
        <v>313</v>
      </c>
      <c r="E77" s="216"/>
      <c r="F77" s="217"/>
    </row>
    <row r="78" spans="4:6" ht="38.5" hidden="1" customHeight="1" thickBot="1" x14ac:dyDescent="0.4">
      <c r="D78" s="186" t="s">
        <v>314</v>
      </c>
      <c r="E78" s="188"/>
      <c r="F78" s="74"/>
    </row>
    <row r="79" spans="4:6" ht="14.5" hidden="1" customHeight="1" thickBot="1" x14ac:dyDescent="0.4"/>
    <row r="80" spans="4:6" ht="29.15" hidden="1" customHeight="1" thickBot="1" x14ac:dyDescent="0.4">
      <c r="D80" s="215" t="s">
        <v>313</v>
      </c>
      <c r="E80" s="216"/>
      <c r="F80" s="217"/>
    </row>
    <row r="81" spans="4:6" ht="30" hidden="1" customHeight="1" thickBot="1" x14ac:dyDescent="0.4">
      <c r="D81" s="201"/>
      <c r="E81" s="202"/>
      <c r="F81" s="203"/>
    </row>
    <row r="82" spans="4:6" ht="25" hidden="1" customHeight="1" x14ac:dyDescent="0.35"/>
    <row r="83" spans="4:6" ht="14.5" customHeight="1" thickBot="1" x14ac:dyDescent="0.4"/>
    <row r="84" spans="4:6" ht="14.5" customHeight="1" thickBot="1" x14ac:dyDescent="0.4">
      <c r="D84" s="212" t="s">
        <v>283</v>
      </c>
      <c r="E84" s="213"/>
      <c r="F84" s="214"/>
    </row>
    <row r="85" spans="4:6" ht="14.5" customHeight="1" thickBot="1" x14ac:dyDescent="0.4">
      <c r="D85" s="207" t="s">
        <v>202</v>
      </c>
      <c r="E85" s="208"/>
      <c r="F85" s="209"/>
    </row>
    <row r="86" spans="4:6" ht="40" customHeight="1" thickBot="1" x14ac:dyDescent="0.4">
      <c r="D86" s="201" t="s">
        <v>271</v>
      </c>
      <c r="E86" s="202"/>
      <c r="F86" s="203"/>
    </row>
    <row r="87" spans="4:6" ht="14.5" customHeight="1" thickBot="1" x14ac:dyDescent="0.4"/>
    <row r="88" spans="4:6" ht="32.5" customHeight="1" thickBot="1" x14ac:dyDescent="0.4">
      <c r="D88" s="210" t="s">
        <v>272</v>
      </c>
      <c r="E88" s="211" t="s">
        <v>159</v>
      </c>
      <c r="F88" s="74" t="s">
        <v>159</v>
      </c>
    </row>
    <row r="89" spans="4:6" ht="14.5" customHeight="1" thickBot="1" x14ac:dyDescent="0.4"/>
    <row r="90" spans="4:6" ht="14.5" hidden="1" customHeight="1" thickBot="1" x14ac:dyDescent="0.4">
      <c r="D90" s="225" t="s">
        <v>176</v>
      </c>
      <c r="E90" s="226"/>
      <c r="F90" s="227"/>
    </row>
    <row r="91" spans="4:6" ht="42" hidden="1" customHeight="1" thickBot="1" x14ac:dyDescent="0.4">
      <c r="D91" s="228" t="s">
        <v>356</v>
      </c>
      <c r="E91" s="229"/>
      <c r="F91" s="230"/>
    </row>
    <row r="92" spans="4:6" ht="15" hidden="1" customHeight="1" thickBot="1" x14ac:dyDescent="0.4">
      <c r="D92" s="222" t="s">
        <v>382</v>
      </c>
      <c r="E92" s="223"/>
      <c r="F92" s="224"/>
    </row>
    <row r="93" spans="4:6" ht="15" hidden="1" customHeight="1" thickBot="1" x14ac:dyDescent="0.4">
      <c r="D93" s="222"/>
      <c r="E93" s="223"/>
      <c r="F93" s="224"/>
    </row>
    <row r="94" spans="4:6" ht="15" hidden="1" customHeight="1" thickBot="1" x14ac:dyDescent="0.4">
      <c r="D94" s="222"/>
      <c r="E94" s="223"/>
      <c r="F94" s="224"/>
    </row>
    <row r="95" spans="4:6" ht="15" hidden="1" customHeight="1" thickBot="1" x14ac:dyDescent="0.4">
      <c r="D95" s="222"/>
      <c r="E95" s="223"/>
      <c r="F95" s="224"/>
    </row>
    <row r="96" spans="4:6" ht="14.5" hidden="1" customHeight="1" thickBot="1" x14ac:dyDescent="0.4"/>
    <row r="97" spans="4:6" ht="28.5" hidden="1" customHeight="1" thickBot="1" x14ac:dyDescent="0.4">
      <c r="D97" s="196" t="s">
        <v>362</v>
      </c>
      <c r="E97" s="198"/>
      <c r="F97" s="49" t="s">
        <v>159</v>
      </c>
    </row>
    <row r="98" spans="4:6" ht="14.5" hidden="1" customHeight="1" thickBot="1" x14ac:dyDescent="0.4"/>
    <row r="99" spans="4:6" ht="25" hidden="1" customHeight="1" thickBot="1" x14ac:dyDescent="0.4">
      <c r="D99" s="212" t="s">
        <v>273</v>
      </c>
      <c r="E99" s="213"/>
      <c r="F99" s="214"/>
    </row>
    <row r="100" spans="4:6" ht="25" hidden="1" customHeight="1" thickBot="1" x14ac:dyDescent="0.4">
      <c r="D100" s="196" t="s">
        <v>357</v>
      </c>
      <c r="E100" s="198" t="s">
        <v>160</v>
      </c>
      <c r="F100" s="49" t="s">
        <v>159</v>
      </c>
    </row>
    <row r="101" spans="4:6" ht="25" hidden="1" customHeight="1" thickBot="1" x14ac:dyDescent="0.4">
      <c r="D101" s="196" t="s">
        <v>358</v>
      </c>
      <c r="E101" s="198" t="s">
        <v>160</v>
      </c>
      <c r="F101" s="49"/>
    </row>
    <row r="102" spans="4:6" ht="14.5" hidden="1" customHeight="1" thickBot="1" x14ac:dyDescent="0.4"/>
    <row r="103" spans="4:6" ht="14.5" customHeight="1" thickBot="1" x14ac:dyDescent="0.4">
      <c r="D103" s="207" t="s">
        <v>359</v>
      </c>
      <c r="E103" s="208"/>
      <c r="F103" s="209"/>
    </row>
    <row r="104" spans="4:6" ht="65.5" customHeight="1" thickBot="1" x14ac:dyDescent="0.4">
      <c r="D104" s="201" t="s">
        <v>160</v>
      </c>
      <c r="E104" s="202"/>
      <c r="F104" s="203"/>
    </row>
    <row r="107" spans="4:6" ht="14.5" customHeight="1" thickBot="1" x14ac:dyDescent="0.4"/>
    <row r="108" spans="4:6" ht="14.5" customHeight="1" thickBot="1" x14ac:dyDescent="0.4">
      <c r="D108" s="207" t="s">
        <v>274</v>
      </c>
      <c r="E108" s="208"/>
      <c r="F108" s="209"/>
    </row>
    <row r="109" spans="4:6" ht="41.5" customHeight="1" thickBot="1" x14ac:dyDescent="0.4">
      <c r="D109" s="196" t="s">
        <v>275</v>
      </c>
      <c r="E109" s="198" t="s">
        <v>158</v>
      </c>
      <c r="F109" s="74" t="s">
        <v>158</v>
      </c>
    </row>
    <row r="110" spans="4:6" ht="14.5" customHeight="1" thickBot="1" x14ac:dyDescent="0.4"/>
    <row r="111" spans="4:6" ht="25" customHeight="1" thickBot="1" x14ac:dyDescent="0.4">
      <c r="D111" s="212" t="s">
        <v>276</v>
      </c>
      <c r="E111" s="213"/>
      <c r="F111" s="214"/>
    </row>
    <row r="112" spans="4:6" ht="25" customHeight="1" thickBot="1" x14ac:dyDescent="0.4">
      <c r="D112" s="180" t="s">
        <v>277</v>
      </c>
      <c r="E112" s="182" t="s">
        <v>159</v>
      </c>
      <c r="F112" s="74" t="s">
        <v>159</v>
      </c>
    </row>
    <row r="113" spans="4:6" ht="25" customHeight="1" thickBot="1" x14ac:dyDescent="0.4">
      <c r="D113" s="180" t="s">
        <v>278</v>
      </c>
      <c r="E113" s="182" t="s">
        <v>264</v>
      </c>
      <c r="F113" s="74" t="s">
        <v>159</v>
      </c>
    </row>
    <row r="114" spans="4:6" ht="25" customHeight="1" thickBot="1" x14ac:dyDescent="0.4">
      <c r="D114" s="180" t="s">
        <v>279</v>
      </c>
      <c r="E114" s="182" t="s">
        <v>280</v>
      </c>
      <c r="F114" s="74" t="s">
        <v>159</v>
      </c>
    </row>
    <row r="115" spans="4:6" ht="14.5" customHeight="1" thickBot="1" x14ac:dyDescent="0.4"/>
    <row r="116" spans="4:6" ht="14.5" customHeight="1" thickBot="1" x14ac:dyDescent="0.4">
      <c r="D116" s="207" t="s">
        <v>281</v>
      </c>
      <c r="E116" s="208"/>
      <c r="F116" s="209"/>
    </row>
    <row r="117" spans="4:6" ht="54.5" customHeight="1" thickBot="1" x14ac:dyDescent="0.4">
      <c r="D117" s="201" t="s">
        <v>436</v>
      </c>
      <c r="E117" s="202"/>
      <c r="F117" s="203"/>
    </row>
    <row r="118" spans="4:6" ht="14.5" customHeight="1" thickBot="1" x14ac:dyDescent="0.4"/>
    <row r="119" spans="4:6" ht="26.5" customHeight="1" thickBot="1" x14ac:dyDescent="0.4">
      <c r="D119" s="196" t="s">
        <v>282</v>
      </c>
      <c r="E119" s="198"/>
      <c r="F119" s="74" t="s">
        <v>160</v>
      </c>
    </row>
  </sheetData>
  <sheetProtection algorithmName="SHA-512" hashValue="Z41Ke4e/qAMM+iXa0Vph458+Jv6xwZSFgWPSky0S0lu7WOc/u8HxaQgg/kKVt76vaalI9ELOVFE6thfvtgQ65Q==" saltValue="kr/dqkGtJZVsD1003nCqmw==" spinCount="100000" sheet="1" objects="1" scenarios="1" selectLockedCells="1"/>
  <mergeCells count="72">
    <mergeCell ref="D38:F38"/>
    <mergeCell ref="D40:F40"/>
    <mergeCell ref="D23:F23"/>
    <mergeCell ref="D34:E34"/>
    <mergeCell ref="D35:E35"/>
    <mergeCell ref="C10:C11"/>
    <mergeCell ref="C12:C13"/>
    <mergeCell ref="C14:C15"/>
    <mergeCell ref="C16:C17"/>
    <mergeCell ref="D10:F10"/>
    <mergeCell ref="D11:F11"/>
    <mergeCell ref="D12:F12"/>
    <mergeCell ref="D54:F54"/>
    <mergeCell ref="D52:F52"/>
    <mergeCell ref="D53:F53"/>
    <mergeCell ref="D6:F6"/>
    <mergeCell ref="D7:F7"/>
    <mergeCell ref="D8:F8"/>
    <mergeCell ref="D9:F9"/>
    <mergeCell ref="D20:E20"/>
    <mergeCell ref="D13:F13"/>
    <mergeCell ref="D15:F15"/>
    <mergeCell ref="D16:F16"/>
    <mergeCell ref="D17:F17"/>
    <mergeCell ref="D14:F14"/>
    <mergeCell ref="D19:F19"/>
    <mergeCell ref="D21:E21"/>
    <mergeCell ref="D37:F37"/>
    <mergeCell ref="D55:E55"/>
    <mergeCell ref="D56:E56"/>
    <mergeCell ref="D57:E57"/>
    <mergeCell ref="D58:E58"/>
    <mergeCell ref="D59:E59"/>
    <mergeCell ref="D109:E109"/>
    <mergeCell ref="D111:F111"/>
    <mergeCell ref="D61:F61"/>
    <mergeCell ref="D63:E63"/>
    <mergeCell ref="D67:F67"/>
    <mergeCell ref="D69:E69"/>
    <mergeCell ref="D84:F84"/>
    <mergeCell ref="D80:F80"/>
    <mergeCell ref="D81:F81"/>
    <mergeCell ref="D78:E78"/>
    <mergeCell ref="D95:F95"/>
    <mergeCell ref="D90:F90"/>
    <mergeCell ref="D91:F91"/>
    <mergeCell ref="D92:F92"/>
    <mergeCell ref="D93:F93"/>
    <mergeCell ref="D94:F94"/>
    <mergeCell ref="D104:F104"/>
    <mergeCell ref="D108:F108"/>
    <mergeCell ref="D71:F71"/>
    <mergeCell ref="D72:F72"/>
    <mergeCell ref="D74:F74"/>
    <mergeCell ref="D75:F75"/>
    <mergeCell ref="D77:F77"/>
    <mergeCell ref="D65:F65"/>
    <mergeCell ref="D62:F62"/>
    <mergeCell ref="D119:E119"/>
    <mergeCell ref="D117:F117"/>
    <mergeCell ref="D85:F85"/>
    <mergeCell ref="D88:E88"/>
    <mergeCell ref="D86:F86"/>
    <mergeCell ref="D97:E97"/>
    <mergeCell ref="D99:F99"/>
    <mergeCell ref="D100:E100"/>
    <mergeCell ref="D101:E101"/>
    <mergeCell ref="D103:F103"/>
    <mergeCell ref="D112:E112"/>
    <mergeCell ref="D113:E113"/>
    <mergeCell ref="D114:E114"/>
    <mergeCell ref="D116:F116"/>
  </mergeCells>
  <conditionalFormatting sqref="F20:F21 F34:F35 D38:F38 F55:F59 F63 D65:F65 F69 F88 D104:F104 F109 F112:F114 D117:F117 F119 D24:F32 D42:F50">
    <cfRule type="cellIs" dxfId="11" priority="1" operator="equal">
      <formula>$B$3</formula>
    </cfRule>
  </conditionalFormatting>
  <dataValidations count="1">
    <dataValidation type="list" allowBlank="1" showInputMessage="1" showErrorMessage="1" sqref="F119 F20:F21 F109 F34:F35 F88 F55:F59" xr:uid="{00000000-0002-0000-0500-000000000000}">
      <formula1>Yes_No</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500-000001000000}">
          <x14:formula1>
            <xm:f>Mapping!$A$2:$A$4</xm:f>
          </x14:formula1>
          <xm:sqref>F69 F97 F106 F78 F100:F101 F112:F114 F65 F63</xm:sqref>
        </x14:dataValidation>
        <x14:dataValidation type="list" allowBlank="1" showInputMessage="1" showErrorMessage="1" xr:uid="{00000000-0002-0000-0500-000002000000}">
          <x14:formula1>
            <xm:f>Mapping!$F$2:$F$3</xm:f>
          </x14:formula1>
          <xm:sqref>E51</xm:sqref>
        </x14:dataValidation>
        <x14:dataValidation type="list" allowBlank="1" showInputMessage="1" showErrorMessage="1" xr:uid="{5516D3AE-AEC2-4733-A920-9B03A0B1DEF9}">
          <x14:formula1>
            <xm:f>Mapping!$F$2:$F$4</xm:f>
          </x14:formula1>
          <xm:sqref>E42:E50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D1:H44"/>
  <sheetViews>
    <sheetView topLeftCell="A51" zoomScale="85" zoomScaleNormal="85" workbookViewId="0">
      <selection activeCell="E56" sqref="E56"/>
    </sheetView>
  </sheetViews>
  <sheetFormatPr defaultColWidth="9.1796875" defaultRowHeight="14.5" customHeight="1" x14ac:dyDescent="0.35"/>
  <cols>
    <col min="1" max="3" width="9.1796875" style="16" customWidth="1"/>
    <col min="4" max="4" width="66.81640625" style="16" customWidth="1"/>
    <col min="5" max="5" width="18.1796875" style="16" customWidth="1"/>
    <col min="6" max="6" width="16.7265625" style="16" customWidth="1"/>
    <col min="7" max="7" width="15.81640625" style="16" customWidth="1"/>
    <col min="8" max="8" width="22.7265625" style="16" customWidth="1"/>
    <col min="9" max="9" width="11.81640625" style="16" customWidth="1"/>
    <col min="10" max="10" width="5.81640625" style="16" customWidth="1"/>
    <col min="11" max="11" width="51.7265625" style="16" customWidth="1"/>
    <col min="12" max="12" width="12.26953125" style="16" customWidth="1"/>
    <col min="13" max="13" width="12.81640625" style="16" customWidth="1"/>
    <col min="14" max="16" width="9.1796875" style="16" customWidth="1"/>
    <col min="17" max="16384" width="9.1796875" style="16"/>
  </cols>
  <sheetData>
    <row r="1" spans="4:6" x14ac:dyDescent="0.35"/>
    <row r="2" spans="4:6" ht="10" customHeight="1" x14ac:dyDescent="0.35"/>
    <row r="3" spans="4:6" ht="5.5" customHeight="1" x14ac:dyDescent="0.35"/>
    <row r="4" spans="4:6" ht="7.5" customHeight="1" x14ac:dyDescent="0.35"/>
    <row r="5" spans="4:6" x14ac:dyDescent="0.35">
      <c r="E5" s="17"/>
      <c r="F5" s="17"/>
    </row>
    <row r="6" spans="4:6" ht="15" thickBot="1" x14ac:dyDescent="0.4">
      <c r="E6" s="17"/>
      <c r="F6" s="17"/>
    </row>
    <row r="7" spans="4:6" ht="15" thickBot="1" x14ac:dyDescent="0.4">
      <c r="D7" s="241" t="s">
        <v>186</v>
      </c>
      <c r="E7" s="242"/>
      <c r="F7" s="243"/>
    </row>
    <row r="8" spans="4:6" ht="25" customHeight="1" thickBot="1" x14ac:dyDescent="0.4">
      <c r="D8" s="238" t="s">
        <v>187</v>
      </c>
      <c r="E8" s="239"/>
      <c r="F8" s="240"/>
    </row>
    <row r="9" spans="4:6" ht="25" customHeight="1" thickBot="1" x14ac:dyDescent="0.4">
      <c r="D9" s="201" t="s">
        <v>188</v>
      </c>
      <c r="E9" s="202"/>
      <c r="F9" s="203"/>
    </row>
    <row r="10" spans="4:6" x14ac:dyDescent="0.35">
      <c r="D10" s="19"/>
      <c r="E10" s="19"/>
      <c r="F10" s="19"/>
    </row>
    <row r="11" spans="4:6" x14ac:dyDescent="0.35">
      <c r="D11" s="19" t="s">
        <v>189</v>
      </c>
      <c r="E11" s="19"/>
      <c r="F11" s="19"/>
    </row>
    <row r="12" spans="4:6" ht="14.5" customHeight="1" x14ac:dyDescent="0.35">
      <c r="D12" s="19" t="s">
        <v>368</v>
      </c>
      <c r="E12" s="19"/>
      <c r="F12" s="19"/>
    </row>
    <row r="13" spans="4:6" ht="14.5" customHeight="1" thickBot="1" x14ac:dyDescent="0.4">
      <c r="D13" s="19" t="s">
        <v>369</v>
      </c>
      <c r="E13" s="19"/>
      <c r="F13" s="19"/>
    </row>
    <row r="14" spans="4:6" hidden="1" x14ac:dyDescent="0.35">
      <c r="D14" s="19"/>
      <c r="E14" s="19"/>
      <c r="F14" s="19"/>
    </row>
    <row r="15" spans="4:6" hidden="1" x14ac:dyDescent="0.35">
      <c r="D15" s="19"/>
      <c r="E15" s="19"/>
      <c r="F15" s="19"/>
    </row>
    <row r="16" spans="4:6" hidden="1" x14ac:dyDescent="0.35">
      <c r="D16" s="19"/>
      <c r="E16" s="19"/>
      <c r="F16" s="19"/>
    </row>
    <row r="17" spans="4:8" hidden="1" x14ac:dyDescent="0.35">
      <c r="D17" s="19"/>
      <c r="E17" s="19"/>
      <c r="F17" s="19"/>
    </row>
    <row r="18" spans="4:8" hidden="1" x14ac:dyDescent="0.35">
      <c r="D18" s="19"/>
      <c r="E18" s="19"/>
      <c r="F18" s="19"/>
    </row>
    <row r="19" spans="4:8" ht="20.25" hidden="1" customHeight="1" x14ac:dyDescent="0.35">
      <c r="D19" s="19"/>
      <c r="E19" s="19"/>
      <c r="F19" s="19"/>
    </row>
    <row r="20" spans="4:8" ht="15" thickBot="1" x14ac:dyDescent="0.4">
      <c r="D20" s="248" t="s">
        <v>186</v>
      </c>
      <c r="E20" s="19"/>
      <c r="F20" s="19"/>
    </row>
    <row r="21" spans="4:8" ht="20.149999999999999" customHeight="1" thickBot="1" x14ac:dyDescent="0.4">
      <c r="D21" s="249"/>
      <c r="E21" s="181">
        <f>IF('Step 2'!H23="","",IF('Step 2'!H23&lt;&gt;"",COUNTIF('Step 2'!$G$23:$G$26,"Yes"),1))</f>
        <v>1</v>
      </c>
      <c r="F21" s="182"/>
    </row>
    <row r="22" spans="4:8" ht="27.65" customHeight="1" thickBot="1" x14ac:dyDescent="0.4">
      <c r="D22" s="68" t="s">
        <v>190</v>
      </c>
      <c r="E22" s="246" t="s">
        <v>159</v>
      </c>
      <c r="F22" s="247"/>
    </row>
    <row r="23" spans="4:8" ht="57.65" customHeight="1" thickBot="1" x14ac:dyDescent="0.4">
      <c r="D23" s="201" t="s">
        <v>437</v>
      </c>
      <c r="E23" s="239"/>
      <c r="F23" s="240"/>
    </row>
    <row r="24" spans="4:8" ht="28.5" hidden="1" customHeight="1" x14ac:dyDescent="0.35">
      <c r="D24" s="69"/>
      <c r="E24" s="69"/>
      <c r="F24" s="69"/>
    </row>
    <row r="25" spans="4:8" ht="28.5" hidden="1" customHeight="1" thickBot="1" x14ac:dyDescent="0.4">
      <c r="D25" s="250" t="s">
        <v>372</v>
      </c>
      <c r="E25" s="251"/>
      <c r="F25" s="251"/>
      <c r="G25" s="251"/>
      <c r="H25" s="252"/>
    </row>
    <row r="26" spans="4:8" ht="28.5" hidden="1" customHeight="1" thickBot="1" x14ac:dyDescent="0.4">
      <c r="D26" s="70" t="s">
        <v>373</v>
      </c>
      <c r="E26" s="70" t="s">
        <v>408</v>
      </c>
      <c r="F26" s="70" t="s">
        <v>375</v>
      </c>
      <c r="G26" s="70" t="s">
        <v>376</v>
      </c>
      <c r="H26" s="70" t="s">
        <v>377</v>
      </c>
    </row>
    <row r="27" spans="4:8" ht="28.5" hidden="1" customHeight="1" thickBot="1" x14ac:dyDescent="0.4">
      <c r="D27" s="73" t="str">
        <f>IFERROR(IF('Step 2'!G23="Yes",'Step 2'!D23,""),"")</f>
        <v>Finance Crime Implementation and Outsourced Services (EDD (Enhanced Due Diligence) Support, Anti-Money Laundering Support and Crypto Anti Money Laundering Specialist),Politically Exposed Persons (PEP) / Negative News Screening (NNS)</v>
      </c>
      <c r="E27" s="109"/>
      <c r="F27" s="109"/>
      <c r="G27" s="109"/>
      <c r="H27" s="109"/>
    </row>
    <row r="28" spans="4:8" ht="28.5" hidden="1" customHeight="1" thickBot="1" x14ac:dyDescent="0.4">
      <c r="D28" s="73" t="str">
        <f>IFERROR(IF('Step 2'!G24="Yes",'Step 2'!D24,""),"")</f>
        <v/>
      </c>
      <c r="E28" s="109"/>
      <c r="F28" s="109"/>
      <c r="G28" s="109"/>
      <c r="H28" s="109"/>
    </row>
    <row r="29" spans="4:8" ht="28.5" hidden="1" customHeight="1" thickBot="1" x14ac:dyDescent="0.4">
      <c r="D29" s="73" t="str">
        <f>IFERROR(IF('Step 2'!G25="Yes",'Step 2'!D25,""),"")</f>
        <v/>
      </c>
      <c r="E29" s="109"/>
      <c r="F29" s="109"/>
      <c r="G29" s="109"/>
      <c r="H29" s="109"/>
    </row>
    <row r="30" spans="4:8" ht="28.5" customHeight="1" x14ac:dyDescent="0.35">
      <c r="D30" s="69"/>
      <c r="E30" s="69"/>
      <c r="F30" s="69"/>
    </row>
    <row r="31" spans="4:8" ht="28.5" hidden="1" customHeight="1" x14ac:dyDescent="0.35">
      <c r="D31" s="69"/>
      <c r="E31" s="69"/>
      <c r="F31" s="69"/>
    </row>
    <row r="32" spans="4:8" ht="28.5" hidden="1" customHeight="1" x14ac:dyDescent="0.35">
      <c r="D32" s="69"/>
      <c r="E32" s="69"/>
      <c r="F32" s="69"/>
    </row>
    <row r="33" spans="4:6" ht="28.5" hidden="1" customHeight="1" x14ac:dyDescent="0.35">
      <c r="D33" s="69"/>
      <c r="E33" s="69"/>
      <c r="F33" s="69"/>
    </row>
    <row r="34" spans="4:6" ht="28.5" hidden="1" customHeight="1" x14ac:dyDescent="0.35">
      <c r="D34" s="69"/>
      <c r="E34" s="69"/>
      <c r="F34" s="69"/>
    </row>
    <row r="35" spans="4:6" ht="13.75" customHeight="1" x14ac:dyDescent="0.35">
      <c r="D35" s="19"/>
      <c r="E35" s="69"/>
      <c r="F35" s="69"/>
    </row>
    <row r="36" spans="4:6" ht="13.75" customHeight="1" thickBot="1" x14ac:dyDescent="0.4">
      <c r="E36" s="19"/>
      <c r="F36" s="19"/>
    </row>
    <row r="37" spans="4:6" ht="13.75" customHeight="1" thickBot="1" x14ac:dyDescent="0.4">
      <c r="D37" s="241" t="s">
        <v>191</v>
      </c>
      <c r="E37" s="242"/>
      <c r="F37" s="243"/>
    </row>
    <row r="38" spans="4:6" ht="36" customHeight="1" thickBot="1" x14ac:dyDescent="0.4">
      <c r="D38" s="70" t="s">
        <v>227</v>
      </c>
      <c r="E38" s="244" t="s">
        <v>160</v>
      </c>
      <c r="F38" s="245"/>
    </row>
    <row r="39" spans="4:6" ht="48" customHeight="1" thickBot="1" x14ac:dyDescent="0.4">
      <c r="D39" s="238" t="s">
        <v>438</v>
      </c>
      <c r="E39" s="239"/>
      <c r="F39" s="240"/>
    </row>
    <row r="40" spans="4:6" ht="13.75" customHeight="1" x14ac:dyDescent="0.35"/>
    <row r="41" spans="4:6" x14ac:dyDescent="0.35"/>
    <row r="42" spans="4:6" x14ac:dyDescent="0.35"/>
    <row r="43" spans="4:6" x14ac:dyDescent="0.35"/>
    <row r="44" spans="4:6" x14ac:dyDescent="0.35"/>
  </sheetData>
  <sheetProtection algorithmName="SHA-512" hashValue="ZPe5nRt3WbGjEjp6ZtOLL6N7H7RWQzHCnEsLiwXFlJ4HTGLdzm/gdUIV9exSYJZsxRURUiljPh4QxOMH3ndkNA==" saltValue="CN8NPmcjq2lzHtscYtH4Jw==" spinCount="100000" sheet="1" objects="1" scenarios="1"/>
  <mergeCells count="11">
    <mergeCell ref="D39:F39"/>
    <mergeCell ref="D37:F37"/>
    <mergeCell ref="D7:F7"/>
    <mergeCell ref="E21:F21"/>
    <mergeCell ref="E38:F38"/>
    <mergeCell ref="D8:F8"/>
    <mergeCell ref="D9:F9"/>
    <mergeCell ref="E22:F22"/>
    <mergeCell ref="D23:F23"/>
    <mergeCell ref="D20:D21"/>
    <mergeCell ref="D25:H25"/>
  </mergeCells>
  <conditionalFormatting sqref="E22:F22 D23:F23 D39:F39 E38:F38">
    <cfRule type="cellIs" dxfId="10" priority="1" operator="equal">
      <formula>$A$5</formula>
    </cfRule>
  </conditionalFormatting>
  <dataValidations count="1">
    <dataValidation type="list" allowBlank="1" showInputMessage="1" showErrorMessage="1" sqref="L19" xr:uid="{00000000-0002-0000-0600-000000000000}">
      <formula1>"High,Medium,Low"</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600-000001000000}">
          <x14:formula1>
            <xm:f>Mapping!$A$2:$A$4</xm:f>
          </x14:formula1>
          <xm:sqref>E22:F22 E38:F38</xm:sqref>
        </x14:dataValidation>
        <x14:dataValidation type="list" allowBlank="1" showInputMessage="1" showErrorMessage="1" xr:uid="{00000000-0002-0000-0600-000002000000}">
          <x14:formula1>
            <xm:f>Mapping!$K$2:$K$5</xm:f>
          </x14:formula1>
          <xm:sqref>E27:E29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D1:I50"/>
  <sheetViews>
    <sheetView topLeftCell="A45" zoomScale="85" zoomScaleNormal="85" workbookViewId="0">
      <selection activeCell="E56" sqref="E56"/>
    </sheetView>
  </sheetViews>
  <sheetFormatPr defaultColWidth="9.1796875" defaultRowHeight="14.5" customHeight="1" x14ac:dyDescent="0.35"/>
  <cols>
    <col min="1" max="2" width="9.1796875" style="16" customWidth="1"/>
    <col min="3" max="3" width="4.1796875" style="16" customWidth="1"/>
    <col min="4" max="4" width="48.1796875" style="16" customWidth="1"/>
    <col min="5" max="5" width="17.7265625" style="16" customWidth="1"/>
    <col min="6" max="6" width="39.81640625" style="16" customWidth="1"/>
    <col min="7" max="7" width="9.1796875" style="16" customWidth="1"/>
    <col min="8" max="8" width="31.54296875" style="16" customWidth="1"/>
    <col min="9" max="9" width="13.453125" style="16" customWidth="1"/>
    <col min="10" max="11" width="9.1796875" style="16" customWidth="1"/>
    <col min="12" max="12" width="11.81640625" style="16" customWidth="1"/>
    <col min="13" max="13" width="5.81640625" style="16" customWidth="1"/>
    <col min="14" max="14" width="51.7265625" style="16" customWidth="1"/>
    <col min="15" max="15" width="12.26953125" style="16" customWidth="1"/>
    <col min="16" max="16" width="12.81640625" style="16" customWidth="1"/>
    <col min="17" max="19" width="9.1796875" style="16" customWidth="1"/>
    <col min="20" max="16384" width="9.1796875" style="16"/>
  </cols>
  <sheetData>
    <row r="1" spans="4:8" x14ac:dyDescent="0.35"/>
    <row r="2" spans="4:8" ht="10" customHeight="1" x14ac:dyDescent="0.35"/>
    <row r="3" spans="4:8" ht="5.5" customHeight="1" x14ac:dyDescent="0.35"/>
    <row r="4" spans="4:8" ht="7.5" customHeight="1" x14ac:dyDescent="0.35"/>
    <row r="5" spans="4:8" x14ac:dyDescent="0.35">
      <c r="E5" s="17"/>
      <c r="F5" s="17"/>
    </row>
    <row r="6" spans="4:8" ht="15" thickBot="1" x14ac:dyDescent="0.4">
      <c r="E6" s="17"/>
      <c r="F6" s="17"/>
    </row>
    <row r="7" spans="4:8" ht="15" thickBot="1" x14ac:dyDescent="0.4">
      <c r="D7" s="265" t="s">
        <v>192</v>
      </c>
      <c r="E7" s="266"/>
      <c r="F7" s="266"/>
      <c r="G7" s="266"/>
      <c r="H7" s="267"/>
    </row>
    <row r="8" spans="4:8" ht="39" customHeight="1" thickBot="1" x14ac:dyDescent="0.4">
      <c r="D8" s="253" t="s">
        <v>193</v>
      </c>
      <c r="E8" s="254"/>
      <c r="F8" s="254"/>
      <c r="G8" s="254"/>
      <c r="H8" s="255"/>
    </row>
    <row r="9" spans="4:8" ht="15" thickBot="1" x14ac:dyDescent="0.4">
      <c r="D9" s="265" t="s">
        <v>194</v>
      </c>
      <c r="E9" s="266"/>
      <c r="F9" s="266"/>
      <c r="G9" s="266"/>
      <c r="H9" s="267"/>
    </row>
    <row r="10" spans="4:8" ht="33.65" customHeight="1" thickBot="1" x14ac:dyDescent="0.4">
      <c r="D10" s="265" t="s">
        <v>195</v>
      </c>
      <c r="E10" s="266"/>
      <c r="F10" s="266"/>
      <c r="G10" s="266"/>
      <c r="H10" s="267"/>
    </row>
    <row r="11" spans="4:8" ht="30" customHeight="1" thickBot="1" x14ac:dyDescent="0.4">
      <c r="D11" s="39" t="s">
        <v>228</v>
      </c>
      <c r="E11" s="253" t="s">
        <v>196</v>
      </c>
      <c r="F11" s="254"/>
      <c r="G11" s="254"/>
      <c r="H11" s="255"/>
    </row>
    <row r="12" spans="4:8" ht="30" customHeight="1" thickBot="1" x14ac:dyDescent="0.4">
      <c r="D12" s="39" t="s">
        <v>229</v>
      </c>
      <c r="E12" s="268" t="s">
        <v>197</v>
      </c>
      <c r="F12" s="268"/>
      <c r="G12" s="268"/>
      <c r="H12" s="269"/>
    </row>
    <row r="13" spans="4:8" ht="30" customHeight="1" thickBot="1" x14ac:dyDescent="0.4">
      <c r="D13" s="39" t="s">
        <v>230</v>
      </c>
      <c r="E13" s="254" t="s">
        <v>198</v>
      </c>
      <c r="F13" s="254"/>
      <c r="G13" s="254"/>
      <c r="H13" s="255"/>
    </row>
    <row r="14" spans="4:8" x14ac:dyDescent="0.35">
      <c r="D14" s="19"/>
      <c r="E14" s="19"/>
      <c r="F14" s="19"/>
      <c r="G14" s="19"/>
      <c r="H14" s="19"/>
    </row>
    <row r="15" spans="4:8" ht="13.75" customHeight="1" thickBot="1" x14ac:dyDescent="0.4">
      <c r="D15" s="19"/>
      <c r="E15" s="19"/>
      <c r="F15" s="19"/>
      <c r="G15" s="19"/>
      <c r="H15" s="19"/>
    </row>
    <row r="16" spans="4:8" ht="13.75" customHeight="1" thickBot="1" x14ac:dyDescent="0.4">
      <c r="D16" s="37" t="s">
        <v>200</v>
      </c>
      <c r="E16" s="39" t="s">
        <v>177</v>
      </c>
      <c r="F16" s="39" t="s">
        <v>178</v>
      </c>
      <c r="G16" s="39" t="s">
        <v>199</v>
      </c>
      <c r="H16" s="39" t="s">
        <v>185</v>
      </c>
    </row>
    <row r="17" spans="4:9" ht="50.15" customHeight="1" thickBot="1" x14ac:dyDescent="0.4">
      <c r="D17" s="38" t="s">
        <v>435</v>
      </c>
      <c r="E17" s="38" t="s">
        <v>158</v>
      </c>
      <c r="F17" s="38" t="s">
        <v>160</v>
      </c>
      <c r="G17" s="38" t="s">
        <v>160</v>
      </c>
      <c r="H17" s="120" t="str">
        <f>IF(COUNTA(E17:G17)&gt;=3,IF(OR(E17="Yes",F17="Yes",G17="Yes")=TRUE,"Performance obligation is satisfied over time",IF(COUNTA(E17:G17)=0,"","Performance obligation is satisfied at a point in time.")),"")</f>
        <v>Performance obligation is satisfied over time</v>
      </c>
    </row>
    <row r="18" spans="4:9" ht="50.15" customHeight="1" thickBot="1" x14ac:dyDescent="0.4">
      <c r="D18" s="38"/>
      <c r="E18" s="38"/>
      <c r="F18" s="38"/>
      <c r="G18" s="38"/>
      <c r="H18" s="120" t="str">
        <f t="shared" ref="H18:H20" si="0">IF(COUNTA(E18:G18)&gt;=3,IF(OR(E18="Yes",F18="Yes",G18="Yes")=TRUE,"Performance obligation is satisfied over time",IF(COUNTA(E18:G18)=0,"","Performance obligation is satisfied at a point in time.")),"")</f>
        <v/>
      </c>
    </row>
    <row r="19" spans="4:9" ht="50.15" customHeight="1" thickBot="1" x14ac:dyDescent="0.4">
      <c r="D19" s="38"/>
      <c r="F19" s="38"/>
      <c r="G19" s="38"/>
      <c r="H19" s="120" t="str">
        <f t="shared" si="0"/>
        <v/>
      </c>
    </row>
    <row r="20" spans="4:9" ht="50.15" customHeight="1" thickBot="1" x14ac:dyDescent="0.4">
      <c r="D20" s="38"/>
      <c r="E20" s="38"/>
      <c r="F20" s="38"/>
      <c r="G20" s="38"/>
      <c r="H20" s="120" t="str">
        <f t="shared" si="0"/>
        <v/>
      </c>
    </row>
    <row r="21" spans="4:9" ht="20.149999999999999" customHeight="1" thickBot="1" x14ac:dyDescent="0.4">
      <c r="D21" s="26"/>
      <c r="E21" s="24"/>
      <c r="F21" s="24"/>
      <c r="G21" s="24"/>
      <c r="H21" s="25"/>
    </row>
    <row r="22" spans="4:9" ht="33.65" customHeight="1" thickBot="1" x14ac:dyDescent="0.4">
      <c r="D22" s="270" t="s">
        <v>231</v>
      </c>
      <c r="E22" s="271"/>
      <c r="F22" s="271"/>
      <c r="G22" s="271"/>
      <c r="H22" s="272"/>
      <c r="I22" s="93" t="str">
        <f>IF(COUNTIF($E$17:$G$20,"Yes")&gt;0,"Yes","")</f>
        <v>Yes</v>
      </c>
    </row>
    <row r="23" spans="4:9" ht="20.149999999999999" customHeight="1" thickBot="1" x14ac:dyDescent="0.4"/>
    <row r="24" spans="4:9" ht="37" customHeight="1" thickBot="1" x14ac:dyDescent="0.4">
      <c r="D24" s="270" t="s">
        <v>232</v>
      </c>
      <c r="E24" s="271"/>
      <c r="F24" s="271"/>
      <c r="G24" s="271"/>
      <c r="H24" s="272"/>
      <c r="I24" s="93" t="s">
        <v>160</v>
      </c>
    </row>
    <row r="25" spans="4:9" ht="20.149999999999999" customHeight="1" thickBot="1" x14ac:dyDescent="0.4">
      <c r="D25" s="19"/>
      <c r="E25" s="19"/>
      <c r="F25" s="19"/>
      <c r="G25" s="19"/>
      <c r="H25" s="19"/>
    </row>
    <row r="26" spans="4:9" ht="25" customHeight="1" thickBot="1" x14ac:dyDescent="0.4">
      <c r="D26" s="265" t="s">
        <v>201</v>
      </c>
      <c r="E26" s="266"/>
      <c r="F26" s="266"/>
      <c r="G26" s="266"/>
      <c r="H26" s="267"/>
    </row>
    <row r="27" spans="4:9" ht="25" customHeight="1" thickBot="1" x14ac:dyDescent="0.4">
      <c r="D27" s="265" t="s">
        <v>233</v>
      </c>
      <c r="E27" s="266"/>
      <c r="F27" s="266"/>
      <c r="G27" s="266"/>
      <c r="H27" s="267"/>
    </row>
    <row r="28" spans="4:9" ht="25" customHeight="1" thickBot="1" x14ac:dyDescent="0.4">
      <c r="D28" s="256" t="s">
        <v>234</v>
      </c>
      <c r="E28" s="257"/>
      <c r="F28" s="257"/>
      <c r="G28" s="257"/>
      <c r="H28" s="258"/>
    </row>
    <row r="29" spans="4:9" ht="30" customHeight="1" thickBot="1" x14ac:dyDescent="0.4">
      <c r="D29" s="39" t="s">
        <v>203</v>
      </c>
      <c r="E29" s="268" t="s">
        <v>205</v>
      </c>
      <c r="F29" s="268"/>
      <c r="G29" s="268"/>
      <c r="H29" s="269"/>
    </row>
    <row r="30" spans="4:9" ht="30" customHeight="1" thickBot="1" x14ac:dyDescent="0.4">
      <c r="D30" s="39" t="s">
        <v>204</v>
      </c>
      <c r="E30" s="253" t="s">
        <v>206</v>
      </c>
      <c r="F30" s="254"/>
      <c r="G30" s="254"/>
      <c r="H30" s="255"/>
    </row>
    <row r="31" spans="4:9" x14ac:dyDescent="0.35">
      <c r="D31" s="19"/>
      <c r="E31" s="19"/>
      <c r="F31" s="19"/>
      <c r="G31" s="19"/>
      <c r="H31" s="19"/>
    </row>
    <row r="32" spans="4:9" ht="15" thickBot="1" x14ac:dyDescent="0.4">
      <c r="D32" s="19"/>
      <c r="E32" s="19"/>
      <c r="F32" s="19"/>
      <c r="G32" s="19"/>
      <c r="H32" s="19"/>
    </row>
    <row r="33" spans="4:8" ht="15" thickBot="1" x14ac:dyDescent="0.4">
      <c r="D33" s="39" t="s">
        <v>207</v>
      </c>
      <c r="E33" s="39" t="s">
        <v>208</v>
      </c>
      <c r="F33" s="262" t="s">
        <v>155</v>
      </c>
      <c r="G33" s="263"/>
      <c r="H33" s="264"/>
    </row>
    <row r="34" spans="4:8" s="92" customFormat="1" ht="50.15" customHeight="1" thickBot="1" x14ac:dyDescent="0.4">
      <c r="D34" s="127" t="s">
        <v>435</v>
      </c>
      <c r="E34" s="128" t="s">
        <v>406</v>
      </c>
      <c r="F34" s="259" t="s">
        <v>471</v>
      </c>
      <c r="G34" s="260"/>
      <c r="H34" s="261"/>
    </row>
    <row r="35" spans="4:8" ht="50.15" customHeight="1" thickBot="1" x14ac:dyDescent="0.4">
      <c r="D35" s="127"/>
      <c r="E35" s="127"/>
      <c r="F35" s="253"/>
      <c r="G35" s="254"/>
      <c r="H35" s="255"/>
    </row>
    <row r="36" spans="4:8" ht="50.15" customHeight="1" thickBot="1" x14ac:dyDescent="0.4">
      <c r="D36" s="127"/>
      <c r="E36" s="127"/>
      <c r="F36" s="253"/>
      <c r="G36" s="254"/>
      <c r="H36" s="255"/>
    </row>
    <row r="37" spans="4:8" ht="50.15" customHeight="1" thickBot="1" x14ac:dyDescent="0.4">
      <c r="D37" s="127"/>
      <c r="E37" s="127"/>
      <c r="F37" s="253"/>
      <c r="G37" s="254"/>
      <c r="H37" s="255"/>
    </row>
    <row r="38" spans="4:8" ht="50.15" customHeight="1" thickBot="1" x14ac:dyDescent="0.4">
      <c r="D38" s="127"/>
      <c r="E38" s="127"/>
      <c r="F38" s="253"/>
      <c r="G38" s="254"/>
      <c r="H38" s="255"/>
    </row>
    <row r="39" spans="4:8" ht="13.5" customHeight="1" x14ac:dyDescent="0.35">
      <c r="D39" s="23"/>
      <c r="E39" s="23"/>
      <c r="F39" s="23"/>
      <c r="G39" s="19"/>
      <c r="H39" s="19"/>
    </row>
    <row r="40" spans="4:8" ht="15" thickBot="1" x14ac:dyDescent="0.4">
      <c r="D40" s="22"/>
      <c r="E40" s="40"/>
      <c r="F40" s="19"/>
      <c r="G40" s="19"/>
      <c r="H40" s="19"/>
    </row>
    <row r="41" spans="4:8" ht="20.5" customHeight="1" thickBot="1" x14ac:dyDescent="0.4">
      <c r="D41" s="256" t="s">
        <v>209</v>
      </c>
      <c r="E41" s="257"/>
      <c r="F41" s="257"/>
      <c r="G41" s="257"/>
      <c r="H41" s="258"/>
    </row>
    <row r="42" spans="4:8" ht="60.65" customHeight="1" thickBot="1" x14ac:dyDescent="0.4">
      <c r="D42" s="259" t="s">
        <v>210</v>
      </c>
      <c r="E42" s="260"/>
      <c r="F42" s="260"/>
      <c r="G42" s="260"/>
      <c r="H42" s="261"/>
    </row>
    <row r="43" spans="4:8" x14ac:dyDescent="0.35"/>
    <row r="44" spans="4:8" ht="20.149999999999999" customHeight="1" x14ac:dyDescent="0.35"/>
    <row r="45" spans="4:8" ht="20.149999999999999" customHeight="1" x14ac:dyDescent="0.35"/>
    <row r="46" spans="4:8" ht="20.149999999999999" customHeight="1" x14ac:dyDescent="0.35"/>
    <row r="47" spans="4:8" ht="20.149999999999999" customHeight="1" x14ac:dyDescent="0.35"/>
    <row r="48" spans="4:8" ht="20.149999999999999" customHeight="1" x14ac:dyDescent="0.35"/>
    <row r="49" ht="20.149999999999999" customHeight="1" x14ac:dyDescent="0.35"/>
    <row r="50" ht="20.149999999999999" customHeight="1" x14ac:dyDescent="0.35"/>
  </sheetData>
  <sheetProtection selectLockedCells="1"/>
  <mergeCells count="22">
    <mergeCell ref="D28:H28"/>
    <mergeCell ref="E29:H29"/>
    <mergeCell ref="E30:H30"/>
    <mergeCell ref="E12:H12"/>
    <mergeCell ref="E13:H13"/>
    <mergeCell ref="D26:H26"/>
    <mergeCell ref="D27:H27"/>
    <mergeCell ref="D22:H22"/>
    <mergeCell ref="D24:H24"/>
    <mergeCell ref="D7:H7"/>
    <mergeCell ref="D8:H8"/>
    <mergeCell ref="D9:H9"/>
    <mergeCell ref="D10:H10"/>
    <mergeCell ref="E11:H11"/>
    <mergeCell ref="F38:H38"/>
    <mergeCell ref="D41:H41"/>
    <mergeCell ref="D42:H42"/>
    <mergeCell ref="F34:H34"/>
    <mergeCell ref="F33:H33"/>
    <mergeCell ref="F35:H35"/>
    <mergeCell ref="F36:H36"/>
    <mergeCell ref="F37:H37"/>
  </mergeCells>
  <conditionalFormatting sqref="D17:H20 I22 I24 D34:H38">
    <cfRule type="cellIs" dxfId="9" priority="1" operator="equal">
      <formula>$C$4</formula>
    </cfRule>
  </conditionalFormatting>
  <dataValidations count="2">
    <dataValidation type="list" allowBlank="1" showInputMessage="1" showErrorMessage="1" sqref="O13" xr:uid="{00000000-0002-0000-0700-000000000000}">
      <formula1>"High,Medium,Low"</formula1>
    </dataValidation>
    <dataValidation type="list" allowBlank="1" showInputMessage="1" showErrorMessage="1" sqref="E21:G21" xr:uid="{00000000-0002-0000-0700-000001000000}">
      <formula1>Yes_No</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Mapping!$B$2:$B$4</xm:f>
          </x14:formula1>
          <xm:sqref>E34:E38</xm:sqref>
        </x14:dataValidation>
        <x14:dataValidation type="list" allowBlank="1" showInputMessage="1" showErrorMessage="1" xr:uid="{00000000-0002-0000-0700-000003000000}">
          <x14:formula1>
            <xm:f>Mapping!$A$2:$A$4</xm:f>
          </x14:formula1>
          <xm:sqref>E18 E17:G17 E20:G20 F18:G19 I24 I22 H23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D1:F51"/>
  <sheetViews>
    <sheetView zoomScale="85" zoomScaleNormal="85" workbookViewId="0">
      <selection activeCell="D20" sqref="D20"/>
    </sheetView>
  </sheetViews>
  <sheetFormatPr defaultColWidth="9.1796875" defaultRowHeight="14.5" customHeight="1" x14ac:dyDescent="0.35"/>
  <cols>
    <col min="1" max="3" width="9.1796875" style="16" customWidth="1"/>
    <col min="4" max="4" width="30" style="16" customWidth="1"/>
    <col min="5" max="5" width="50.26953125" style="16" customWidth="1"/>
    <col min="6" max="6" width="12.26953125" style="16" customWidth="1"/>
    <col min="7" max="11" width="9.1796875" style="16" customWidth="1"/>
    <col min="12" max="12" width="11.81640625" style="16" customWidth="1"/>
    <col min="13" max="13" width="5.81640625" style="16" customWidth="1"/>
    <col min="14" max="14" width="51.7265625" style="16" customWidth="1"/>
    <col min="15" max="15" width="12.26953125" style="16" customWidth="1"/>
    <col min="16" max="16" width="12.81640625" style="16" customWidth="1"/>
    <col min="17" max="19" width="9.1796875" style="16" customWidth="1"/>
    <col min="20" max="16384" width="9.1796875" style="16"/>
  </cols>
  <sheetData>
    <row r="1" spans="4:6" x14ac:dyDescent="0.35"/>
    <row r="2" spans="4:6" ht="10" customHeight="1" x14ac:dyDescent="0.35"/>
    <row r="3" spans="4:6" ht="5.5" customHeight="1" x14ac:dyDescent="0.35"/>
    <row r="4" spans="4:6" ht="7.5" customHeight="1" x14ac:dyDescent="0.35"/>
    <row r="5" spans="4:6" x14ac:dyDescent="0.35">
      <c r="E5" s="17"/>
      <c r="F5" s="17"/>
    </row>
    <row r="6" spans="4:6" x14ac:dyDescent="0.35">
      <c r="E6" s="17"/>
      <c r="F6" s="17"/>
    </row>
    <row r="7" spans="4:6" ht="15" thickBot="1" x14ac:dyDescent="0.4">
      <c r="E7" s="17"/>
      <c r="F7" s="17"/>
    </row>
    <row r="8" spans="4:6" ht="15" thickBot="1" x14ac:dyDescent="0.4">
      <c r="D8" s="286" t="s">
        <v>284</v>
      </c>
      <c r="E8" s="287"/>
      <c r="F8" s="288"/>
    </row>
    <row r="9" spans="4:6" hidden="1" x14ac:dyDescent="0.35">
      <c r="D9" s="99"/>
      <c r="E9" s="41"/>
      <c r="F9" s="41"/>
    </row>
    <row r="10" spans="4:6" hidden="1" x14ac:dyDescent="0.35">
      <c r="D10" s="100"/>
      <c r="E10" s="41"/>
      <c r="F10" s="41"/>
    </row>
    <row r="11" spans="4:6" ht="57" hidden="1" customHeight="1" thickBot="1" x14ac:dyDescent="0.4">
      <c r="D11" s="180"/>
      <c r="E11" s="181"/>
      <c r="F11" s="110"/>
    </row>
    <row r="12" spans="4:6" ht="15" hidden="1" thickBot="1" x14ac:dyDescent="0.4">
      <c r="D12" s="33"/>
      <c r="E12" s="41"/>
      <c r="F12" s="41"/>
    </row>
    <row r="13" spans="4:6" ht="20.25" hidden="1" customHeight="1" thickBot="1" x14ac:dyDescent="0.4">
      <c r="D13" s="228"/>
      <c r="E13" s="229"/>
      <c r="F13" s="230"/>
    </row>
    <row r="14" spans="4:6" ht="60" hidden="1" customHeight="1" thickBot="1" x14ac:dyDescent="0.4">
      <c r="D14" s="177"/>
      <c r="E14" s="178"/>
      <c r="F14" s="179"/>
    </row>
    <row r="15" spans="4:6" ht="13.75" hidden="1" customHeight="1" thickBot="1" x14ac:dyDescent="0.4">
      <c r="D15" s="33"/>
      <c r="E15" s="41"/>
      <c r="F15" s="41"/>
    </row>
    <row r="16" spans="4:6" ht="39" hidden="1" customHeight="1" thickBot="1" x14ac:dyDescent="0.4">
      <c r="D16" s="284"/>
      <c r="E16" s="285"/>
      <c r="F16" s="111"/>
    </row>
    <row r="17" spans="4:6" ht="13.75" hidden="1" customHeight="1" thickBot="1" x14ac:dyDescent="0.4">
      <c r="D17" s="228"/>
      <c r="E17" s="229"/>
      <c r="F17" s="230"/>
    </row>
    <row r="18" spans="4:6" ht="61" hidden="1" customHeight="1" thickBot="1" x14ac:dyDescent="0.4">
      <c r="D18" s="289"/>
      <c r="E18" s="290"/>
      <c r="F18" s="291"/>
    </row>
    <row r="19" spans="4:6" ht="13.75" hidden="1" customHeight="1" x14ac:dyDescent="0.35">
      <c r="D19" s="99"/>
      <c r="E19" s="41"/>
      <c r="F19" s="41"/>
    </row>
    <row r="20" spans="4:6" ht="13.75" customHeight="1" x14ac:dyDescent="0.35">
      <c r="D20" s="100" t="s">
        <v>405</v>
      </c>
      <c r="E20" s="41"/>
      <c r="F20" s="41"/>
    </row>
    <row r="21" spans="4:6" ht="13.75" customHeight="1" thickBot="1" x14ac:dyDescent="0.4">
      <c r="D21" s="100"/>
      <c r="E21" s="41"/>
      <c r="F21" s="41"/>
    </row>
    <row r="22" spans="4:6" ht="45.65" customHeight="1" thickBot="1" x14ac:dyDescent="0.4">
      <c r="D22" s="228" t="s">
        <v>285</v>
      </c>
      <c r="E22" s="229" t="s">
        <v>158</v>
      </c>
      <c r="F22" s="110" t="s">
        <v>159</v>
      </c>
    </row>
    <row r="23" spans="4:6" ht="13.75" customHeight="1" thickBot="1" x14ac:dyDescent="0.4">
      <c r="D23" s="33"/>
      <c r="E23" s="41"/>
      <c r="F23" s="41"/>
    </row>
    <row r="24" spans="4:6" ht="47.5" customHeight="1" thickBot="1" x14ac:dyDescent="0.4">
      <c r="D24" s="228" t="s">
        <v>286</v>
      </c>
      <c r="E24" s="229"/>
      <c r="F24" s="230"/>
    </row>
    <row r="25" spans="4:6" ht="13.75" customHeight="1" thickBot="1" x14ac:dyDescent="0.4">
      <c r="D25" s="276" t="s">
        <v>287</v>
      </c>
      <c r="E25" s="277"/>
      <c r="F25" s="278"/>
    </row>
    <row r="26" spans="4:6" ht="15" thickBot="1" x14ac:dyDescent="0.4">
      <c r="D26" s="33"/>
      <c r="E26" s="41"/>
      <c r="F26" s="41"/>
    </row>
    <row r="27" spans="4:6" ht="45" customHeight="1" thickBot="1" x14ac:dyDescent="0.4">
      <c r="D27" s="34" t="s">
        <v>288</v>
      </c>
      <c r="E27" s="49" t="s">
        <v>289</v>
      </c>
      <c r="F27" s="74" t="s">
        <v>160</v>
      </c>
    </row>
    <row r="28" spans="4:6" ht="45" customHeight="1" thickBot="1" x14ac:dyDescent="0.4">
      <c r="D28" s="35" t="s">
        <v>290</v>
      </c>
      <c r="E28" s="36" t="s">
        <v>291</v>
      </c>
      <c r="F28" s="74" t="s">
        <v>160</v>
      </c>
    </row>
    <row r="29" spans="4:6" ht="45" customHeight="1" thickBot="1" x14ac:dyDescent="0.4">
      <c r="D29" s="35" t="s">
        <v>292</v>
      </c>
      <c r="E29" s="36" t="s">
        <v>293</v>
      </c>
      <c r="F29" s="74" t="s">
        <v>160</v>
      </c>
    </row>
    <row r="30" spans="4:6" ht="15" thickBot="1" x14ac:dyDescent="0.4">
      <c r="D30" s="33"/>
      <c r="E30" s="41"/>
      <c r="F30" s="41"/>
    </row>
    <row r="31" spans="4:6" ht="15" thickBot="1" x14ac:dyDescent="0.4">
      <c r="D31" s="228" t="s">
        <v>172</v>
      </c>
      <c r="E31" s="229"/>
      <c r="F31" s="230"/>
    </row>
    <row r="32" spans="4:6" ht="66.650000000000006" customHeight="1" thickBot="1" x14ac:dyDescent="0.4">
      <c r="D32" s="273" t="s">
        <v>439</v>
      </c>
      <c r="E32" s="274"/>
      <c r="F32" s="275"/>
    </row>
    <row r="33" spans="4:6" ht="15" thickBot="1" x14ac:dyDescent="0.4">
      <c r="D33" s="33"/>
      <c r="E33" s="41"/>
      <c r="F33" s="41"/>
    </row>
    <row r="34" spans="4:6" ht="25" customHeight="1" thickBot="1" x14ac:dyDescent="0.4">
      <c r="D34" s="228" t="s">
        <v>294</v>
      </c>
      <c r="E34" s="229"/>
      <c r="F34" s="230"/>
    </row>
    <row r="35" spans="4:6" ht="57" customHeight="1" thickBot="1" x14ac:dyDescent="0.4">
      <c r="D35" s="273" t="s">
        <v>439</v>
      </c>
      <c r="E35" s="274"/>
      <c r="F35" s="275"/>
    </row>
    <row r="36" spans="4:6" ht="15" thickBot="1" x14ac:dyDescent="0.4">
      <c r="D36" s="101"/>
      <c r="E36" s="41"/>
      <c r="F36" s="41"/>
    </row>
    <row r="37" spans="4:6" ht="30" customHeight="1" thickBot="1" x14ac:dyDescent="0.4">
      <c r="D37" s="279" t="s">
        <v>295</v>
      </c>
      <c r="E37" s="280"/>
      <c r="F37" s="281"/>
    </row>
    <row r="38" spans="4:6" ht="30" customHeight="1" thickBot="1" x14ac:dyDescent="0.4">
      <c r="D38" s="99"/>
      <c r="E38" s="41"/>
      <c r="F38" s="41"/>
    </row>
    <row r="39" spans="4:6" ht="44.15" customHeight="1" x14ac:dyDescent="0.35">
      <c r="D39" s="282" t="s">
        <v>296</v>
      </c>
      <c r="E39" s="283"/>
      <c r="F39" s="106" t="s">
        <v>160</v>
      </c>
    </row>
    <row r="40" spans="4:6" ht="25" hidden="1" customHeight="1" thickBot="1" x14ac:dyDescent="0.4">
      <c r="D40" s="177" t="s">
        <v>297</v>
      </c>
      <c r="E40" s="178"/>
      <c r="F40" s="179"/>
    </row>
    <row r="41" spans="4:6" ht="26.15" hidden="1" customHeight="1" thickBot="1" x14ac:dyDescent="0.4">
      <c r="D41" s="177"/>
      <c r="E41" s="178"/>
      <c r="F41" s="179"/>
    </row>
    <row r="42" spans="4:6" ht="26.15" hidden="1" customHeight="1" x14ac:dyDescent="0.35">
      <c r="D42" s="103"/>
      <c r="E42" s="103"/>
      <c r="F42" s="103"/>
    </row>
    <row r="43" spans="4:6" ht="14.5" hidden="1" customHeight="1" thickBot="1" x14ac:dyDescent="0.4">
      <c r="D43" s="33"/>
      <c r="E43" s="41"/>
      <c r="F43" s="41"/>
    </row>
    <row r="44" spans="4:6" ht="14.5" hidden="1" customHeight="1" thickBot="1" x14ac:dyDescent="0.4">
      <c r="D44" s="284" t="s">
        <v>298</v>
      </c>
      <c r="E44" s="285"/>
      <c r="F44" s="102"/>
    </row>
    <row r="45" spans="4:6" ht="33.65" hidden="1" customHeight="1" thickBot="1" x14ac:dyDescent="0.4">
      <c r="D45" s="177" t="s">
        <v>299</v>
      </c>
      <c r="E45" s="178"/>
      <c r="F45" s="179"/>
    </row>
    <row r="46" spans="4:6" ht="26.15" hidden="1" customHeight="1" thickBot="1" x14ac:dyDescent="0.4">
      <c r="D46" s="177"/>
      <c r="E46" s="178"/>
      <c r="F46" s="179"/>
    </row>
    <row r="47" spans="4:6" ht="26.15" hidden="1" customHeight="1" thickBot="1" x14ac:dyDescent="0.4">
      <c r="D47" s="19"/>
      <c r="E47" s="19"/>
      <c r="F47" s="19"/>
    </row>
    <row r="48" spans="4:6" ht="14.5" hidden="1" customHeight="1" thickBot="1" x14ac:dyDescent="0.4">
      <c r="D48" s="228" t="s">
        <v>300</v>
      </c>
      <c r="E48" s="230" t="s">
        <v>158</v>
      </c>
      <c r="F48" s="104"/>
    </row>
    <row r="49" spans="4:6" ht="14.5" customHeight="1" thickBot="1" x14ac:dyDescent="0.4">
      <c r="D49" s="33"/>
      <c r="E49" s="41"/>
      <c r="F49" s="41"/>
    </row>
    <row r="50" spans="4:6" ht="14.5" customHeight="1" thickBot="1" x14ac:dyDescent="0.4">
      <c r="D50" s="228" t="s">
        <v>172</v>
      </c>
      <c r="E50" s="229"/>
      <c r="F50" s="230"/>
    </row>
    <row r="51" spans="4:6" ht="69.650000000000006" customHeight="1" thickBot="1" x14ac:dyDescent="0.4">
      <c r="D51" s="273" t="s">
        <v>440</v>
      </c>
      <c r="E51" s="274"/>
      <c r="F51" s="275"/>
    </row>
  </sheetData>
  <sheetProtection algorithmName="SHA-512" hashValue="gLVoUDBzQLFPycGO7WH2SLBpDoadpH7PIJcyWOrBj460YKbTV5FtyInjUXSs1cqg8mySc5Jm4TT+YubNNvvK/Q==" saltValue="WLYd25Q2RQckBTisRw7b8g==" spinCount="100000" sheet="1" objects="1" scenarios="1"/>
  <mergeCells count="24">
    <mergeCell ref="D41:F41"/>
    <mergeCell ref="D44:E44"/>
    <mergeCell ref="D45:F45"/>
    <mergeCell ref="D8:F8"/>
    <mergeCell ref="D14:F14"/>
    <mergeCell ref="D16:E16"/>
    <mergeCell ref="D17:F17"/>
    <mergeCell ref="D18:F18"/>
    <mergeCell ref="D48:E48"/>
    <mergeCell ref="D46:F46"/>
    <mergeCell ref="D50:F50"/>
    <mergeCell ref="D51:F51"/>
    <mergeCell ref="D11:E11"/>
    <mergeCell ref="D13:F13"/>
    <mergeCell ref="D22:E22"/>
    <mergeCell ref="D24:F24"/>
    <mergeCell ref="D25:F25"/>
    <mergeCell ref="D31:F31"/>
    <mergeCell ref="D32:F32"/>
    <mergeCell ref="D34:F34"/>
    <mergeCell ref="D35:F35"/>
    <mergeCell ref="D37:F37"/>
    <mergeCell ref="D39:E39"/>
    <mergeCell ref="D40:F40"/>
  </mergeCells>
  <conditionalFormatting sqref="F11 D14:F14 F16 D18:F18 F22 F27:F29 D32:F32 D35:F35 F39 D41:F41 F44 D46:F46 F48 D51:F51">
    <cfRule type="cellIs" dxfId="8" priority="1" operator="equal">
      <formula>$C$4</formula>
    </cfRule>
  </conditionalFormatting>
  <dataValidations count="1">
    <dataValidation type="list" allowBlank="1" showInputMessage="1" showErrorMessage="1" sqref="O13" xr:uid="{00000000-0002-0000-0800-000000000000}">
      <formula1>"High,Medium,Low"</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Mapping!$A$2:$A$4</xm:f>
          </x14:formula1>
          <xm:sqref>E48:F48 F39 E22:F22 F27:F29 F16 F44 F11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D1:H46"/>
  <sheetViews>
    <sheetView zoomScale="70" zoomScaleNormal="70" workbookViewId="0">
      <selection activeCell="G11" sqref="G11:H12"/>
    </sheetView>
  </sheetViews>
  <sheetFormatPr defaultColWidth="9.1796875" defaultRowHeight="14.5" customHeight="1" x14ac:dyDescent="0.35"/>
  <cols>
    <col min="1" max="3" width="9.1796875" style="16" customWidth="1"/>
    <col min="4" max="4" width="22.81640625" style="16" customWidth="1"/>
    <col min="5" max="5" width="71.7265625" style="92" customWidth="1"/>
    <col min="6" max="6" width="12.81640625" style="16" customWidth="1"/>
    <col min="7" max="7" width="56.1796875" style="16" customWidth="1"/>
    <col min="8" max="11" width="9.1796875" style="16" customWidth="1"/>
    <col min="12" max="12" width="11.81640625" style="16" customWidth="1"/>
    <col min="13" max="13" width="5.81640625" style="16" customWidth="1"/>
    <col min="14" max="14" width="51.7265625" style="16" customWidth="1"/>
    <col min="15" max="15" width="12.26953125" style="16" customWidth="1"/>
    <col min="16" max="16" width="12.81640625" style="16" customWidth="1"/>
    <col min="17" max="19" width="9.1796875" style="16" customWidth="1"/>
    <col min="20" max="16384" width="9.1796875" style="16"/>
  </cols>
  <sheetData>
    <row r="1" spans="4:8" x14ac:dyDescent="0.35"/>
    <row r="2" spans="4:8" ht="10" customHeight="1" x14ac:dyDescent="0.35"/>
    <row r="3" spans="4:8" ht="5.5" customHeight="1" x14ac:dyDescent="0.35"/>
    <row r="4" spans="4:8" ht="7.5" customHeight="1" x14ac:dyDescent="0.35"/>
    <row r="5" spans="4:8" ht="15" thickBot="1" x14ac:dyDescent="0.4">
      <c r="E5" s="133"/>
      <c r="F5" s="17"/>
    </row>
    <row r="6" spans="4:8" ht="15" thickBot="1" x14ac:dyDescent="0.4">
      <c r="D6" s="304" t="s">
        <v>317</v>
      </c>
      <c r="E6" s="305"/>
      <c r="F6" s="305"/>
      <c r="G6" s="305"/>
      <c r="H6" s="306"/>
    </row>
    <row r="7" spans="4:8" x14ac:dyDescent="0.35">
      <c r="D7" s="19"/>
      <c r="E7" s="134"/>
      <c r="F7" s="17"/>
    </row>
    <row r="8" spans="4:8" x14ac:dyDescent="0.35">
      <c r="D8" s="17"/>
    </row>
    <row r="9" spans="4:8" ht="15" thickBot="1" x14ac:dyDescent="0.4"/>
    <row r="10" spans="4:8" ht="15" thickBot="1" x14ac:dyDescent="0.4">
      <c r="D10" s="29" t="s">
        <v>318</v>
      </c>
      <c r="E10" s="135" t="s">
        <v>155</v>
      </c>
      <c r="F10" s="30" t="s">
        <v>319</v>
      </c>
      <c r="G10" s="317" t="s">
        <v>320</v>
      </c>
      <c r="H10" s="318"/>
    </row>
    <row r="11" spans="4:8" ht="47" customHeight="1" x14ac:dyDescent="0.35">
      <c r="D11" s="321" t="s">
        <v>321</v>
      </c>
      <c r="E11" s="131" t="s">
        <v>322</v>
      </c>
      <c r="F11" s="298" t="s">
        <v>158</v>
      </c>
      <c r="G11" s="313" t="s">
        <v>472</v>
      </c>
      <c r="H11" s="314"/>
    </row>
    <row r="12" spans="4:8" ht="25" customHeight="1" thickBot="1" x14ac:dyDescent="0.4">
      <c r="D12" s="322"/>
      <c r="E12" s="132" t="s">
        <v>323</v>
      </c>
      <c r="F12" s="299"/>
      <c r="G12" s="315"/>
      <c r="H12" s="316"/>
    </row>
    <row r="13" spans="4:8" ht="45.5" customHeight="1" x14ac:dyDescent="0.35">
      <c r="D13" s="296" t="s">
        <v>324</v>
      </c>
      <c r="E13" s="131" t="s">
        <v>325</v>
      </c>
      <c r="F13" s="298" t="s">
        <v>158</v>
      </c>
      <c r="G13" s="313" t="s">
        <v>473</v>
      </c>
      <c r="H13" s="314"/>
    </row>
    <row r="14" spans="4:8" ht="25" customHeight="1" thickBot="1" x14ac:dyDescent="0.4">
      <c r="D14" s="297"/>
      <c r="E14" s="132" t="s">
        <v>326</v>
      </c>
      <c r="F14" s="299"/>
      <c r="G14" s="315"/>
      <c r="H14" s="316"/>
    </row>
    <row r="15" spans="4:8" ht="45" customHeight="1" x14ac:dyDescent="0.35">
      <c r="D15" s="296" t="s">
        <v>324</v>
      </c>
      <c r="E15" s="131" t="s">
        <v>327</v>
      </c>
      <c r="F15" s="298" t="s">
        <v>160</v>
      </c>
      <c r="G15" s="313" t="s">
        <v>443</v>
      </c>
      <c r="H15" s="314"/>
    </row>
    <row r="16" spans="4:8" ht="53.5" customHeight="1" x14ac:dyDescent="0.35">
      <c r="D16" s="300"/>
      <c r="E16" s="131" t="s">
        <v>328</v>
      </c>
      <c r="F16" s="301"/>
      <c r="G16" s="319"/>
      <c r="H16" s="320"/>
    </row>
    <row r="17" spans="4:8" ht="25" customHeight="1" thickBot="1" x14ac:dyDescent="0.4">
      <c r="D17" s="297"/>
      <c r="E17" s="132" t="s">
        <v>329</v>
      </c>
      <c r="F17" s="299"/>
      <c r="G17" s="315"/>
      <c r="H17" s="316"/>
    </row>
    <row r="18" spans="4:8" ht="46.5" customHeight="1" thickBot="1" x14ac:dyDescent="0.4">
      <c r="D18" s="96" t="s">
        <v>324</v>
      </c>
      <c r="E18" s="131" t="s">
        <v>330</v>
      </c>
      <c r="F18" s="129" t="s">
        <v>158</v>
      </c>
      <c r="G18" s="292" t="s">
        <v>474</v>
      </c>
      <c r="H18" s="293"/>
    </row>
    <row r="19" spans="4:8" ht="47.15" customHeight="1" thickBot="1" x14ac:dyDescent="0.4">
      <c r="D19" s="42"/>
      <c r="E19" s="136" t="s">
        <v>360</v>
      </c>
      <c r="F19" s="130"/>
      <c r="G19" s="292" t="s">
        <v>444</v>
      </c>
      <c r="H19" s="293"/>
    </row>
    <row r="20" spans="4:8" ht="13.75" customHeight="1" x14ac:dyDescent="0.35"/>
    <row r="21" spans="4:8" ht="13.75" customHeight="1" x14ac:dyDescent="0.35"/>
    <row r="22" spans="4:8" ht="13.75" customHeight="1" thickBot="1" x14ac:dyDescent="0.4">
      <c r="D22" s="15" t="s">
        <v>331</v>
      </c>
      <c r="E22" s="137"/>
      <c r="F22"/>
      <c r="G22"/>
    </row>
    <row r="23" spans="4:8" ht="13.75" customHeight="1" thickBot="1" x14ac:dyDescent="0.4">
      <c r="D23" s="29" t="s">
        <v>318</v>
      </c>
      <c r="E23" s="135" t="s">
        <v>155</v>
      </c>
      <c r="F23" s="43" t="s">
        <v>319</v>
      </c>
      <c r="G23" s="307" t="s">
        <v>320</v>
      </c>
      <c r="H23" s="308"/>
    </row>
    <row r="24" spans="4:8" ht="41.5" customHeight="1" thickBot="1" x14ac:dyDescent="0.4">
      <c r="D24" s="59" t="s">
        <v>332</v>
      </c>
      <c r="E24" s="132" t="s">
        <v>333</v>
      </c>
      <c r="F24" s="129" t="s">
        <v>159</v>
      </c>
      <c r="G24" s="292" t="s">
        <v>442</v>
      </c>
      <c r="H24" s="293"/>
    </row>
    <row r="25" spans="4:8" x14ac:dyDescent="0.35"/>
    <row r="26" spans="4:8" x14ac:dyDescent="0.35"/>
    <row r="27" spans="4:8" ht="4.5" customHeight="1" x14ac:dyDescent="0.35"/>
    <row r="28" spans="4:8" ht="7.5" customHeight="1" x14ac:dyDescent="0.35"/>
    <row r="29" spans="4:8" ht="8.15" hidden="1" customHeight="1" x14ac:dyDescent="0.35"/>
    <row r="30" spans="4:8" hidden="1" x14ac:dyDescent="0.35"/>
    <row r="31" spans="4:8" x14ac:dyDescent="0.35"/>
    <row r="32" spans="4:8" x14ac:dyDescent="0.35"/>
    <row r="33" spans="4:8" ht="14.5" customHeight="1" thickBot="1" x14ac:dyDescent="0.4">
      <c r="D33" s="15" t="s">
        <v>334</v>
      </c>
      <c r="E33" s="137"/>
      <c r="F33"/>
      <c r="G33"/>
    </row>
    <row r="34" spans="4:8" ht="27.65" customHeight="1" thickBot="1" x14ac:dyDescent="0.4">
      <c r="D34" s="29" t="s">
        <v>318</v>
      </c>
      <c r="E34" s="135" t="s">
        <v>155</v>
      </c>
      <c r="F34" s="43" t="s">
        <v>319</v>
      </c>
      <c r="G34" s="307" t="s">
        <v>320</v>
      </c>
      <c r="H34" s="308"/>
    </row>
    <row r="35" spans="4:8" ht="49.5" customHeight="1" x14ac:dyDescent="0.35">
      <c r="D35" s="31" t="s">
        <v>335</v>
      </c>
      <c r="E35" s="131" t="s">
        <v>475</v>
      </c>
      <c r="F35" s="294" t="s">
        <v>158</v>
      </c>
      <c r="G35" s="309" t="s">
        <v>476</v>
      </c>
      <c r="H35" s="310"/>
    </row>
    <row r="36" spans="4:8" ht="14.5" customHeight="1" thickBot="1" x14ac:dyDescent="0.4">
      <c r="D36" s="32"/>
      <c r="E36" s="132" t="s">
        <v>336</v>
      </c>
      <c r="F36" s="295"/>
      <c r="G36" s="311"/>
      <c r="H36" s="312"/>
    </row>
    <row r="37" spans="4:8" ht="47.5" customHeight="1" x14ac:dyDescent="0.35">
      <c r="D37" s="31" t="s">
        <v>337</v>
      </c>
      <c r="E37" s="131" t="s">
        <v>338</v>
      </c>
      <c r="F37" s="294" t="s">
        <v>159</v>
      </c>
      <c r="G37" s="309" t="s">
        <v>442</v>
      </c>
      <c r="H37" s="310"/>
    </row>
    <row r="38" spans="4:8" ht="25" customHeight="1" thickBot="1" x14ac:dyDescent="0.4">
      <c r="D38" s="32"/>
      <c r="E38" s="132" t="s">
        <v>339</v>
      </c>
      <c r="F38" s="295"/>
      <c r="G38" s="311"/>
      <c r="H38" s="312"/>
    </row>
    <row r="39" spans="4:8" ht="40" customHeight="1" x14ac:dyDescent="0.35">
      <c r="D39" s="31" t="s">
        <v>340</v>
      </c>
      <c r="E39" s="131" t="s">
        <v>341</v>
      </c>
      <c r="F39" s="294" t="s">
        <v>159</v>
      </c>
      <c r="G39" s="309" t="s">
        <v>442</v>
      </c>
      <c r="H39" s="310"/>
    </row>
    <row r="40" spans="4:8" ht="57" customHeight="1" thickBot="1" x14ac:dyDescent="0.4">
      <c r="D40" s="32"/>
      <c r="E40" s="132" t="s">
        <v>342</v>
      </c>
      <c r="F40" s="295"/>
      <c r="G40" s="311"/>
      <c r="H40" s="312"/>
    </row>
    <row r="41" spans="4:8" ht="25" customHeight="1" x14ac:dyDescent="0.35"/>
    <row r="42" spans="4:8" ht="25" hidden="1" customHeight="1" thickBot="1" x14ac:dyDescent="0.4">
      <c r="D42" s="15" t="s">
        <v>385</v>
      </c>
      <c r="E42" s="137"/>
      <c r="F42"/>
      <c r="G42"/>
    </row>
    <row r="43" spans="4:8" ht="25" hidden="1" customHeight="1" thickBot="1" x14ac:dyDescent="0.4">
      <c r="D43" s="79" t="s">
        <v>318</v>
      </c>
      <c r="E43" s="138" t="s">
        <v>155</v>
      </c>
      <c r="F43" s="80" t="s">
        <v>303</v>
      </c>
      <c r="G43" s="323" t="s">
        <v>320</v>
      </c>
      <c r="H43" s="324"/>
    </row>
    <row r="44" spans="4:8" ht="35.15" hidden="1" customHeight="1" x14ac:dyDescent="0.35">
      <c r="D44" s="325"/>
      <c r="E44" s="327" t="s">
        <v>475</v>
      </c>
      <c r="F44" s="325"/>
      <c r="G44" s="329"/>
      <c r="H44" s="330"/>
    </row>
    <row r="45" spans="4:8" ht="14.5" hidden="1" customHeight="1" thickBot="1" x14ac:dyDescent="0.4">
      <c r="D45" s="326"/>
      <c r="E45" s="328"/>
      <c r="F45" s="326"/>
      <c r="G45" s="331"/>
      <c r="H45" s="332"/>
    </row>
    <row r="46" spans="4:8" ht="20.149999999999999" hidden="1" customHeight="1" thickBot="1" x14ac:dyDescent="0.4">
      <c r="D46" s="27" t="s">
        <v>343</v>
      </c>
      <c r="E46" s="132" t="s">
        <v>344</v>
      </c>
      <c r="F46" s="28"/>
      <c r="G46" s="302"/>
      <c r="H46" s="303"/>
    </row>
  </sheetData>
  <sheetProtection algorithmName="SHA-512" hashValue="Zm3L0E4RhH+wE48wZHhJA+EYrY0PCaJ1GQJNWlnbyfZioPzopl4gdYrrstrFfszSBlOH5CjLDgs6G4+5FCEHdA==" saltValue="l0ccHxgUakZu7rUsPSCQ5g==" spinCount="100000" sheet="1" objects="1" scenarios="1"/>
  <mergeCells count="28">
    <mergeCell ref="G43:H43"/>
    <mergeCell ref="F44:F45"/>
    <mergeCell ref="E44:E45"/>
    <mergeCell ref="D44:D45"/>
    <mergeCell ref="G44:H45"/>
    <mergeCell ref="G46:H46"/>
    <mergeCell ref="D6:H6"/>
    <mergeCell ref="G34:H34"/>
    <mergeCell ref="G35:H36"/>
    <mergeCell ref="G37:H38"/>
    <mergeCell ref="G39:H40"/>
    <mergeCell ref="G11:H12"/>
    <mergeCell ref="G13:H14"/>
    <mergeCell ref="G10:H10"/>
    <mergeCell ref="G15:H17"/>
    <mergeCell ref="F39:F40"/>
    <mergeCell ref="D11:D12"/>
    <mergeCell ref="F11:F12"/>
    <mergeCell ref="G24:H24"/>
    <mergeCell ref="G23:H23"/>
    <mergeCell ref="G18:H18"/>
    <mergeCell ref="G19:H19"/>
    <mergeCell ref="F35:F36"/>
    <mergeCell ref="F37:F38"/>
    <mergeCell ref="D13:D14"/>
    <mergeCell ref="F13:F14"/>
    <mergeCell ref="D15:D17"/>
    <mergeCell ref="F15:F17"/>
  </mergeCells>
  <conditionalFormatting sqref="F11 F15 F13 F46:H46">
    <cfRule type="cellIs" dxfId="7" priority="5" operator="equal">
      <formula>$C$4</formula>
    </cfRule>
  </conditionalFormatting>
  <conditionalFormatting sqref="F18">
    <cfRule type="cellIs" dxfId="6" priority="4" operator="equal">
      <formula>$C$4</formula>
    </cfRule>
  </conditionalFormatting>
  <conditionalFormatting sqref="F35:H35 G36:H40 F37 F39">
    <cfRule type="cellIs" dxfId="5" priority="3" operator="equal">
      <formula>$C$4</formula>
    </cfRule>
  </conditionalFormatting>
  <conditionalFormatting sqref="F24:H24">
    <cfRule type="cellIs" dxfId="4" priority="2" operator="equal">
      <formula>$C$4</formula>
    </cfRule>
  </conditionalFormatting>
  <conditionalFormatting sqref="G11:H19">
    <cfRule type="cellIs" dxfId="3" priority="1" operator="equal">
      <formula>$C$4</formula>
    </cfRule>
  </conditionalFormatting>
  <dataValidations count="1">
    <dataValidation type="list" allowBlank="1" showInputMessage="1" showErrorMessage="1" sqref="M13" xr:uid="{00000000-0002-0000-0900-000000000000}">
      <formula1>"High,Medium,Low"</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Mapping!$A$2:$A$4</xm:f>
          </x14:formula1>
          <xm:sqref>F11:F18</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K20"/>
  <sheetViews>
    <sheetView tabSelected="1" workbookViewId="0">
      <selection activeCell="B7" sqref="B7"/>
    </sheetView>
  </sheetViews>
  <sheetFormatPr defaultColWidth="9.1796875" defaultRowHeight="14.5" customHeight="1" x14ac:dyDescent="0.35"/>
  <cols>
    <col min="1" max="1" width="9.1796875" style="16" customWidth="1"/>
    <col min="2" max="2" width="120.54296875" style="16" customWidth="1"/>
    <col min="3" max="11" width="9.1796875" style="16" customWidth="1"/>
    <col min="12" max="12" width="11.81640625" style="16" customWidth="1"/>
    <col min="13" max="13" width="5.81640625" style="16" customWidth="1"/>
    <col min="14" max="14" width="51.7265625" style="16" customWidth="1"/>
    <col min="15" max="15" width="12.26953125" style="16" customWidth="1"/>
    <col min="16" max="16" width="12.81640625" style="16" customWidth="1"/>
    <col min="17" max="19" width="9.1796875" style="16" customWidth="1"/>
    <col min="20" max="16384" width="9.1796875" style="16"/>
  </cols>
  <sheetData>
    <row r="1" spans="1:11" x14ac:dyDescent="0.35"/>
    <row r="2" spans="1:11" ht="10" customHeight="1" x14ac:dyDescent="0.35"/>
    <row r="3" spans="1:11" ht="5.5" customHeight="1" x14ac:dyDescent="0.35"/>
    <row r="4" spans="1:11" ht="7.5" customHeight="1" x14ac:dyDescent="0.35"/>
    <row r="5" spans="1:11" x14ac:dyDescent="0.35">
      <c r="A5" s="146"/>
      <c r="B5" s="142" t="s">
        <v>448</v>
      </c>
      <c r="C5" s="146"/>
      <c r="D5" s="146"/>
      <c r="E5" s="146"/>
      <c r="F5" s="146"/>
      <c r="G5" s="146"/>
      <c r="H5" s="146"/>
      <c r="I5" s="146"/>
      <c r="J5" s="146"/>
      <c r="K5" s="146"/>
    </row>
    <row r="6" spans="1:11" x14ac:dyDescent="0.35">
      <c r="A6" s="146"/>
      <c r="B6" s="143"/>
      <c r="C6" s="146"/>
      <c r="D6" s="146"/>
      <c r="E6" s="147"/>
      <c r="F6" s="147"/>
      <c r="G6" s="146"/>
      <c r="H6" s="146"/>
      <c r="I6" s="146"/>
      <c r="J6" s="146"/>
      <c r="K6" s="146"/>
    </row>
    <row r="7" spans="1:11" ht="26" x14ac:dyDescent="0.35">
      <c r="A7" s="146"/>
      <c r="B7" s="144" t="s">
        <v>462</v>
      </c>
      <c r="C7" s="146"/>
      <c r="D7" s="146"/>
      <c r="E7" s="146"/>
      <c r="F7" s="146"/>
      <c r="G7" s="146"/>
      <c r="H7" s="146"/>
      <c r="I7" s="146"/>
      <c r="J7" s="146"/>
      <c r="K7" s="146"/>
    </row>
    <row r="8" spans="1:11" ht="26" x14ac:dyDescent="0.35">
      <c r="A8" s="146"/>
      <c r="B8" s="145" t="s">
        <v>457</v>
      </c>
      <c r="C8" s="146"/>
      <c r="D8" s="146"/>
      <c r="E8" s="146"/>
      <c r="F8" s="146"/>
      <c r="G8" s="146"/>
      <c r="H8" s="146"/>
      <c r="I8" s="146"/>
      <c r="J8" s="146"/>
      <c r="K8" s="146"/>
    </row>
    <row r="9" spans="1:11" ht="26" x14ac:dyDescent="0.35">
      <c r="A9" s="146"/>
      <c r="B9" s="145" t="s">
        <v>450</v>
      </c>
      <c r="C9" s="146"/>
      <c r="D9" s="146"/>
      <c r="E9" s="146"/>
      <c r="F9" s="146"/>
      <c r="G9" s="146"/>
      <c r="H9" s="146"/>
      <c r="I9" s="146"/>
      <c r="J9" s="146"/>
      <c r="K9" s="146"/>
    </row>
    <row r="10" spans="1:11" x14ac:dyDescent="0.35">
      <c r="A10" s="146"/>
      <c r="B10" s="144" t="s">
        <v>453</v>
      </c>
      <c r="C10" s="146"/>
      <c r="D10" s="146"/>
      <c r="E10" s="146"/>
      <c r="F10" s="146"/>
      <c r="G10" s="146"/>
      <c r="H10" s="146"/>
      <c r="I10" s="146"/>
      <c r="J10" s="146"/>
      <c r="K10" s="146"/>
    </row>
    <row r="11" spans="1:11" x14ac:dyDescent="0.35">
      <c r="A11" s="146"/>
      <c r="B11" s="144"/>
      <c r="C11" s="146"/>
      <c r="D11" s="146"/>
      <c r="E11" s="146"/>
      <c r="F11" s="146"/>
      <c r="G11" s="146"/>
      <c r="H11" s="146"/>
      <c r="I11" s="146"/>
      <c r="J11" s="146"/>
      <c r="K11" s="146"/>
    </row>
    <row r="12" spans="1:11" x14ac:dyDescent="0.35">
      <c r="A12" s="146"/>
      <c r="B12" s="144" t="s">
        <v>454</v>
      </c>
      <c r="C12" s="146"/>
      <c r="D12" s="146"/>
      <c r="E12" s="146"/>
      <c r="F12" s="146"/>
      <c r="G12" s="146"/>
      <c r="H12" s="146"/>
      <c r="I12" s="146"/>
      <c r="J12" s="146"/>
      <c r="K12" s="146"/>
    </row>
    <row r="13" spans="1:11" ht="52" x14ac:dyDescent="0.35">
      <c r="A13" s="146"/>
      <c r="B13" s="145" t="s">
        <v>451</v>
      </c>
      <c r="C13" s="146"/>
      <c r="D13" s="146"/>
      <c r="E13" s="146"/>
      <c r="F13" s="146"/>
      <c r="G13" s="146"/>
      <c r="H13" s="146"/>
      <c r="I13" s="146"/>
      <c r="J13" s="146"/>
      <c r="K13" s="146"/>
    </row>
    <row r="14" spans="1:11" x14ac:dyDescent="0.35">
      <c r="A14" s="146"/>
      <c r="B14" s="145"/>
      <c r="C14" s="146"/>
      <c r="D14" s="146"/>
      <c r="E14" s="146"/>
      <c r="F14" s="146"/>
      <c r="G14" s="146"/>
      <c r="H14" s="146"/>
      <c r="I14" s="146"/>
      <c r="J14" s="146"/>
      <c r="K14" s="146"/>
    </row>
    <row r="15" spans="1:11" x14ac:dyDescent="0.35">
      <c r="A15" s="146"/>
      <c r="B15" s="144" t="s">
        <v>172</v>
      </c>
      <c r="C15" s="146"/>
      <c r="D15" s="146"/>
      <c r="E15" s="146"/>
      <c r="F15" s="146"/>
      <c r="G15" s="146"/>
      <c r="H15" s="146"/>
      <c r="I15" s="146"/>
      <c r="J15" s="146"/>
      <c r="K15" s="146"/>
    </row>
    <row r="16" spans="1:11" ht="14.5" customHeight="1" x14ac:dyDescent="0.35">
      <c r="A16" s="146"/>
      <c r="B16" s="145" t="s">
        <v>452</v>
      </c>
      <c r="C16" s="146"/>
      <c r="D16" s="146"/>
      <c r="E16" s="146"/>
      <c r="F16" s="146"/>
      <c r="G16" s="146"/>
      <c r="H16" s="146"/>
      <c r="I16" s="146"/>
      <c r="J16" s="146"/>
      <c r="K16" s="146"/>
    </row>
    <row r="17" spans="1:11" ht="14.5" customHeight="1" x14ac:dyDescent="0.35">
      <c r="A17" s="146"/>
      <c r="B17" s="145"/>
      <c r="C17" s="146"/>
      <c r="D17" s="146"/>
      <c r="E17" s="146"/>
      <c r="F17" s="146"/>
      <c r="G17" s="146"/>
      <c r="H17" s="146"/>
      <c r="I17" s="146"/>
      <c r="J17" s="146"/>
      <c r="K17" s="146"/>
    </row>
    <row r="18" spans="1:11" ht="14.5" customHeight="1" x14ac:dyDescent="0.35">
      <c r="A18" s="146"/>
      <c r="B18" s="144" t="s">
        <v>455</v>
      </c>
      <c r="C18" s="146"/>
      <c r="D18" s="146"/>
      <c r="E18" s="146"/>
      <c r="F18" s="146"/>
      <c r="G18" s="146"/>
      <c r="H18" s="146"/>
      <c r="I18" s="146"/>
      <c r="J18" s="146"/>
      <c r="K18" s="146"/>
    </row>
    <row r="19" spans="1:11" ht="14.5" customHeight="1" x14ac:dyDescent="0.35">
      <c r="A19" s="146"/>
      <c r="B19" s="144" t="s">
        <v>449</v>
      </c>
      <c r="C19" s="146"/>
      <c r="D19" s="146"/>
      <c r="E19" s="146"/>
      <c r="F19" s="146"/>
      <c r="G19" s="146"/>
      <c r="H19" s="146"/>
      <c r="I19" s="146"/>
      <c r="J19" s="146"/>
      <c r="K19" s="146"/>
    </row>
    <row r="20" spans="1:11" ht="96" customHeight="1" x14ac:dyDescent="0.35">
      <c r="A20" s="146"/>
      <c r="B20" s="145" t="s">
        <v>477</v>
      </c>
      <c r="C20" s="145"/>
      <c r="D20" s="145"/>
      <c r="E20" s="145"/>
      <c r="F20" s="145"/>
      <c r="G20" s="145"/>
      <c r="H20" s="145"/>
      <c r="I20" s="145"/>
      <c r="J20" s="145"/>
      <c r="K20" s="145"/>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02C40-23F9-4E15-8003-DE3611C421B1}">
  <dimension ref="A1"/>
  <sheetViews>
    <sheetView workbookViewId="0"/>
  </sheetViews>
  <sheetFormatPr defaultRowHeight="14.5" x14ac:dyDescent="0.3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CEE4F-5CC6-44E4-BBD1-50E25CBF3498}">
  <dimension ref="A1"/>
  <sheetViews>
    <sheetView workbookViewId="0"/>
  </sheetViews>
  <sheetFormatPr defaultRowHeight="14.5" x14ac:dyDescent="0.35"/>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8B73B2-8C9A-4F55-8D14-1147211778C1}">
  <dimension ref="A1"/>
  <sheetViews>
    <sheetView workbookViewId="0"/>
  </sheetViews>
  <sheetFormatPr defaultRowHeight="14.5" x14ac:dyDescent="0.35"/>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
  <dimension ref="D2:I23"/>
  <sheetViews>
    <sheetView showGridLines="0" workbookViewId="0">
      <selection activeCell="E11" sqref="E11"/>
    </sheetView>
  </sheetViews>
  <sheetFormatPr defaultRowHeight="14.5" x14ac:dyDescent="0.35"/>
  <cols>
    <col min="5" max="5" width="112.54296875" customWidth="1"/>
    <col min="6" max="7" width="8.7265625" style="84" hidden="1" customWidth="1"/>
    <col min="8" max="8" width="8.7265625" hidden="1" customWidth="1"/>
    <col min="9" max="9" width="11.453125" hidden="1" customWidth="1"/>
    <col min="10" max="10" width="20.453125" customWidth="1"/>
    <col min="11" max="11" width="8.7265625" customWidth="1"/>
  </cols>
  <sheetData>
    <row r="2" spans="4:9" ht="15" thickBot="1" x14ac:dyDescent="0.4"/>
    <row r="3" spans="4:9" ht="15" thickBot="1" x14ac:dyDescent="0.4">
      <c r="D3" s="83" t="s">
        <v>387</v>
      </c>
      <c r="E3" s="83" t="s">
        <v>388</v>
      </c>
      <c r="F3" s="87"/>
      <c r="G3" s="88"/>
    </row>
    <row r="4" spans="4:9" ht="30" customHeight="1" thickBot="1" x14ac:dyDescent="0.4">
      <c r="E4" s="95" t="str" cm="1">
        <f t="array" ref="E4:G4">'Step 1'!C75:E75</f>
        <v>The Change Order 01 is to add new roles (EDD (Enhanced Due Diligence) Support, Anti-Money Laundering Support and Crypto Anti Money Laundering Specialist) in the existing SOW along with their production rates. Hence, there is increase in the scope of services and change to the price of the contract. Hence, modification of contract is applicable and accounting will be done prospectively.</v>
      </c>
      <c r="F4" s="85">
        <v>0</v>
      </c>
      <c r="G4" s="86">
        <v>0</v>
      </c>
    </row>
    <row r="5" spans="4:9" ht="15" thickBot="1" x14ac:dyDescent="0.4"/>
    <row r="6" spans="4:9" ht="15" thickBot="1" x14ac:dyDescent="0.4">
      <c r="D6" s="83" t="s">
        <v>389</v>
      </c>
      <c r="E6" s="83" t="s">
        <v>388</v>
      </c>
      <c r="F6" s="87"/>
      <c r="G6" s="88"/>
    </row>
    <row r="7" spans="4:9" ht="85.5" customHeight="1" thickBot="1" x14ac:dyDescent="0.4">
      <c r="E7" s="94" t="str" cm="1">
        <f t="array" ref="E7:I7">'Step 2'!D29:H29</f>
        <v xml:space="preserve">As per above evaluation, we conclude that “Finance Crime Implementation and Outsourced Services (EDD (Enhanced Due Diligence) Support, Anti-Money Laundering Support and Crypto Anti Money Laundering Specialist,Politically Exposed Persons (PEP) / Negative News Screening (NNS))” are single performance obligation by applying series guidance. </v>
      </c>
      <c r="F7" s="85">
        <v>0</v>
      </c>
      <c r="G7" s="86">
        <v>0</v>
      </c>
      <c r="H7">
        <v>0</v>
      </c>
      <c r="I7">
        <v>0</v>
      </c>
    </row>
    <row r="8" spans="4:9" ht="15" thickBot="1" x14ac:dyDescent="0.4"/>
    <row r="9" spans="4:9" ht="15" thickBot="1" x14ac:dyDescent="0.4">
      <c r="D9" s="83" t="s">
        <v>390</v>
      </c>
      <c r="E9" s="83" t="s">
        <v>388</v>
      </c>
      <c r="F9" s="87"/>
      <c r="G9" s="88"/>
    </row>
    <row r="10" spans="4:9" ht="30" customHeight="1" thickBot="1" x14ac:dyDescent="0.4">
      <c r="E10" s="94" cm="1">
        <f t="array" ref="E10:G10">'Step 3'!D65:F65</f>
        <v>0</v>
      </c>
      <c r="F10" s="85">
        <v>0</v>
      </c>
      <c r="G10" s="86">
        <v>0</v>
      </c>
    </row>
    <row r="11" spans="4:9" ht="30" customHeight="1" thickBot="1" x14ac:dyDescent="0.4">
      <c r="E11" s="94" cm="1">
        <f t="array" ref="E11:G11">'Step 3'!D81:F81</f>
        <v>0</v>
      </c>
      <c r="F11" s="85">
        <v>0</v>
      </c>
      <c r="G11" s="86">
        <v>0</v>
      </c>
    </row>
    <row r="12" spans="4:9" ht="30" customHeight="1" thickBot="1" x14ac:dyDescent="0.4">
      <c r="E12" s="94" t="str" cm="1">
        <f t="array" ref="E12:G12">'Step 3'!D104:F104</f>
        <v>NA</v>
      </c>
      <c r="F12" s="85">
        <v>0</v>
      </c>
      <c r="G12" s="86">
        <v>0</v>
      </c>
    </row>
    <row r="13" spans="4:9" ht="30" customHeight="1" thickBot="1" x14ac:dyDescent="0.4">
      <c r="E13" s="94" t="str" cm="1">
        <f t="array" ref="E13:G13">'Step 3'!D117:F117</f>
        <v>No financing component</v>
      </c>
      <c r="F13" s="85">
        <v>0</v>
      </c>
      <c r="G13" s="86">
        <v>0</v>
      </c>
    </row>
    <row r="14" spans="4:9" ht="15" thickBot="1" x14ac:dyDescent="0.4"/>
    <row r="15" spans="4:9" ht="15" thickBot="1" x14ac:dyDescent="0.4">
      <c r="D15" s="83" t="s">
        <v>391</v>
      </c>
      <c r="E15" s="83" t="s">
        <v>388</v>
      </c>
      <c r="F15" s="87"/>
      <c r="G15" s="88"/>
    </row>
    <row r="16" spans="4:9" ht="30" customHeight="1" thickBot="1" x14ac:dyDescent="0.4">
      <c r="E16" s="95" t="str" cm="1">
        <f t="array" ref="E16:G16">'Step 4'!D23:F23</f>
        <v>Since there is only 1 performance obligation, allocation of transaction price is not required</v>
      </c>
      <c r="F16" s="85">
        <v>0</v>
      </c>
      <c r="G16" s="86">
        <v>0</v>
      </c>
    </row>
    <row r="17" spans="4:7" ht="30" customHeight="1" thickBot="1" x14ac:dyDescent="0.4">
      <c r="E17" s="95" t="str" cm="1">
        <f t="array" ref="E17:G17">'Step 4'!D39:F39</f>
        <v>There are no variable consideration identified in the Change Order 01</v>
      </c>
      <c r="F17" s="97">
        <v>0</v>
      </c>
      <c r="G17" s="97">
        <v>0</v>
      </c>
    </row>
    <row r="18" spans="4:7" ht="15" thickBot="1" x14ac:dyDescent="0.4"/>
    <row r="19" spans="4:7" ht="15" thickBot="1" x14ac:dyDescent="0.4">
      <c r="D19" s="83" t="s">
        <v>394</v>
      </c>
      <c r="E19" s="83" t="s">
        <v>388</v>
      </c>
    </row>
    <row r="20" spans="4:7" ht="15" thickBot="1" x14ac:dyDescent="0.4">
      <c r="E20" s="95" t="str">
        <f>'Step 5'!H17</f>
        <v>Performance obligation is satisfied over time</v>
      </c>
    </row>
    <row r="21" spans="4:7" ht="15" thickBot="1" x14ac:dyDescent="0.4">
      <c r="E21" s="95" t="str">
        <f>'Step 5'!H18</f>
        <v/>
      </c>
    </row>
    <row r="22" spans="4:7" ht="15" thickBot="1" x14ac:dyDescent="0.4">
      <c r="E22" s="95" t="str">
        <f>'Step 5'!H19</f>
        <v/>
      </c>
    </row>
    <row r="23" spans="4:7" ht="15" thickBot="1" x14ac:dyDescent="0.4">
      <c r="E23" s="95" t="str">
        <f>'Step 5'!H20</f>
        <v/>
      </c>
    </row>
  </sheetData>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J73"/>
  <sheetViews>
    <sheetView showGridLines="0" workbookViewId="0">
      <pane ySplit="1" topLeftCell="A2" activePane="bottomLeft" state="frozen"/>
      <selection pane="bottomLeft"/>
    </sheetView>
  </sheetViews>
  <sheetFormatPr defaultRowHeight="14.5" outlineLevelCol="1" x14ac:dyDescent="0.35"/>
  <cols>
    <col min="1" max="2" width="15.7265625" customWidth="1"/>
    <col min="3" max="5" width="15.7265625" hidden="1" customWidth="1" outlineLevel="1"/>
    <col min="6" max="6" width="15.7265625" customWidth="1" collapsed="1"/>
    <col min="7" max="10" width="15.7265625" customWidth="1"/>
  </cols>
  <sheetData>
    <row r="1" spans="1:10" ht="15" customHeight="1" x14ac:dyDescent="0.35">
      <c r="A1" s="2" t="s">
        <v>11</v>
      </c>
      <c r="B1" s="2" t="s">
        <v>12</v>
      </c>
      <c r="C1" s="2" t="s">
        <v>122</v>
      </c>
      <c r="D1" s="2" t="s">
        <v>123</v>
      </c>
      <c r="E1" s="2" t="s">
        <v>124</v>
      </c>
      <c r="F1" s="2" t="s">
        <v>0</v>
      </c>
      <c r="G1" s="2" t="s">
        <v>13</v>
      </c>
      <c r="H1" s="2" t="s">
        <v>14</v>
      </c>
      <c r="I1" s="2" t="s">
        <v>15</v>
      </c>
      <c r="J1" s="11" t="s">
        <v>126</v>
      </c>
    </row>
    <row r="2" spans="1:10" ht="15" customHeight="1" x14ac:dyDescent="0.35">
      <c r="A2" s="1" t="s">
        <v>1</v>
      </c>
      <c r="B2" s="1" t="s">
        <v>42</v>
      </c>
      <c r="C2" s="1"/>
      <c r="D2" s="1"/>
      <c r="E2" s="1"/>
      <c r="F2" s="3">
        <v>43466</v>
      </c>
      <c r="G2" s="3">
        <v>43471</v>
      </c>
      <c r="H2" s="1" t="s">
        <v>17</v>
      </c>
      <c r="I2" s="4">
        <v>0.2</v>
      </c>
      <c r="J2" s="10" t="str">
        <f ca="1">IF(H2="Completed","G",IF(H2="In Progress",IF(TODAY()&gt;G2,"A","G"),IF(H2="Pending",IF(TODAY()&gt;F2,"R",""),"")))</f>
        <v>G</v>
      </c>
    </row>
    <row r="3" spans="1:10" ht="15" customHeight="1" x14ac:dyDescent="0.35">
      <c r="A3" s="1" t="s">
        <v>2</v>
      </c>
      <c r="B3" s="1" t="s">
        <v>42</v>
      </c>
      <c r="C3" s="1"/>
      <c r="D3" s="1"/>
      <c r="E3" s="1"/>
      <c r="F3" s="3">
        <v>43469</v>
      </c>
      <c r="G3" s="3">
        <v>43474</v>
      </c>
      <c r="H3" s="1" t="s">
        <v>17</v>
      </c>
      <c r="I3" s="4">
        <v>0.62</v>
      </c>
      <c r="J3" s="10" t="str">
        <f t="shared" ref="J3:J66" ca="1" si="0">IF(H3="Completed","G",IF(H3="In Progress",IF(TODAY()&gt;G3,"A","G"),IF(H3="Pending",IF(TODAY()&gt;F3,"R",""),"")))</f>
        <v>G</v>
      </c>
    </row>
    <row r="4" spans="1:10" ht="15" customHeight="1" x14ac:dyDescent="0.35">
      <c r="A4" s="1" t="s">
        <v>3</v>
      </c>
      <c r="B4" s="1" t="s">
        <v>55</v>
      </c>
      <c r="C4" s="1"/>
      <c r="D4" s="1"/>
      <c r="E4" s="1"/>
      <c r="F4" s="3">
        <v>43472</v>
      </c>
      <c r="G4" s="3">
        <v>43476</v>
      </c>
      <c r="H4" s="1" t="s">
        <v>17</v>
      </c>
      <c r="I4" s="4">
        <v>0</v>
      </c>
      <c r="J4" s="10" t="str">
        <f t="shared" ca="1" si="0"/>
        <v>G</v>
      </c>
    </row>
    <row r="5" spans="1:10" ht="15" customHeight="1" x14ac:dyDescent="0.35">
      <c r="A5" s="1" t="s">
        <v>4</v>
      </c>
      <c r="B5" s="1" t="s">
        <v>54</v>
      </c>
      <c r="C5" s="1"/>
      <c r="D5" s="1"/>
      <c r="E5" s="1"/>
      <c r="F5" s="3">
        <v>43475</v>
      </c>
      <c r="G5" s="3">
        <v>43477</v>
      </c>
      <c r="H5" s="1" t="s">
        <v>118</v>
      </c>
      <c r="I5" s="4">
        <v>0.42</v>
      </c>
      <c r="J5" s="10" t="str">
        <f t="shared" ca="1" si="0"/>
        <v>A</v>
      </c>
    </row>
    <row r="6" spans="1:10" ht="15" customHeight="1" x14ac:dyDescent="0.35">
      <c r="A6" s="1" t="s">
        <v>5</v>
      </c>
      <c r="B6" s="1" t="s">
        <v>54</v>
      </c>
      <c r="C6" s="1"/>
      <c r="D6" s="1"/>
      <c r="E6" s="1"/>
      <c r="F6" s="3">
        <v>43476</v>
      </c>
      <c r="G6" s="3">
        <v>43485</v>
      </c>
      <c r="H6" s="1" t="s">
        <v>17</v>
      </c>
      <c r="I6" s="4">
        <v>0.33</v>
      </c>
      <c r="J6" s="10" t="str">
        <f t="shared" ca="1" si="0"/>
        <v>G</v>
      </c>
    </row>
    <row r="7" spans="1:10" ht="15" customHeight="1" x14ac:dyDescent="0.35">
      <c r="A7" s="1" t="s">
        <v>6</v>
      </c>
      <c r="B7" s="1" t="s">
        <v>44</v>
      </c>
      <c r="C7" s="1"/>
      <c r="D7" s="1"/>
      <c r="E7" s="1"/>
      <c r="F7" s="3">
        <v>43486</v>
      </c>
      <c r="G7" s="3">
        <v>43490</v>
      </c>
      <c r="H7" s="1" t="s">
        <v>17</v>
      </c>
      <c r="I7" s="4">
        <v>0.78</v>
      </c>
      <c r="J7" s="10" t="str">
        <f t="shared" ca="1" si="0"/>
        <v>G</v>
      </c>
    </row>
    <row r="8" spans="1:10" ht="15" customHeight="1" x14ac:dyDescent="0.35">
      <c r="A8" s="1" t="s">
        <v>7</v>
      </c>
      <c r="B8" s="1" t="s">
        <v>20</v>
      </c>
      <c r="C8" s="1"/>
      <c r="D8" s="1"/>
      <c r="E8" s="1"/>
      <c r="F8" s="3">
        <v>43489</v>
      </c>
      <c r="G8" s="3">
        <v>43495</v>
      </c>
      <c r="H8" s="1" t="s">
        <v>17</v>
      </c>
      <c r="I8" s="4">
        <v>1</v>
      </c>
      <c r="J8" s="10" t="str">
        <f t="shared" ca="1" si="0"/>
        <v>G</v>
      </c>
    </row>
    <row r="9" spans="1:10" ht="15" customHeight="1" x14ac:dyDescent="0.35">
      <c r="A9" s="1" t="s">
        <v>8</v>
      </c>
      <c r="B9" s="1" t="s">
        <v>19</v>
      </c>
      <c r="C9" s="1"/>
      <c r="D9" s="1"/>
      <c r="E9" s="1"/>
      <c r="F9" s="3">
        <v>43495</v>
      </c>
      <c r="G9" s="3">
        <v>43499</v>
      </c>
      <c r="H9" s="1" t="s">
        <v>17</v>
      </c>
      <c r="I9" s="4">
        <v>0</v>
      </c>
      <c r="J9" s="10" t="str">
        <f t="shared" ca="1" si="0"/>
        <v>G</v>
      </c>
    </row>
    <row r="10" spans="1:10" ht="15" customHeight="1" x14ac:dyDescent="0.35">
      <c r="A10" s="1" t="s">
        <v>9</v>
      </c>
      <c r="B10" s="1" t="s">
        <v>45</v>
      </c>
      <c r="C10" s="1"/>
      <c r="D10" s="1"/>
      <c r="E10" s="1"/>
      <c r="F10" s="3">
        <v>43504</v>
      </c>
      <c r="G10" s="3">
        <v>43508</v>
      </c>
      <c r="H10" s="1" t="s">
        <v>17</v>
      </c>
      <c r="I10" s="4">
        <v>0</v>
      </c>
      <c r="J10" s="10" t="str">
        <f t="shared" ca="1" si="0"/>
        <v>G</v>
      </c>
    </row>
    <row r="11" spans="1:10" ht="15" customHeight="1" x14ac:dyDescent="0.35">
      <c r="A11" s="1" t="s">
        <v>10</v>
      </c>
      <c r="B11" s="1" t="s">
        <v>48</v>
      </c>
      <c r="C11" s="1"/>
      <c r="D11" s="1"/>
      <c r="E11" s="1"/>
      <c r="F11" s="3">
        <v>43506</v>
      </c>
      <c r="G11" s="3">
        <v>43513</v>
      </c>
      <c r="H11" s="1" t="s">
        <v>17</v>
      </c>
      <c r="I11" s="4">
        <v>0</v>
      </c>
      <c r="J11" s="10" t="str">
        <f t="shared" ca="1" si="0"/>
        <v>G</v>
      </c>
    </row>
    <row r="12" spans="1:10" ht="15" customHeight="1" x14ac:dyDescent="0.35">
      <c r="A12" s="1" t="s">
        <v>56</v>
      </c>
      <c r="B12" s="1" t="s">
        <v>55</v>
      </c>
      <c r="C12" s="1"/>
      <c r="D12" s="1"/>
      <c r="E12" s="1"/>
      <c r="F12" s="3">
        <v>43512</v>
      </c>
      <c r="G12" s="3">
        <v>43520</v>
      </c>
      <c r="H12" s="1" t="s">
        <v>118</v>
      </c>
      <c r="I12" s="4">
        <v>1</v>
      </c>
      <c r="J12" s="10" t="str">
        <f t="shared" ca="1" si="0"/>
        <v>A</v>
      </c>
    </row>
    <row r="13" spans="1:10" ht="15" customHeight="1" x14ac:dyDescent="0.35">
      <c r="A13" s="1" t="s">
        <v>57</v>
      </c>
      <c r="B13" s="1" t="s">
        <v>18</v>
      </c>
      <c r="C13" s="1"/>
      <c r="D13" s="1"/>
      <c r="E13" s="1"/>
      <c r="F13" s="3">
        <v>43519</v>
      </c>
      <c r="G13" s="3">
        <v>43529</v>
      </c>
      <c r="H13" s="1" t="s">
        <v>118</v>
      </c>
      <c r="I13" s="4">
        <v>0</v>
      </c>
      <c r="J13" s="10" t="str">
        <f t="shared" ca="1" si="0"/>
        <v>A</v>
      </c>
    </row>
    <row r="14" spans="1:10" ht="15" customHeight="1" x14ac:dyDescent="0.35">
      <c r="A14" s="1" t="s">
        <v>58</v>
      </c>
      <c r="B14" s="1" t="s">
        <v>50</v>
      </c>
      <c r="C14" s="1"/>
      <c r="D14" s="1"/>
      <c r="E14" s="1"/>
      <c r="F14" s="3">
        <v>43530</v>
      </c>
      <c r="G14" s="3">
        <v>43533</v>
      </c>
      <c r="H14" s="1" t="s">
        <v>118</v>
      </c>
      <c r="I14" s="4">
        <v>0</v>
      </c>
      <c r="J14" s="10" t="str">
        <f t="shared" ca="1" si="0"/>
        <v>A</v>
      </c>
    </row>
    <row r="15" spans="1:10" ht="15" customHeight="1" x14ac:dyDescent="0.35">
      <c r="A15" s="1" t="s">
        <v>59</v>
      </c>
      <c r="B15" s="1" t="s">
        <v>20</v>
      </c>
      <c r="C15" s="1"/>
      <c r="D15" s="1"/>
      <c r="E15" s="1"/>
      <c r="F15" s="3">
        <v>43531</v>
      </c>
      <c r="G15" s="3">
        <v>43536</v>
      </c>
      <c r="H15" s="1" t="s">
        <v>118</v>
      </c>
      <c r="I15" s="4">
        <v>0</v>
      </c>
      <c r="J15" s="10" t="str">
        <f t="shared" ca="1" si="0"/>
        <v>A</v>
      </c>
    </row>
    <row r="16" spans="1:10" ht="15" customHeight="1" x14ac:dyDescent="0.35">
      <c r="A16" s="1" t="s">
        <v>60</v>
      </c>
      <c r="B16" s="1" t="s">
        <v>52</v>
      </c>
      <c r="C16" s="1"/>
      <c r="D16" s="1"/>
      <c r="E16" s="1"/>
      <c r="F16" s="3">
        <v>43537</v>
      </c>
      <c r="G16" s="3">
        <v>43540</v>
      </c>
      <c r="H16" s="1" t="s">
        <v>118</v>
      </c>
      <c r="I16" s="4">
        <v>1</v>
      </c>
      <c r="J16" s="10" t="str">
        <f t="shared" ca="1" si="0"/>
        <v>A</v>
      </c>
    </row>
    <row r="17" spans="1:10" ht="15" customHeight="1" x14ac:dyDescent="0.35">
      <c r="A17" s="1" t="s">
        <v>61</v>
      </c>
      <c r="B17" s="1" t="s">
        <v>41</v>
      </c>
      <c r="C17" s="1"/>
      <c r="D17" s="1"/>
      <c r="E17" s="1"/>
      <c r="F17" s="3">
        <v>43539</v>
      </c>
      <c r="G17" s="3">
        <v>43547</v>
      </c>
      <c r="H17" s="1" t="s">
        <v>118</v>
      </c>
      <c r="I17" s="4">
        <v>1</v>
      </c>
      <c r="J17" s="10" t="str">
        <f t="shared" ca="1" si="0"/>
        <v>A</v>
      </c>
    </row>
    <row r="18" spans="1:10" ht="15" customHeight="1" x14ac:dyDescent="0.35">
      <c r="A18" s="1" t="s">
        <v>62</v>
      </c>
      <c r="B18" s="1" t="s">
        <v>41</v>
      </c>
      <c r="C18" s="1"/>
      <c r="D18" s="1"/>
      <c r="E18" s="1"/>
      <c r="F18" s="3">
        <v>43546</v>
      </c>
      <c r="G18" s="3">
        <v>43550</v>
      </c>
      <c r="H18" s="1" t="s">
        <v>118</v>
      </c>
      <c r="I18" s="4">
        <v>0.57999999999999996</v>
      </c>
      <c r="J18" s="10" t="str">
        <f t="shared" ca="1" si="0"/>
        <v>A</v>
      </c>
    </row>
    <row r="19" spans="1:10" ht="15" customHeight="1" x14ac:dyDescent="0.35">
      <c r="A19" s="1" t="s">
        <v>63</v>
      </c>
      <c r="B19" s="1" t="s">
        <v>53</v>
      </c>
      <c r="C19" s="1"/>
      <c r="D19" s="1"/>
      <c r="E19" s="1"/>
      <c r="F19" s="3">
        <v>43550</v>
      </c>
      <c r="G19" s="3">
        <v>43554</v>
      </c>
      <c r="H19" s="1" t="s">
        <v>118</v>
      </c>
      <c r="I19" s="4">
        <v>0.3</v>
      </c>
      <c r="J19" s="10" t="str">
        <f t="shared" ca="1" si="0"/>
        <v>A</v>
      </c>
    </row>
    <row r="20" spans="1:10" ht="15" customHeight="1" x14ac:dyDescent="0.35">
      <c r="A20" s="1" t="s">
        <v>64</v>
      </c>
      <c r="B20" s="1" t="s">
        <v>41</v>
      </c>
      <c r="C20" s="1"/>
      <c r="D20" s="1"/>
      <c r="E20" s="1"/>
      <c r="F20" s="3">
        <v>43554</v>
      </c>
      <c r="G20" s="3">
        <v>43562</v>
      </c>
      <c r="H20" s="1" t="s">
        <v>118</v>
      </c>
      <c r="I20" s="4">
        <v>0</v>
      </c>
      <c r="J20" s="10" t="str">
        <f t="shared" ca="1" si="0"/>
        <v>A</v>
      </c>
    </row>
    <row r="21" spans="1:10" ht="15" customHeight="1" x14ac:dyDescent="0.35">
      <c r="A21" s="1" t="s">
        <v>65</v>
      </c>
      <c r="B21" s="1" t="s">
        <v>20</v>
      </c>
      <c r="C21" s="1"/>
      <c r="D21" s="1"/>
      <c r="E21" s="1"/>
      <c r="F21" s="3">
        <v>43560</v>
      </c>
      <c r="G21" s="3">
        <v>43563</v>
      </c>
      <c r="H21" s="1" t="s">
        <v>17</v>
      </c>
      <c r="I21" s="4">
        <v>0</v>
      </c>
      <c r="J21" s="10" t="str">
        <f t="shared" ca="1" si="0"/>
        <v>G</v>
      </c>
    </row>
    <row r="22" spans="1:10" ht="15" customHeight="1" x14ac:dyDescent="0.35">
      <c r="A22" s="1" t="s">
        <v>66</v>
      </c>
      <c r="B22" s="1" t="s">
        <v>45</v>
      </c>
      <c r="C22" s="1"/>
      <c r="D22" s="1"/>
      <c r="E22" s="1"/>
      <c r="F22" s="3">
        <v>43562</v>
      </c>
      <c r="G22" s="3">
        <v>43569</v>
      </c>
      <c r="H22" s="1" t="s">
        <v>17</v>
      </c>
      <c r="I22" s="4">
        <v>1</v>
      </c>
      <c r="J22" s="10" t="str">
        <f t="shared" ca="1" si="0"/>
        <v>G</v>
      </c>
    </row>
    <row r="23" spans="1:10" ht="15" customHeight="1" x14ac:dyDescent="0.35">
      <c r="A23" s="1" t="s">
        <v>67</v>
      </c>
      <c r="B23" s="1" t="s">
        <v>46</v>
      </c>
      <c r="C23" s="1"/>
      <c r="D23" s="1"/>
      <c r="E23" s="1"/>
      <c r="F23" s="3">
        <v>43570</v>
      </c>
      <c r="G23" s="3">
        <v>43577</v>
      </c>
      <c r="H23" s="1" t="s">
        <v>16</v>
      </c>
      <c r="I23" s="4">
        <v>0</v>
      </c>
      <c r="J23" s="10" t="str">
        <f t="shared" ca="1" si="0"/>
        <v>R</v>
      </c>
    </row>
    <row r="24" spans="1:10" ht="15" customHeight="1" x14ac:dyDescent="0.35">
      <c r="A24" s="1" t="s">
        <v>68</v>
      </c>
      <c r="B24" s="1" t="s">
        <v>49</v>
      </c>
      <c r="C24" s="1"/>
      <c r="D24" s="1"/>
      <c r="E24" s="1"/>
      <c r="F24" s="3">
        <v>43576</v>
      </c>
      <c r="G24" s="3">
        <v>43579</v>
      </c>
      <c r="H24" s="1" t="s">
        <v>16</v>
      </c>
      <c r="I24" s="4">
        <v>0.69</v>
      </c>
      <c r="J24" s="10" t="str">
        <f t="shared" ca="1" si="0"/>
        <v>R</v>
      </c>
    </row>
    <row r="25" spans="1:10" ht="15" customHeight="1" x14ac:dyDescent="0.35">
      <c r="A25" s="1" t="s">
        <v>69</v>
      </c>
      <c r="B25" s="1" t="s">
        <v>43</v>
      </c>
      <c r="C25" s="1"/>
      <c r="D25" s="1"/>
      <c r="E25" s="1"/>
      <c r="F25" s="3">
        <v>43578</v>
      </c>
      <c r="G25" s="3">
        <v>43580</v>
      </c>
      <c r="H25" s="1" t="s">
        <v>16</v>
      </c>
      <c r="I25" s="4">
        <v>1</v>
      </c>
      <c r="J25" s="10" t="str">
        <f t="shared" ca="1" si="0"/>
        <v>R</v>
      </c>
    </row>
    <row r="26" spans="1:10" ht="15" customHeight="1" x14ac:dyDescent="0.35">
      <c r="A26" s="1" t="s">
        <v>70</v>
      </c>
      <c r="B26" s="1" t="s">
        <v>47</v>
      </c>
      <c r="C26" s="1"/>
      <c r="D26" s="1"/>
      <c r="E26" s="1"/>
      <c r="F26" s="3">
        <v>43579</v>
      </c>
      <c r="G26" s="3">
        <v>43586</v>
      </c>
      <c r="H26" s="1" t="s">
        <v>16</v>
      </c>
      <c r="I26" s="4">
        <v>0.28000000000000003</v>
      </c>
      <c r="J26" s="10" t="str">
        <f t="shared" ca="1" si="0"/>
        <v>R</v>
      </c>
    </row>
    <row r="27" spans="1:10" ht="15" customHeight="1" x14ac:dyDescent="0.35">
      <c r="A27" s="1" t="s">
        <v>71</v>
      </c>
      <c r="B27" s="1" t="s">
        <v>47</v>
      </c>
      <c r="C27" s="1"/>
      <c r="D27" s="1"/>
      <c r="E27" s="1"/>
      <c r="F27" s="3">
        <v>43585</v>
      </c>
      <c r="G27" s="3">
        <v>43591</v>
      </c>
      <c r="H27" s="1" t="s">
        <v>16</v>
      </c>
      <c r="I27" s="4">
        <v>0.42</v>
      </c>
      <c r="J27" s="10" t="str">
        <f t="shared" ca="1" si="0"/>
        <v>R</v>
      </c>
    </row>
    <row r="28" spans="1:10" ht="15" customHeight="1" x14ac:dyDescent="0.35">
      <c r="A28" s="1" t="s">
        <v>72</v>
      </c>
      <c r="B28" s="1" t="s">
        <v>21</v>
      </c>
      <c r="C28" s="1"/>
      <c r="D28" s="1"/>
      <c r="E28" s="1"/>
      <c r="F28" s="3">
        <v>43591</v>
      </c>
      <c r="G28" s="3">
        <v>43597</v>
      </c>
      <c r="H28" s="1" t="s">
        <v>16</v>
      </c>
      <c r="I28" s="4">
        <v>0</v>
      </c>
      <c r="J28" s="10" t="str">
        <f t="shared" ca="1" si="0"/>
        <v>R</v>
      </c>
    </row>
    <row r="29" spans="1:10" ht="15" customHeight="1" x14ac:dyDescent="0.35">
      <c r="A29" s="1" t="s">
        <v>73</v>
      </c>
      <c r="B29" s="1" t="s">
        <v>41</v>
      </c>
      <c r="C29" s="1"/>
      <c r="D29" s="1"/>
      <c r="E29" s="1"/>
      <c r="F29" s="3">
        <v>43596</v>
      </c>
      <c r="G29" s="3">
        <v>43599</v>
      </c>
      <c r="H29" s="1" t="s">
        <v>16</v>
      </c>
      <c r="I29" s="4">
        <v>0.77</v>
      </c>
      <c r="J29" s="10" t="str">
        <f t="shared" ca="1" si="0"/>
        <v>R</v>
      </c>
    </row>
    <row r="30" spans="1:10" ht="15" customHeight="1" x14ac:dyDescent="0.35">
      <c r="A30" s="1" t="s">
        <v>74</v>
      </c>
      <c r="B30" s="1" t="s">
        <v>51</v>
      </c>
      <c r="C30" s="1"/>
      <c r="D30" s="1"/>
      <c r="E30" s="1"/>
      <c r="F30" s="3">
        <v>43598</v>
      </c>
      <c r="G30" s="3">
        <v>43608</v>
      </c>
      <c r="H30" s="1" t="s">
        <v>16</v>
      </c>
      <c r="I30" s="4">
        <v>0</v>
      </c>
      <c r="J30" s="10" t="str">
        <f t="shared" ca="1" si="0"/>
        <v>R</v>
      </c>
    </row>
    <row r="31" spans="1:10" ht="15" customHeight="1" x14ac:dyDescent="0.35">
      <c r="A31" s="1" t="s">
        <v>75</v>
      </c>
      <c r="B31" s="1" t="s">
        <v>55</v>
      </c>
      <c r="C31" s="1"/>
      <c r="D31" s="1"/>
      <c r="E31" s="1"/>
      <c r="F31" s="3">
        <v>43609</v>
      </c>
      <c r="G31" s="3">
        <v>43615</v>
      </c>
      <c r="H31" s="1" t="s">
        <v>16</v>
      </c>
      <c r="I31" s="4">
        <v>1</v>
      </c>
      <c r="J31" s="10" t="str">
        <f t="shared" ca="1" si="0"/>
        <v>R</v>
      </c>
    </row>
    <row r="32" spans="1:10" ht="15" customHeight="1" x14ac:dyDescent="0.35">
      <c r="A32" s="1" t="s">
        <v>76</v>
      </c>
      <c r="B32" s="1" t="s">
        <v>55</v>
      </c>
      <c r="C32" s="1"/>
      <c r="D32" s="1"/>
      <c r="E32" s="1"/>
      <c r="F32" s="3">
        <v>43615</v>
      </c>
      <c r="G32" s="3">
        <v>43618</v>
      </c>
      <c r="H32" s="1" t="s">
        <v>16</v>
      </c>
      <c r="I32" s="4">
        <v>1</v>
      </c>
      <c r="J32" s="10" t="str">
        <f t="shared" ca="1" si="0"/>
        <v>R</v>
      </c>
    </row>
    <row r="33" spans="1:10" ht="15" customHeight="1" x14ac:dyDescent="0.35">
      <c r="A33" s="1" t="s">
        <v>77</v>
      </c>
      <c r="B33" s="1" t="s">
        <v>20</v>
      </c>
      <c r="C33" s="1"/>
      <c r="D33" s="1"/>
      <c r="E33" s="1"/>
      <c r="F33" s="3">
        <v>43618</v>
      </c>
      <c r="G33" s="3">
        <v>43628</v>
      </c>
      <c r="H33" s="1" t="s">
        <v>16</v>
      </c>
      <c r="I33" s="4">
        <v>1</v>
      </c>
      <c r="J33" s="10" t="str">
        <f t="shared" ca="1" si="0"/>
        <v>R</v>
      </c>
    </row>
    <row r="34" spans="1:10" ht="15" customHeight="1" x14ac:dyDescent="0.35">
      <c r="A34" s="1" t="s">
        <v>78</v>
      </c>
      <c r="B34" s="1" t="s">
        <v>18</v>
      </c>
      <c r="C34" s="1"/>
      <c r="D34" s="1"/>
      <c r="E34" s="1"/>
      <c r="F34" s="3">
        <v>43628</v>
      </c>
      <c r="G34" s="3">
        <v>43637</v>
      </c>
      <c r="H34" s="1" t="s">
        <v>16</v>
      </c>
      <c r="I34" s="4">
        <v>0.46</v>
      </c>
      <c r="J34" s="10" t="str">
        <f t="shared" ca="1" si="0"/>
        <v>R</v>
      </c>
    </row>
    <row r="35" spans="1:10" ht="15" customHeight="1" x14ac:dyDescent="0.35">
      <c r="A35" s="1" t="s">
        <v>79</v>
      </c>
      <c r="B35" s="1" t="s">
        <v>54</v>
      </c>
      <c r="C35" s="1"/>
      <c r="D35" s="1"/>
      <c r="E35" s="1"/>
      <c r="F35" s="3">
        <v>43636</v>
      </c>
      <c r="G35" s="3">
        <v>43639</v>
      </c>
      <c r="H35" s="1" t="s">
        <v>16</v>
      </c>
      <c r="I35" s="4">
        <v>0</v>
      </c>
      <c r="J35" s="10" t="str">
        <f t="shared" ca="1" si="0"/>
        <v>R</v>
      </c>
    </row>
    <row r="36" spans="1:10" ht="15" customHeight="1" x14ac:dyDescent="0.35">
      <c r="A36" s="1" t="s">
        <v>80</v>
      </c>
      <c r="B36" s="1" t="s">
        <v>22</v>
      </c>
      <c r="C36" s="1"/>
      <c r="D36" s="1"/>
      <c r="E36" s="1"/>
      <c r="F36" s="3">
        <v>43640</v>
      </c>
      <c r="G36" s="3">
        <v>43646</v>
      </c>
      <c r="H36" s="1" t="s">
        <v>16</v>
      </c>
      <c r="I36" s="4">
        <v>0</v>
      </c>
      <c r="J36" s="10" t="str">
        <f t="shared" ca="1" si="0"/>
        <v>R</v>
      </c>
    </row>
    <row r="37" spans="1:10" ht="15" customHeight="1" x14ac:dyDescent="0.35">
      <c r="A37" s="1" t="s">
        <v>81</v>
      </c>
      <c r="B37" s="1" t="s">
        <v>55</v>
      </c>
      <c r="C37" s="1"/>
      <c r="D37" s="1"/>
      <c r="E37" s="1"/>
      <c r="F37" s="3">
        <v>43647</v>
      </c>
      <c r="G37" s="3">
        <v>43651</v>
      </c>
      <c r="H37" s="1" t="s">
        <v>16</v>
      </c>
      <c r="I37" s="4">
        <v>0.27</v>
      </c>
      <c r="J37" s="10" t="str">
        <f t="shared" ca="1" si="0"/>
        <v>R</v>
      </c>
    </row>
    <row r="38" spans="1:10" ht="15" customHeight="1" x14ac:dyDescent="0.35">
      <c r="A38" s="1" t="s">
        <v>82</v>
      </c>
      <c r="B38" s="1" t="s">
        <v>22</v>
      </c>
      <c r="C38" s="1"/>
      <c r="D38" s="1"/>
      <c r="E38" s="1"/>
      <c r="F38" s="3">
        <v>43649</v>
      </c>
      <c r="G38" s="3">
        <v>43655</v>
      </c>
      <c r="H38" s="1" t="s">
        <v>16</v>
      </c>
      <c r="I38" s="4">
        <v>0</v>
      </c>
      <c r="J38" s="10" t="str">
        <f t="shared" ca="1" si="0"/>
        <v>R</v>
      </c>
    </row>
    <row r="39" spans="1:10" ht="15" customHeight="1" x14ac:dyDescent="0.35">
      <c r="A39" s="1" t="s">
        <v>83</v>
      </c>
      <c r="B39" s="1" t="s">
        <v>19</v>
      </c>
      <c r="C39" s="1"/>
      <c r="D39" s="1"/>
      <c r="E39" s="1"/>
      <c r="F39" s="3">
        <v>43656</v>
      </c>
      <c r="G39" s="3">
        <v>43658</v>
      </c>
      <c r="H39" s="1" t="s">
        <v>16</v>
      </c>
      <c r="I39" s="4">
        <v>0</v>
      </c>
      <c r="J39" s="10" t="str">
        <f t="shared" ca="1" si="0"/>
        <v>R</v>
      </c>
    </row>
    <row r="40" spans="1:10" ht="15" customHeight="1" x14ac:dyDescent="0.35">
      <c r="A40" s="1" t="s">
        <v>84</v>
      </c>
      <c r="B40" s="1" t="s">
        <v>53</v>
      </c>
      <c r="C40" s="1"/>
      <c r="D40" s="1"/>
      <c r="E40" s="1"/>
      <c r="F40" s="3">
        <v>43657</v>
      </c>
      <c r="G40" s="3">
        <v>43659</v>
      </c>
      <c r="H40" s="1" t="s">
        <v>16</v>
      </c>
      <c r="I40" s="4">
        <v>0.72</v>
      </c>
      <c r="J40" s="10" t="str">
        <f t="shared" ca="1" si="0"/>
        <v>R</v>
      </c>
    </row>
    <row r="41" spans="1:10" ht="15" customHeight="1" x14ac:dyDescent="0.35">
      <c r="A41" s="1" t="s">
        <v>85</v>
      </c>
      <c r="B41" s="1" t="s">
        <v>52</v>
      </c>
      <c r="C41" s="1"/>
      <c r="D41" s="1"/>
      <c r="E41" s="1"/>
      <c r="F41" s="3">
        <v>43657</v>
      </c>
      <c r="G41" s="3">
        <v>43664</v>
      </c>
      <c r="H41" s="1" t="s">
        <v>16</v>
      </c>
      <c r="I41" s="4">
        <v>0</v>
      </c>
      <c r="J41" s="10" t="str">
        <f t="shared" ca="1" si="0"/>
        <v>R</v>
      </c>
    </row>
    <row r="42" spans="1:10" ht="15" customHeight="1" x14ac:dyDescent="0.35">
      <c r="A42" s="1" t="s">
        <v>86</v>
      </c>
      <c r="B42" s="1" t="s">
        <v>48</v>
      </c>
      <c r="C42" s="1"/>
      <c r="D42" s="1"/>
      <c r="E42" s="1"/>
      <c r="F42" s="3">
        <v>43662</v>
      </c>
      <c r="G42" s="3">
        <v>43672</v>
      </c>
      <c r="H42" s="1" t="s">
        <v>16</v>
      </c>
      <c r="I42" s="4">
        <v>1</v>
      </c>
      <c r="J42" s="10" t="str">
        <f t="shared" ca="1" si="0"/>
        <v>R</v>
      </c>
    </row>
    <row r="43" spans="1:10" ht="15" customHeight="1" x14ac:dyDescent="0.35">
      <c r="A43" s="1" t="s">
        <v>87</v>
      </c>
      <c r="B43" s="1" t="s">
        <v>22</v>
      </c>
      <c r="C43" s="1"/>
      <c r="D43" s="1"/>
      <c r="E43" s="1"/>
      <c r="F43" s="3">
        <v>43673</v>
      </c>
      <c r="G43" s="3">
        <v>43681</v>
      </c>
      <c r="H43" s="1" t="s">
        <v>16</v>
      </c>
      <c r="I43" s="4">
        <v>0.72</v>
      </c>
      <c r="J43" s="10" t="str">
        <f t="shared" ca="1" si="0"/>
        <v>R</v>
      </c>
    </row>
    <row r="44" spans="1:10" ht="15" customHeight="1" x14ac:dyDescent="0.35">
      <c r="A44" s="1" t="s">
        <v>88</v>
      </c>
      <c r="B44" s="1" t="s">
        <v>55</v>
      </c>
      <c r="C44" s="1"/>
      <c r="D44" s="1"/>
      <c r="E44" s="1"/>
      <c r="F44" s="3">
        <v>43681</v>
      </c>
      <c r="G44" s="3">
        <v>43684</v>
      </c>
      <c r="H44" s="1" t="s">
        <v>16</v>
      </c>
      <c r="I44" s="4">
        <v>0.28999999999999998</v>
      </c>
      <c r="J44" s="10" t="str">
        <f t="shared" ca="1" si="0"/>
        <v>R</v>
      </c>
    </row>
    <row r="45" spans="1:10" ht="15" customHeight="1" x14ac:dyDescent="0.35">
      <c r="A45" s="1" t="s">
        <v>89</v>
      </c>
      <c r="B45" s="1" t="s">
        <v>51</v>
      </c>
      <c r="C45" s="1"/>
      <c r="D45" s="1"/>
      <c r="E45" s="1"/>
      <c r="F45" s="3">
        <v>43684</v>
      </c>
      <c r="G45" s="3">
        <v>43689</v>
      </c>
      <c r="H45" s="1" t="s">
        <v>16</v>
      </c>
      <c r="I45" s="4">
        <v>0</v>
      </c>
      <c r="J45" s="10" t="str">
        <f t="shared" ca="1" si="0"/>
        <v>R</v>
      </c>
    </row>
    <row r="46" spans="1:10" ht="15" customHeight="1" x14ac:dyDescent="0.35">
      <c r="A46" s="1" t="s">
        <v>90</v>
      </c>
      <c r="B46" s="1" t="s">
        <v>50</v>
      </c>
      <c r="C46" s="1"/>
      <c r="D46" s="1"/>
      <c r="E46" s="1"/>
      <c r="F46" s="3">
        <v>43689</v>
      </c>
      <c r="G46" s="3">
        <v>43696</v>
      </c>
      <c r="H46" s="1" t="s">
        <v>16</v>
      </c>
      <c r="I46" s="4">
        <v>0.85</v>
      </c>
      <c r="J46" s="10" t="str">
        <f t="shared" ca="1" si="0"/>
        <v>R</v>
      </c>
    </row>
    <row r="47" spans="1:10" ht="15" customHeight="1" x14ac:dyDescent="0.35">
      <c r="A47" s="1" t="s">
        <v>91</v>
      </c>
      <c r="B47" s="1" t="s">
        <v>22</v>
      </c>
      <c r="C47" s="1"/>
      <c r="D47" s="1"/>
      <c r="E47" s="1"/>
      <c r="F47" s="3">
        <v>43697</v>
      </c>
      <c r="G47" s="3">
        <v>43703</v>
      </c>
      <c r="H47" s="1" t="s">
        <v>16</v>
      </c>
      <c r="I47" s="4">
        <v>1</v>
      </c>
      <c r="J47" s="10" t="str">
        <f t="shared" ca="1" si="0"/>
        <v>R</v>
      </c>
    </row>
    <row r="48" spans="1:10" ht="15" customHeight="1" x14ac:dyDescent="0.35">
      <c r="A48" s="1" t="s">
        <v>92</v>
      </c>
      <c r="B48" s="1" t="s">
        <v>55</v>
      </c>
      <c r="C48" s="1"/>
      <c r="D48" s="1"/>
      <c r="E48" s="1"/>
      <c r="F48" s="3">
        <v>43704</v>
      </c>
      <c r="G48" s="3">
        <v>43713</v>
      </c>
      <c r="H48" s="1" t="s">
        <v>16</v>
      </c>
      <c r="I48" s="4">
        <v>1</v>
      </c>
      <c r="J48" s="10" t="str">
        <f t="shared" ca="1" si="0"/>
        <v>R</v>
      </c>
    </row>
    <row r="49" spans="1:10" ht="15" customHeight="1" x14ac:dyDescent="0.35">
      <c r="A49" s="1" t="s">
        <v>93</v>
      </c>
      <c r="B49" s="1" t="s">
        <v>47</v>
      </c>
      <c r="C49" s="1"/>
      <c r="D49" s="1"/>
      <c r="E49" s="1"/>
      <c r="F49" s="3">
        <v>43713</v>
      </c>
      <c r="G49" s="3">
        <v>43719</v>
      </c>
      <c r="H49" s="1" t="s">
        <v>16</v>
      </c>
      <c r="I49" s="4">
        <v>0</v>
      </c>
      <c r="J49" s="10" t="str">
        <f t="shared" ca="1" si="0"/>
        <v>R</v>
      </c>
    </row>
    <row r="50" spans="1:10" ht="15" customHeight="1" x14ac:dyDescent="0.35">
      <c r="A50" s="1" t="s">
        <v>94</v>
      </c>
      <c r="B50" s="1" t="s">
        <v>19</v>
      </c>
      <c r="C50" s="1"/>
      <c r="D50" s="1"/>
      <c r="E50" s="1"/>
      <c r="F50" s="3">
        <v>43720</v>
      </c>
      <c r="G50" s="3">
        <v>43724</v>
      </c>
      <c r="H50" s="1" t="s">
        <v>16</v>
      </c>
      <c r="I50" s="4">
        <v>0.65</v>
      </c>
      <c r="J50" s="10" t="str">
        <f t="shared" ca="1" si="0"/>
        <v>R</v>
      </c>
    </row>
    <row r="51" spans="1:10" ht="15" customHeight="1" x14ac:dyDescent="0.35">
      <c r="A51" s="1" t="s">
        <v>95</v>
      </c>
      <c r="B51" s="1" t="s">
        <v>44</v>
      </c>
      <c r="C51" s="1"/>
      <c r="D51" s="1"/>
      <c r="E51" s="1"/>
      <c r="F51" s="3">
        <v>43722</v>
      </c>
      <c r="G51" s="3">
        <v>43730</v>
      </c>
      <c r="H51" s="1" t="s">
        <v>16</v>
      </c>
      <c r="I51" s="4">
        <v>1</v>
      </c>
      <c r="J51" s="10" t="str">
        <f t="shared" ca="1" si="0"/>
        <v>R</v>
      </c>
    </row>
    <row r="52" spans="1:10" ht="15" customHeight="1" x14ac:dyDescent="0.35">
      <c r="A52" s="1" t="s">
        <v>96</v>
      </c>
      <c r="B52" s="1" t="s">
        <v>43</v>
      </c>
      <c r="C52" s="1"/>
      <c r="D52" s="1"/>
      <c r="E52" s="1"/>
      <c r="F52" s="3">
        <v>43728</v>
      </c>
      <c r="G52" s="3">
        <v>43737</v>
      </c>
      <c r="H52" s="1" t="s">
        <v>16</v>
      </c>
      <c r="I52" s="4">
        <v>0</v>
      </c>
      <c r="J52" s="10" t="str">
        <f t="shared" ca="1" si="0"/>
        <v>R</v>
      </c>
    </row>
    <row r="53" spans="1:10" ht="15" customHeight="1" x14ac:dyDescent="0.35">
      <c r="A53" s="1" t="s">
        <v>97</v>
      </c>
      <c r="B53" s="1" t="s">
        <v>18</v>
      </c>
      <c r="C53" s="1"/>
      <c r="D53" s="1"/>
      <c r="E53" s="1"/>
      <c r="F53" s="3">
        <v>43736</v>
      </c>
      <c r="G53" s="3">
        <v>43738</v>
      </c>
      <c r="H53" s="1" t="s">
        <v>16</v>
      </c>
      <c r="I53" s="4">
        <v>0.71</v>
      </c>
      <c r="J53" s="10" t="str">
        <f t="shared" ca="1" si="0"/>
        <v>R</v>
      </c>
    </row>
    <row r="54" spans="1:10" ht="15" customHeight="1" x14ac:dyDescent="0.35">
      <c r="A54" s="1" t="s">
        <v>98</v>
      </c>
      <c r="B54" s="1" t="s">
        <v>19</v>
      </c>
      <c r="C54" s="1"/>
      <c r="D54" s="1"/>
      <c r="E54" s="1"/>
      <c r="F54" s="3">
        <v>43737</v>
      </c>
      <c r="G54" s="3">
        <v>43742</v>
      </c>
      <c r="H54" s="1" t="s">
        <v>16</v>
      </c>
      <c r="I54" s="4">
        <v>0.44</v>
      </c>
      <c r="J54" s="10" t="str">
        <f t="shared" ca="1" si="0"/>
        <v>R</v>
      </c>
    </row>
    <row r="55" spans="1:10" ht="15" customHeight="1" x14ac:dyDescent="0.35">
      <c r="A55" s="1" t="s">
        <v>99</v>
      </c>
      <c r="B55" s="1" t="s">
        <v>50</v>
      </c>
      <c r="C55" s="1"/>
      <c r="D55" s="1"/>
      <c r="E55" s="1"/>
      <c r="F55" s="3">
        <v>43742</v>
      </c>
      <c r="G55" s="3">
        <v>43746</v>
      </c>
      <c r="H55" s="1" t="s">
        <v>16</v>
      </c>
      <c r="I55" s="4">
        <v>1</v>
      </c>
      <c r="J55" s="10" t="str">
        <f t="shared" ca="1" si="0"/>
        <v>R</v>
      </c>
    </row>
    <row r="56" spans="1:10" ht="15" customHeight="1" x14ac:dyDescent="0.35">
      <c r="A56" s="1" t="s">
        <v>100</v>
      </c>
      <c r="B56" s="1" t="s">
        <v>55</v>
      </c>
      <c r="C56" s="1"/>
      <c r="D56" s="1"/>
      <c r="E56" s="1"/>
      <c r="F56" s="3">
        <v>43746</v>
      </c>
      <c r="G56" s="3">
        <v>43752</v>
      </c>
      <c r="H56" s="1" t="s">
        <v>16</v>
      </c>
      <c r="I56" s="4">
        <v>0</v>
      </c>
      <c r="J56" s="10" t="str">
        <f t="shared" ca="1" si="0"/>
        <v>R</v>
      </c>
    </row>
    <row r="57" spans="1:10" ht="15" customHeight="1" x14ac:dyDescent="0.35">
      <c r="A57" s="1" t="s">
        <v>101</v>
      </c>
      <c r="B57" s="1" t="s">
        <v>47</v>
      </c>
      <c r="C57" s="1"/>
      <c r="D57" s="1"/>
      <c r="E57" s="1"/>
      <c r="F57" s="3">
        <v>43752</v>
      </c>
      <c r="G57" s="3">
        <v>43754</v>
      </c>
      <c r="H57" s="1" t="s">
        <v>16</v>
      </c>
      <c r="I57" s="4">
        <v>1</v>
      </c>
      <c r="J57" s="10" t="str">
        <f t="shared" ca="1" si="0"/>
        <v>R</v>
      </c>
    </row>
    <row r="58" spans="1:10" ht="15" customHeight="1" x14ac:dyDescent="0.35">
      <c r="A58" s="1" t="s">
        <v>102</v>
      </c>
      <c r="B58" s="1" t="s">
        <v>18</v>
      </c>
      <c r="C58" s="1"/>
      <c r="D58" s="1"/>
      <c r="E58" s="1"/>
      <c r="F58" s="3">
        <v>43752</v>
      </c>
      <c r="G58" s="3">
        <v>43757</v>
      </c>
      <c r="H58" s="1" t="s">
        <v>16</v>
      </c>
      <c r="I58" s="4">
        <v>0.61</v>
      </c>
      <c r="J58" s="10" t="str">
        <f t="shared" ca="1" si="0"/>
        <v>R</v>
      </c>
    </row>
    <row r="59" spans="1:10" ht="15" customHeight="1" x14ac:dyDescent="0.35">
      <c r="A59" s="1" t="s">
        <v>103</v>
      </c>
      <c r="B59" s="1" t="s">
        <v>50</v>
      </c>
      <c r="C59" s="1"/>
      <c r="D59" s="1"/>
      <c r="E59" s="1"/>
      <c r="F59" s="3">
        <v>43757</v>
      </c>
      <c r="G59" s="3">
        <v>43763</v>
      </c>
      <c r="H59" s="1" t="s">
        <v>16</v>
      </c>
      <c r="I59" s="4">
        <v>1</v>
      </c>
      <c r="J59" s="10" t="str">
        <f t="shared" ca="1" si="0"/>
        <v>R</v>
      </c>
    </row>
    <row r="60" spans="1:10" ht="15" customHeight="1" x14ac:dyDescent="0.35">
      <c r="A60" s="1" t="s">
        <v>104</v>
      </c>
      <c r="B60" s="1" t="s">
        <v>19</v>
      </c>
      <c r="C60" s="1"/>
      <c r="D60" s="1"/>
      <c r="E60" s="1"/>
      <c r="F60" s="3">
        <v>43763</v>
      </c>
      <c r="G60" s="3">
        <v>43773</v>
      </c>
      <c r="H60" s="1" t="s">
        <v>16</v>
      </c>
      <c r="I60" s="4">
        <v>0</v>
      </c>
      <c r="J60" s="10" t="str">
        <f t="shared" ca="1" si="0"/>
        <v>R</v>
      </c>
    </row>
    <row r="61" spans="1:10" ht="15" customHeight="1" x14ac:dyDescent="0.35">
      <c r="A61" s="1" t="s">
        <v>105</v>
      </c>
      <c r="B61" s="1" t="s">
        <v>48</v>
      </c>
      <c r="C61" s="1"/>
      <c r="D61" s="1"/>
      <c r="E61" s="1"/>
      <c r="F61" s="3">
        <v>43771</v>
      </c>
      <c r="G61" s="3">
        <v>43781</v>
      </c>
      <c r="H61" s="1" t="s">
        <v>16</v>
      </c>
      <c r="I61" s="4">
        <v>1</v>
      </c>
      <c r="J61" s="10" t="str">
        <f t="shared" ca="1" si="0"/>
        <v>R</v>
      </c>
    </row>
    <row r="62" spans="1:10" ht="15" customHeight="1" x14ac:dyDescent="0.35">
      <c r="A62" s="1" t="s">
        <v>106</v>
      </c>
      <c r="B62" s="1" t="s">
        <v>52</v>
      </c>
      <c r="C62" s="1"/>
      <c r="D62" s="1"/>
      <c r="E62" s="1"/>
      <c r="F62" s="3">
        <v>43779</v>
      </c>
      <c r="G62" s="3">
        <v>43782</v>
      </c>
      <c r="H62" s="1" t="s">
        <v>16</v>
      </c>
      <c r="I62" s="4">
        <v>1</v>
      </c>
      <c r="J62" s="10" t="str">
        <f t="shared" ca="1" si="0"/>
        <v>R</v>
      </c>
    </row>
    <row r="63" spans="1:10" ht="15" customHeight="1" x14ac:dyDescent="0.35">
      <c r="A63" s="1" t="s">
        <v>107</v>
      </c>
      <c r="B63" s="1" t="s">
        <v>21</v>
      </c>
      <c r="C63" s="1"/>
      <c r="D63" s="1"/>
      <c r="E63" s="1"/>
      <c r="F63" s="3">
        <v>43783</v>
      </c>
      <c r="G63" s="3">
        <v>43789</v>
      </c>
      <c r="H63" s="1" t="s">
        <v>16</v>
      </c>
      <c r="I63" s="4">
        <v>0.59</v>
      </c>
      <c r="J63" s="10" t="str">
        <f t="shared" ca="1" si="0"/>
        <v>R</v>
      </c>
    </row>
    <row r="64" spans="1:10" ht="15" customHeight="1" x14ac:dyDescent="0.35">
      <c r="A64" s="1" t="s">
        <v>108</v>
      </c>
      <c r="B64" s="1" t="s">
        <v>20</v>
      </c>
      <c r="C64" s="1"/>
      <c r="D64" s="1"/>
      <c r="E64" s="1"/>
      <c r="F64" s="3">
        <v>43789</v>
      </c>
      <c r="G64" s="3">
        <v>43791</v>
      </c>
      <c r="H64" s="1" t="s">
        <v>16</v>
      </c>
      <c r="I64" s="4">
        <v>0.74</v>
      </c>
      <c r="J64" s="10" t="str">
        <f t="shared" ca="1" si="0"/>
        <v>R</v>
      </c>
    </row>
    <row r="65" spans="1:10" ht="15" customHeight="1" x14ac:dyDescent="0.35">
      <c r="A65" s="1" t="s">
        <v>109</v>
      </c>
      <c r="B65" s="1" t="s">
        <v>45</v>
      </c>
      <c r="C65" s="1"/>
      <c r="D65" s="1"/>
      <c r="E65" s="1"/>
      <c r="F65" s="3">
        <v>43792</v>
      </c>
      <c r="G65" s="3">
        <v>43802</v>
      </c>
      <c r="H65" s="1" t="s">
        <v>16</v>
      </c>
      <c r="I65" s="4">
        <v>0</v>
      </c>
      <c r="J65" s="10" t="str">
        <f t="shared" ca="1" si="0"/>
        <v>R</v>
      </c>
    </row>
    <row r="66" spans="1:10" ht="15" customHeight="1" x14ac:dyDescent="0.35">
      <c r="A66" s="1" t="s">
        <v>110</v>
      </c>
      <c r="B66" s="1" t="s">
        <v>19</v>
      </c>
      <c r="C66" s="1"/>
      <c r="D66" s="1"/>
      <c r="E66" s="1"/>
      <c r="F66" s="3">
        <v>43801</v>
      </c>
      <c r="G66" s="3">
        <v>43808</v>
      </c>
      <c r="H66" s="1" t="s">
        <v>16</v>
      </c>
      <c r="I66" s="4">
        <v>1</v>
      </c>
      <c r="J66" s="10" t="str">
        <f t="shared" ca="1" si="0"/>
        <v>R</v>
      </c>
    </row>
    <row r="67" spans="1:10" ht="15" customHeight="1" x14ac:dyDescent="0.35">
      <c r="A67" s="1" t="s">
        <v>111</v>
      </c>
      <c r="B67" s="1" t="s">
        <v>47</v>
      </c>
      <c r="C67" s="1"/>
      <c r="D67" s="1"/>
      <c r="E67" s="1"/>
      <c r="F67" s="3">
        <v>43807</v>
      </c>
      <c r="G67" s="3">
        <v>43810</v>
      </c>
      <c r="H67" s="1" t="s">
        <v>16</v>
      </c>
      <c r="I67" s="4">
        <v>0.61</v>
      </c>
      <c r="J67" s="10" t="str">
        <f t="shared" ref="J67:J73" ca="1" si="1">IF(H67="Completed","G",IF(H67="In Progress",IF(TODAY()&gt;G67,"A","G"),IF(H67="Pending",IF(TODAY()&gt;F67,"R",""),"")))</f>
        <v>R</v>
      </c>
    </row>
    <row r="68" spans="1:10" ht="15" customHeight="1" x14ac:dyDescent="0.35">
      <c r="A68" s="1" t="s">
        <v>112</v>
      </c>
      <c r="B68" s="1" t="s">
        <v>55</v>
      </c>
      <c r="C68" s="1"/>
      <c r="D68" s="1"/>
      <c r="E68" s="1"/>
      <c r="F68" s="3">
        <v>43808</v>
      </c>
      <c r="G68" s="3">
        <v>43818</v>
      </c>
      <c r="H68" s="1" t="s">
        <v>16</v>
      </c>
      <c r="I68" s="4">
        <v>0.53</v>
      </c>
      <c r="J68" s="10" t="str">
        <f t="shared" ca="1" si="1"/>
        <v>R</v>
      </c>
    </row>
    <row r="69" spans="1:10" ht="15" customHeight="1" x14ac:dyDescent="0.35">
      <c r="A69" s="1" t="s">
        <v>113</v>
      </c>
      <c r="B69" s="1" t="s">
        <v>42</v>
      </c>
      <c r="C69" s="1"/>
      <c r="D69" s="1"/>
      <c r="E69" s="1"/>
      <c r="F69" s="3">
        <v>43818</v>
      </c>
      <c r="G69" s="3">
        <v>43823</v>
      </c>
      <c r="H69" s="1" t="s">
        <v>16</v>
      </c>
      <c r="I69" s="4">
        <v>0</v>
      </c>
      <c r="J69" s="10" t="str">
        <f t="shared" ca="1" si="1"/>
        <v>R</v>
      </c>
    </row>
    <row r="70" spans="1:10" ht="15" customHeight="1" x14ac:dyDescent="0.35">
      <c r="A70" s="1" t="s">
        <v>114</v>
      </c>
      <c r="B70" s="1" t="s">
        <v>50</v>
      </c>
      <c r="C70" s="1"/>
      <c r="D70" s="1"/>
      <c r="E70" s="1"/>
      <c r="F70" s="3">
        <v>43823</v>
      </c>
      <c r="G70" s="3">
        <v>43830</v>
      </c>
      <c r="H70" s="1" t="s">
        <v>16</v>
      </c>
      <c r="I70" s="4">
        <v>0.46</v>
      </c>
      <c r="J70" s="10" t="str">
        <f t="shared" ca="1" si="1"/>
        <v>R</v>
      </c>
    </row>
    <row r="71" spans="1:10" ht="15" customHeight="1" x14ac:dyDescent="0.35">
      <c r="A71" s="1" t="s">
        <v>115</v>
      </c>
      <c r="B71" s="1" t="s">
        <v>41</v>
      </c>
      <c r="C71" s="1"/>
      <c r="D71" s="1"/>
      <c r="E71" s="1"/>
      <c r="F71" s="3">
        <v>43829</v>
      </c>
      <c r="G71" s="3">
        <v>43834</v>
      </c>
      <c r="H71" s="1" t="s">
        <v>16</v>
      </c>
      <c r="I71" s="4">
        <v>0</v>
      </c>
      <c r="J71" s="10" t="str">
        <f t="shared" ca="1" si="1"/>
        <v>R</v>
      </c>
    </row>
    <row r="72" spans="1:10" ht="15" customHeight="1" x14ac:dyDescent="0.35">
      <c r="A72" s="1" t="s">
        <v>116</v>
      </c>
      <c r="B72" s="1" t="s">
        <v>55</v>
      </c>
      <c r="C72" s="1"/>
      <c r="D72" s="1"/>
      <c r="E72" s="1"/>
      <c r="F72" s="3">
        <v>43835</v>
      </c>
      <c r="G72" s="3">
        <v>43841</v>
      </c>
      <c r="H72" s="1" t="s">
        <v>16</v>
      </c>
      <c r="I72" s="4">
        <v>1</v>
      </c>
      <c r="J72" s="10" t="str">
        <f t="shared" ca="1" si="1"/>
        <v>R</v>
      </c>
    </row>
    <row r="73" spans="1:10" ht="15" customHeight="1" x14ac:dyDescent="0.35">
      <c r="A73" s="1" t="s">
        <v>117</v>
      </c>
      <c r="B73" s="1" t="s">
        <v>54</v>
      </c>
      <c r="C73" s="1"/>
      <c r="D73" s="1"/>
      <c r="E73" s="1"/>
      <c r="F73" s="3">
        <v>43842</v>
      </c>
      <c r="G73" s="3">
        <v>43850</v>
      </c>
      <c r="H73" s="1" t="s">
        <v>16</v>
      </c>
      <c r="I73" s="4">
        <v>0</v>
      </c>
      <c r="J73" s="10" t="str">
        <f t="shared" ca="1" si="1"/>
        <v>R</v>
      </c>
    </row>
  </sheetData>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0000000}">
          <x14:formula1>
            <xm:f>Settings!$J$3:$J$6</xm:f>
          </x14:formula1>
          <xm:sqref>H2:H73</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B2:J22"/>
  <sheetViews>
    <sheetView showGridLines="0" workbookViewId="0"/>
  </sheetViews>
  <sheetFormatPr defaultRowHeight="14.5" x14ac:dyDescent="0.35"/>
  <cols>
    <col min="1" max="1" width="6.1796875" customWidth="1"/>
    <col min="2" max="3" width="15.7265625" customWidth="1"/>
    <col min="4" max="4" width="4" customWidth="1"/>
    <col min="5" max="6" width="15.7265625" customWidth="1"/>
    <col min="7" max="7" width="3.453125" customWidth="1"/>
    <col min="8" max="8" width="14.26953125" customWidth="1"/>
    <col min="9" max="9" width="2.453125" customWidth="1"/>
    <col min="10" max="10" width="14.26953125" customWidth="1"/>
  </cols>
  <sheetData>
    <row r="2" spans="2:10" ht="15" customHeight="1" x14ac:dyDescent="0.35">
      <c r="B2" s="2" t="s">
        <v>23</v>
      </c>
      <c r="C2" s="2" t="s">
        <v>30</v>
      </c>
      <c r="E2" s="2" t="s">
        <v>30</v>
      </c>
      <c r="F2" s="2" t="s">
        <v>34</v>
      </c>
      <c r="H2" s="2" t="s">
        <v>40</v>
      </c>
      <c r="J2" s="2" t="s">
        <v>14</v>
      </c>
    </row>
    <row r="3" spans="2:10" ht="15" customHeight="1" x14ac:dyDescent="0.35">
      <c r="B3" s="1" t="s">
        <v>24</v>
      </c>
      <c r="C3" s="1" t="s">
        <v>31</v>
      </c>
      <c r="E3" s="5" t="s">
        <v>35</v>
      </c>
      <c r="F3" s="3">
        <v>43766</v>
      </c>
      <c r="H3" s="1" t="s">
        <v>18</v>
      </c>
      <c r="J3" s="1" t="s">
        <v>17</v>
      </c>
    </row>
    <row r="4" spans="2:10" ht="15" customHeight="1" x14ac:dyDescent="0.35">
      <c r="B4" s="1" t="s">
        <v>25</v>
      </c>
      <c r="C4" s="1" t="s">
        <v>32</v>
      </c>
      <c r="E4" s="1" t="s">
        <v>36</v>
      </c>
      <c r="F4" s="3">
        <v>43814</v>
      </c>
      <c r="H4" s="1" t="s">
        <v>19</v>
      </c>
      <c r="J4" s="1" t="s">
        <v>16</v>
      </c>
    </row>
    <row r="5" spans="2:10" ht="15" customHeight="1" x14ac:dyDescent="0.35">
      <c r="B5" s="1" t="s">
        <v>26</v>
      </c>
      <c r="C5" s="1" t="s">
        <v>32</v>
      </c>
      <c r="E5" s="1"/>
      <c r="F5" s="3">
        <v>43475</v>
      </c>
      <c r="H5" s="1" t="s">
        <v>20</v>
      </c>
      <c r="J5" s="1" t="s">
        <v>118</v>
      </c>
    </row>
    <row r="6" spans="2:10" ht="15" customHeight="1" x14ac:dyDescent="0.35">
      <c r="B6" s="1" t="s">
        <v>27</v>
      </c>
      <c r="C6" s="1" t="s">
        <v>32</v>
      </c>
      <c r="E6" s="1"/>
      <c r="F6" s="3">
        <v>43500</v>
      </c>
      <c r="H6" s="1" t="s">
        <v>21</v>
      </c>
      <c r="J6" s="1"/>
    </row>
    <row r="7" spans="2:10" ht="15" customHeight="1" x14ac:dyDescent="0.35">
      <c r="B7" s="1" t="s">
        <v>28</v>
      </c>
      <c r="C7" s="1" t="s">
        <v>32</v>
      </c>
      <c r="E7" s="1"/>
      <c r="F7" s="3"/>
      <c r="H7" s="1" t="s">
        <v>22</v>
      </c>
      <c r="J7" s="1"/>
    </row>
    <row r="8" spans="2:10" ht="15" customHeight="1" x14ac:dyDescent="0.35">
      <c r="B8" s="1" t="s">
        <v>29</v>
      </c>
      <c r="C8" s="1" t="s">
        <v>32</v>
      </c>
      <c r="E8" s="1"/>
      <c r="F8" s="3"/>
      <c r="H8" s="1" t="s">
        <v>41</v>
      </c>
      <c r="J8" s="1"/>
    </row>
    <row r="9" spans="2:10" ht="15" customHeight="1" x14ac:dyDescent="0.35">
      <c r="B9" s="1" t="s">
        <v>33</v>
      </c>
      <c r="C9" s="1" t="s">
        <v>31</v>
      </c>
      <c r="E9" s="1"/>
      <c r="F9" s="3"/>
      <c r="H9" s="1" t="s">
        <v>42</v>
      </c>
    </row>
    <row r="10" spans="2:10" x14ac:dyDescent="0.35">
      <c r="H10" s="1" t="s">
        <v>43</v>
      </c>
    </row>
    <row r="11" spans="2:10" x14ac:dyDescent="0.35">
      <c r="H11" s="1" t="s">
        <v>44</v>
      </c>
    </row>
    <row r="12" spans="2:10" x14ac:dyDescent="0.35">
      <c r="H12" s="1" t="s">
        <v>45</v>
      </c>
    </row>
    <row r="13" spans="2:10" x14ac:dyDescent="0.35">
      <c r="H13" s="1" t="s">
        <v>46</v>
      </c>
    </row>
    <row r="14" spans="2:10" x14ac:dyDescent="0.35">
      <c r="H14" s="1" t="s">
        <v>47</v>
      </c>
    </row>
    <row r="15" spans="2:10" x14ac:dyDescent="0.35">
      <c r="H15" s="1" t="s">
        <v>48</v>
      </c>
    </row>
    <row r="16" spans="2:10" x14ac:dyDescent="0.35">
      <c r="H16" s="1" t="s">
        <v>49</v>
      </c>
    </row>
    <row r="17" spans="8:8" x14ac:dyDescent="0.35">
      <c r="H17" s="1" t="s">
        <v>50</v>
      </c>
    </row>
    <row r="18" spans="8:8" x14ac:dyDescent="0.35">
      <c r="H18" s="1" t="s">
        <v>51</v>
      </c>
    </row>
    <row r="19" spans="8:8" x14ac:dyDescent="0.35">
      <c r="H19" s="1" t="s">
        <v>52</v>
      </c>
    </row>
    <row r="20" spans="8:8" x14ac:dyDescent="0.35">
      <c r="H20" s="1" t="s">
        <v>53</v>
      </c>
    </row>
    <row r="21" spans="8:8" x14ac:dyDescent="0.35">
      <c r="H21" s="1" t="s">
        <v>54</v>
      </c>
    </row>
    <row r="22" spans="8:8" x14ac:dyDescent="0.35">
      <c r="H22" s="1" t="s">
        <v>55</v>
      </c>
    </row>
  </sheetData>
  <dataValidations count="1">
    <dataValidation type="list" allowBlank="1" showInputMessage="1" showErrorMessage="1" sqref="C3:C9" xr:uid="{00000000-0002-0000-0E00-000000000000}">
      <formula1>"Y,N"</formula1>
    </dataValidation>
  </dataValidation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dimension ref="A1:P32"/>
  <sheetViews>
    <sheetView workbookViewId="0"/>
  </sheetViews>
  <sheetFormatPr defaultRowHeight="14.5" x14ac:dyDescent="0.35"/>
  <cols>
    <col min="1" max="1" width="9.7265625" style="8" bestFit="1" customWidth="1"/>
    <col min="2" max="2" width="9.1796875" style="7"/>
    <col min="3" max="3" width="10.81640625" bestFit="1" customWidth="1"/>
    <col min="5" max="5" width="11" bestFit="1" customWidth="1"/>
    <col min="6" max="6" width="10.81640625" bestFit="1" customWidth="1"/>
    <col min="13" max="13" width="38.7265625" bestFit="1" customWidth="1"/>
  </cols>
  <sheetData>
    <row r="1" spans="1:16" x14ac:dyDescent="0.35">
      <c r="A1">
        <v>84</v>
      </c>
      <c r="B1" s="333" t="s">
        <v>121</v>
      </c>
      <c r="C1" s="333"/>
      <c r="D1" s="333"/>
      <c r="E1" s="333"/>
      <c r="F1" s="333"/>
      <c r="G1" s="333"/>
      <c r="M1" s="12" t="s">
        <v>125</v>
      </c>
    </row>
    <row r="2" spans="1:16" x14ac:dyDescent="0.35">
      <c r="A2" s="8" t="s">
        <v>0</v>
      </c>
      <c r="B2" s="7" t="s">
        <v>119</v>
      </c>
      <c r="C2" t="s">
        <v>14</v>
      </c>
      <c r="D2" t="s">
        <v>16</v>
      </c>
      <c r="E2" t="s">
        <v>118</v>
      </c>
      <c r="F2" t="s">
        <v>17</v>
      </c>
      <c r="G2" t="s">
        <v>120</v>
      </c>
    </row>
    <row r="3" spans="1:16" x14ac:dyDescent="0.35">
      <c r="A3" s="8">
        <f>EOMONTH(Data!$F$2,-1)+1+$A$1</f>
        <v>43550</v>
      </c>
      <c r="B3" s="7" t="str">
        <f>IFERROR(INDEX(Data!A:A,MATCH(Support!A3,Data!F:F,0)),"")</f>
        <v>Task 18</v>
      </c>
      <c r="C3" t="str">
        <f>IFERROR(INDEX(Data!H:H,MATCH(Support!A3,Data!F:F,0)),"")</f>
        <v>In Progress</v>
      </c>
      <c r="D3">
        <f t="shared" ref="D3:D32" si="0">COUNTIF($C3,D$2)*(MOD(ROW(),2)+1)</f>
        <v>0</v>
      </c>
      <c r="E3">
        <f t="shared" ref="E3:F32" si="1">COUNTIF($C3,E$2)*(MOD(ROW(),2)+1)</f>
        <v>2</v>
      </c>
      <c r="F3">
        <f t="shared" si="1"/>
        <v>0</v>
      </c>
      <c r="G3">
        <f>SUM(D3:F3)</f>
        <v>2</v>
      </c>
      <c r="M3" t="s">
        <v>120</v>
      </c>
      <c r="N3" t="e">
        <f>SUM(N4:N6)</f>
        <v>#REF!</v>
      </c>
      <c r="O3" t="e">
        <f>M3&amp;CHAR(10)&amp;N3</f>
        <v>#REF!</v>
      </c>
    </row>
    <row r="4" spans="1:16" x14ac:dyDescent="0.35">
      <c r="A4" s="8">
        <f>A3+1</f>
        <v>43551</v>
      </c>
      <c r="B4" s="7" t="str">
        <f>IFERROR(INDEX(Data!A:A,MATCH(Support!A4,Data!F:F,0)),"")</f>
        <v/>
      </c>
      <c r="C4" t="str">
        <f>IFERROR(INDEX(Data!H:H,MATCH(Support!A4,Data!F:F,0)),"")</f>
        <v/>
      </c>
      <c r="D4">
        <f t="shared" si="0"/>
        <v>0</v>
      </c>
      <c r="E4">
        <f t="shared" si="1"/>
        <v>0</v>
      </c>
      <c r="F4">
        <f t="shared" si="1"/>
        <v>0</v>
      </c>
      <c r="G4">
        <f>SUM(D4:F4)</f>
        <v>0</v>
      </c>
      <c r="M4" t="s">
        <v>37</v>
      </c>
      <c r="N4" t="e">
        <f>COUNTIF(#REF!,M4)</f>
        <v>#REF!</v>
      </c>
      <c r="O4" s="9" t="e">
        <f>N4/$N$3</f>
        <v>#REF!</v>
      </c>
    </row>
    <row r="5" spans="1:16" x14ac:dyDescent="0.35">
      <c r="A5" s="8">
        <f t="shared" ref="A5:A32" si="2">A4+1</f>
        <v>43552</v>
      </c>
      <c r="B5" s="7" t="str">
        <f>IFERROR(INDEX(Data!A:A,MATCH(Support!A5,Data!F:F,0)),"")</f>
        <v/>
      </c>
      <c r="C5" t="str">
        <f>IFERROR(INDEX(Data!H:H,MATCH(Support!A5,Data!F:F,0)),"")</f>
        <v/>
      </c>
      <c r="D5">
        <f t="shared" si="0"/>
        <v>0</v>
      </c>
      <c r="E5">
        <f t="shared" si="1"/>
        <v>0</v>
      </c>
      <c r="F5">
        <f t="shared" si="1"/>
        <v>0</v>
      </c>
      <c r="G5">
        <f t="shared" ref="G5:G21" si="3">SUM(D5:F5)</f>
        <v>0</v>
      </c>
      <c r="M5" t="s">
        <v>38</v>
      </c>
      <c r="N5" t="e">
        <f>COUNTIF(#REF!,M5)</f>
        <v>#REF!</v>
      </c>
      <c r="O5" s="9" t="e">
        <f>N5/$N$3</f>
        <v>#REF!</v>
      </c>
    </row>
    <row r="6" spans="1:16" x14ac:dyDescent="0.35">
      <c r="A6" s="8">
        <f t="shared" si="2"/>
        <v>43553</v>
      </c>
      <c r="B6" s="7" t="str">
        <f>IFERROR(INDEX(Data!A:A,MATCH(Support!A6,Data!F:F,0)),"")</f>
        <v/>
      </c>
      <c r="C6" t="str">
        <f>IFERROR(INDEX(Data!H:H,MATCH(Support!A6,Data!F:F,0)),"")</f>
        <v/>
      </c>
      <c r="D6">
        <f t="shared" si="0"/>
        <v>0</v>
      </c>
      <c r="E6">
        <f t="shared" si="1"/>
        <v>0</v>
      </c>
      <c r="F6">
        <f t="shared" si="1"/>
        <v>0</v>
      </c>
      <c r="G6">
        <f t="shared" si="3"/>
        <v>0</v>
      </c>
      <c r="M6" t="s">
        <v>39</v>
      </c>
      <c r="N6" t="e">
        <f>COUNTIF(#REF!,M6)</f>
        <v>#REF!</v>
      </c>
      <c r="O6" s="9" t="e">
        <f>N6/$N$3</f>
        <v>#REF!</v>
      </c>
    </row>
    <row r="7" spans="1:16" x14ac:dyDescent="0.35">
      <c r="A7" s="8">
        <f t="shared" si="2"/>
        <v>43554</v>
      </c>
      <c r="B7" s="7" t="str">
        <f>IFERROR(INDEX(Data!A:A,MATCH(Support!A7,Data!F:F,0)),"")</f>
        <v>Task 19</v>
      </c>
      <c r="C7" t="str">
        <f>IFERROR(INDEX(Data!H:H,MATCH(Support!A7,Data!F:F,0)),"")</f>
        <v>In Progress</v>
      </c>
      <c r="D7">
        <f t="shared" si="0"/>
        <v>0</v>
      </c>
      <c r="E7">
        <f t="shared" si="1"/>
        <v>2</v>
      </c>
      <c r="F7">
        <f t="shared" si="1"/>
        <v>0</v>
      </c>
      <c r="G7">
        <f t="shared" si="3"/>
        <v>2</v>
      </c>
    </row>
    <row r="8" spans="1:16" x14ac:dyDescent="0.35">
      <c r="A8" s="8">
        <f t="shared" si="2"/>
        <v>43555</v>
      </c>
      <c r="B8" s="7" t="str">
        <f>IFERROR(INDEX(Data!A:A,MATCH(Support!A8,Data!F:F,0)),"")</f>
        <v/>
      </c>
      <c r="C8" t="str">
        <f>IFERROR(INDEX(Data!H:H,MATCH(Support!A8,Data!F:F,0)),"")</f>
        <v/>
      </c>
      <c r="D8">
        <f t="shared" si="0"/>
        <v>0</v>
      </c>
      <c r="E8">
        <f t="shared" si="1"/>
        <v>0</v>
      </c>
      <c r="F8">
        <f t="shared" si="1"/>
        <v>0</v>
      </c>
      <c r="G8">
        <f t="shared" si="3"/>
        <v>0</v>
      </c>
    </row>
    <row r="9" spans="1:16" x14ac:dyDescent="0.35">
      <c r="A9" s="8">
        <f t="shared" si="2"/>
        <v>43556</v>
      </c>
      <c r="B9" s="7" t="str">
        <f>IFERROR(INDEX(Data!A:A,MATCH(Support!A9,Data!F:F,0)),"")</f>
        <v/>
      </c>
      <c r="C9" t="str">
        <f>IFERROR(INDEX(Data!H:H,MATCH(Support!A9,Data!F:F,0)),"")</f>
        <v/>
      </c>
      <c r="D9">
        <f t="shared" si="0"/>
        <v>0</v>
      </c>
      <c r="E9">
        <f t="shared" si="1"/>
        <v>0</v>
      </c>
      <c r="F9">
        <f t="shared" si="1"/>
        <v>0</v>
      </c>
      <c r="G9">
        <f t="shared" si="3"/>
        <v>0</v>
      </c>
    </row>
    <row r="10" spans="1:16" x14ac:dyDescent="0.35">
      <c r="A10" s="8">
        <f t="shared" si="2"/>
        <v>43557</v>
      </c>
      <c r="B10" s="7" t="str">
        <f>IFERROR(INDEX(Data!A:A,MATCH(Support!A10,Data!F:F,0)),"")</f>
        <v/>
      </c>
      <c r="C10" t="str">
        <f>IFERROR(INDEX(Data!H:H,MATCH(Support!A10,Data!F:F,0)),"")</f>
        <v/>
      </c>
      <c r="D10">
        <f t="shared" si="0"/>
        <v>0</v>
      </c>
      <c r="E10">
        <f t="shared" si="1"/>
        <v>0</v>
      </c>
      <c r="F10">
        <f t="shared" si="1"/>
        <v>0</v>
      </c>
      <c r="G10">
        <f t="shared" si="3"/>
        <v>0</v>
      </c>
      <c r="M10" s="12" t="s">
        <v>119</v>
      </c>
    </row>
    <row r="11" spans="1:16" x14ac:dyDescent="0.35">
      <c r="A11" s="8">
        <f t="shared" si="2"/>
        <v>43558</v>
      </c>
      <c r="B11" s="7" t="str">
        <f>IFERROR(INDEX(Data!A:A,MATCH(Support!A11,Data!F:F,0)),"")</f>
        <v/>
      </c>
      <c r="C11" t="str">
        <f>IFERROR(INDEX(Data!H:H,MATCH(Support!A11,Data!F:F,0)),"")</f>
        <v/>
      </c>
      <c r="D11">
        <f t="shared" si="0"/>
        <v>0</v>
      </c>
      <c r="E11">
        <f t="shared" si="1"/>
        <v>0</v>
      </c>
      <c r="F11">
        <f t="shared" si="1"/>
        <v>0</v>
      </c>
      <c r="G11">
        <f t="shared" si="3"/>
        <v>0</v>
      </c>
      <c r="M11" t="s">
        <v>120</v>
      </c>
      <c r="N11">
        <f>SUM(N12:N14)</f>
        <v>72</v>
      </c>
      <c r="O11" t="str">
        <f>M11&amp;CHAR(10)&amp;N11</f>
        <v>Total
72</v>
      </c>
    </row>
    <row r="12" spans="1:16" x14ac:dyDescent="0.35">
      <c r="A12" s="8">
        <f t="shared" si="2"/>
        <v>43559</v>
      </c>
      <c r="B12" s="7" t="str">
        <f>IFERROR(INDEX(Data!A:A,MATCH(Support!A12,Data!F:F,0)),"")</f>
        <v/>
      </c>
      <c r="C12" t="str">
        <f>IFERROR(INDEX(Data!H:H,MATCH(Support!A12,Data!F:F,0)),"")</f>
        <v/>
      </c>
      <c r="D12">
        <f t="shared" si="0"/>
        <v>0</v>
      </c>
      <c r="E12">
        <f t="shared" si="1"/>
        <v>0</v>
      </c>
      <c r="F12">
        <f t="shared" si="1"/>
        <v>0</v>
      </c>
      <c r="G12">
        <f t="shared" si="3"/>
        <v>0</v>
      </c>
      <c r="M12" t="s">
        <v>16</v>
      </c>
      <c r="N12">
        <f>COUNTIF(Data!$H:$H,M12)</f>
        <v>51</v>
      </c>
      <c r="O12" s="9">
        <f>N12/$N$11</f>
        <v>0.70833333333333337</v>
      </c>
      <c r="P12" s="9">
        <f>1-O12</f>
        <v>0.29166666666666663</v>
      </c>
    </row>
    <row r="13" spans="1:16" x14ac:dyDescent="0.35">
      <c r="A13" s="8">
        <f t="shared" si="2"/>
        <v>43560</v>
      </c>
      <c r="B13" s="7" t="str">
        <f>IFERROR(INDEX(Data!A:A,MATCH(Support!A13,Data!F:F,0)),"")</f>
        <v>Task 20</v>
      </c>
      <c r="C13" t="str">
        <f>IFERROR(INDEX(Data!H:H,MATCH(Support!A13,Data!F:F,0)),"")</f>
        <v>Completed</v>
      </c>
      <c r="D13">
        <f t="shared" si="0"/>
        <v>0</v>
      </c>
      <c r="E13">
        <f t="shared" si="1"/>
        <v>0</v>
      </c>
      <c r="F13">
        <f t="shared" si="1"/>
        <v>2</v>
      </c>
      <c r="G13">
        <f t="shared" si="3"/>
        <v>2</v>
      </c>
      <c r="M13" t="s">
        <v>118</v>
      </c>
      <c r="N13">
        <f>COUNTIF(Data!$H:$H,M13)</f>
        <v>10</v>
      </c>
      <c r="O13" s="9">
        <f>N13/$N$11</f>
        <v>0.1388888888888889</v>
      </c>
      <c r="P13" s="9">
        <f>1-O13</f>
        <v>0.86111111111111116</v>
      </c>
    </row>
    <row r="14" spans="1:16" x14ac:dyDescent="0.35">
      <c r="A14" s="8">
        <f t="shared" si="2"/>
        <v>43561</v>
      </c>
      <c r="B14" s="7" t="str">
        <f>IFERROR(INDEX(Data!A:A,MATCH(Support!A14,Data!F:F,0)),"")</f>
        <v/>
      </c>
      <c r="C14" t="str">
        <f>IFERROR(INDEX(Data!H:H,MATCH(Support!A14,Data!F:F,0)),"")</f>
        <v/>
      </c>
      <c r="D14">
        <f t="shared" si="0"/>
        <v>0</v>
      </c>
      <c r="E14">
        <f t="shared" si="1"/>
        <v>0</v>
      </c>
      <c r="F14">
        <f t="shared" si="1"/>
        <v>0</v>
      </c>
      <c r="G14">
        <f t="shared" si="3"/>
        <v>0</v>
      </c>
      <c r="M14" t="s">
        <v>17</v>
      </c>
      <c r="N14">
        <f>COUNTIF(Data!$H:$H,M14)</f>
        <v>11</v>
      </c>
      <c r="O14" s="9">
        <f>N14/$N$11</f>
        <v>0.15277777777777779</v>
      </c>
      <c r="P14" s="9">
        <f>1-O14</f>
        <v>0.84722222222222221</v>
      </c>
    </row>
    <row r="15" spans="1:16" x14ac:dyDescent="0.35">
      <c r="A15" s="8">
        <f t="shared" si="2"/>
        <v>43562</v>
      </c>
      <c r="B15" s="7" t="str">
        <f>IFERROR(INDEX(Data!A:A,MATCH(Support!A15,Data!F:F,0)),"")</f>
        <v>Task 21</v>
      </c>
      <c r="C15" t="str">
        <f>IFERROR(INDEX(Data!H:H,MATCH(Support!A15,Data!F:F,0)),"")</f>
        <v>Completed</v>
      </c>
      <c r="D15">
        <f t="shared" si="0"/>
        <v>0</v>
      </c>
      <c r="E15">
        <f t="shared" si="1"/>
        <v>0</v>
      </c>
      <c r="F15">
        <f t="shared" si="1"/>
        <v>2</v>
      </c>
      <c r="G15">
        <f t="shared" si="3"/>
        <v>2</v>
      </c>
    </row>
    <row r="16" spans="1:16" x14ac:dyDescent="0.35">
      <c r="A16" s="8">
        <f t="shared" si="2"/>
        <v>43563</v>
      </c>
      <c r="B16" s="7" t="str">
        <f>IFERROR(INDEX(Data!A:A,MATCH(Support!A16,Data!F:F,0)),"")</f>
        <v/>
      </c>
      <c r="C16" t="str">
        <f>IFERROR(INDEX(Data!H:H,MATCH(Support!A16,Data!F:F,0)),"")</f>
        <v/>
      </c>
      <c r="D16">
        <f t="shared" si="0"/>
        <v>0</v>
      </c>
      <c r="E16">
        <f t="shared" si="1"/>
        <v>0</v>
      </c>
      <c r="F16">
        <f t="shared" si="1"/>
        <v>0</v>
      </c>
      <c r="G16">
        <f t="shared" si="3"/>
        <v>0</v>
      </c>
    </row>
    <row r="17" spans="1:15" x14ac:dyDescent="0.35">
      <c r="A17" s="8">
        <f t="shared" si="2"/>
        <v>43564</v>
      </c>
      <c r="B17" s="7" t="str">
        <f>IFERROR(INDEX(Data!A:A,MATCH(Support!A17,Data!F:F,0)),"")</f>
        <v/>
      </c>
      <c r="C17" t="str">
        <f>IFERROR(INDEX(Data!H:H,MATCH(Support!A17,Data!F:F,0)),"")</f>
        <v/>
      </c>
      <c r="D17">
        <f t="shared" si="0"/>
        <v>0</v>
      </c>
      <c r="E17">
        <f t="shared" si="1"/>
        <v>0</v>
      </c>
      <c r="F17">
        <f t="shared" si="1"/>
        <v>0</v>
      </c>
      <c r="G17">
        <f t="shared" si="3"/>
        <v>0</v>
      </c>
      <c r="M17" t="s">
        <v>127</v>
      </c>
      <c r="N17" s="7" t="str">
        <f ca="1">IF(COUNTIF(Data!J:J,"R")&gt;0,"R",IF(COUNTIF(Data!J:J,"A")&gt;0,"A","G"))</f>
        <v>R</v>
      </c>
    </row>
    <row r="18" spans="1:15" x14ac:dyDescent="0.35">
      <c r="A18" s="8">
        <f t="shared" si="2"/>
        <v>43565</v>
      </c>
      <c r="B18" s="7" t="str">
        <f>IFERROR(INDEX(Data!A:A,MATCH(Support!A18,Data!F:F,0)),"")</f>
        <v/>
      </c>
      <c r="C18" t="str">
        <f>IFERROR(INDEX(Data!H:H,MATCH(Support!A18,Data!F:F,0)),"")</f>
        <v/>
      </c>
      <c r="D18">
        <f t="shared" si="0"/>
        <v>0</v>
      </c>
      <c r="E18">
        <f t="shared" si="1"/>
        <v>0</v>
      </c>
      <c r="F18">
        <f t="shared" si="1"/>
        <v>0</v>
      </c>
      <c r="G18">
        <f t="shared" si="3"/>
        <v>0</v>
      </c>
      <c r="M18" t="s">
        <v>129</v>
      </c>
      <c r="N18" s="7">
        <f ca="1">COUNTIF(Data!J:J,"R")</f>
        <v>51</v>
      </c>
      <c r="O18" s="9">
        <f ca="1">N18/$N$11</f>
        <v>0.70833333333333337</v>
      </c>
    </row>
    <row r="19" spans="1:15" x14ac:dyDescent="0.35">
      <c r="A19" s="8">
        <f t="shared" si="2"/>
        <v>43566</v>
      </c>
      <c r="B19" s="7" t="str">
        <f>IFERROR(INDEX(Data!A:A,MATCH(Support!A19,Data!F:F,0)),"")</f>
        <v/>
      </c>
      <c r="C19" t="str">
        <f>IFERROR(INDEX(Data!H:H,MATCH(Support!A19,Data!F:F,0)),"")</f>
        <v/>
      </c>
      <c r="D19">
        <f t="shared" si="0"/>
        <v>0</v>
      </c>
      <c r="E19">
        <f t="shared" si="1"/>
        <v>0</v>
      </c>
      <c r="F19">
        <f t="shared" si="1"/>
        <v>0</v>
      </c>
      <c r="G19">
        <f t="shared" si="3"/>
        <v>0</v>
      </c>
      <c r="M19" t="s">
        <v>128</v>
      </c>
      <c r="N19" s="7">
        <f ca="1">COUNTIF(Data!J:J,"A")</f>
        <v>10</v>
      </c>
      <c r="O19" s="9">
        <f ca="1">N19/$N$11</f>
        <v>0.1388888888888889</v>
      </c>
    </row>
    <row r="20" spans="1:15" x14ac:dyDescent="0.35">
      <c r="A20" s="8">
        <f t="shared" si="2"/>
        <v>43567</v>
      </c>
      <c r="B20" s="7" t="str">
        <f>IFERROR(INDEX(Data!A:A,MATCH(Support!A20,Data!F:F,0)),"")</f>
        <v/>
      </c>
      <c r="C20" t="str">
        <f>IFERROR(INDEX(Data!H:H,MATCH(Support!A20,Data!F:F,0)),"")</f>
        <v/>
      </c>
      <c r="D20">
        <f t="shared" si="0"/>
        <v>0</v>
      </c>
      <c r="E20">
        <f t="shared" si="1"/>
        <v>0</v>
      </c>
      <c r="F20">
        <f t="shared" si="1"/>
        <v>0</v>
      </c>
      <c r="G20">
        <f t="shared" si="3"/>
        <v>0</v>
      </c>
    </row>
    <row r="21" spans="1:15" x14ac:dyDescent="0.35">
      <c r="A21" s="8">
        <f t="shared" si="2"/>
        <v>43568</v>
      </c>
      <c r="B21" s="7" t="str">
        <f>IFERROR(INDEX(Data!A:A,MATCH(Support!A21,Data!F:F,0)),"")</f>
        <v/>
      </c>
      <c r="C21" t="str">
        <f>IFERROR(INDEX(Data!H:H,MATCH(Support!A21,Data!F:F,0)),"")</f>
        <v/>
      </c>
      <c r="D21">
        <f t="shared" si="0"/>
        <v>0</v>
      </c>
      <c r="E21">
        <f t="shared" si="1"/>
        <v>0</v>
      </c>
      <c r="F21">
        <f t="shared" si="1"/>
        <v>0</v>
      </c>
      <c r="G21">
        <f t="shared" si="3"/>
        <v>0</v>
      </c>
    </row>
    <row r="22" spans="1:15" x14ac:dyDescent="0.35">
      <c r="A22" s="8">
        <f t="shared" si="2"/>
        <v>43569</v>
      </c>
      <c r="B22" s="7" t="str">
        <f>IFERROR(INDEX(Data!A:A,MATCH(Support!A22,Data!F:F,0)),"")</f>
        <v/>
      </c>
      <c r="C22" t="str">
        <f>IFERROR(INDEX(Data!H:H,MATCH(Support!A22,Data!F:F,0)),"")</f>
        <v/>
      </c>
      <c r="D22">
        <f t="shared" si="0"/>
        <v>0</v>
      </c>
      <c r="E22">
        <f t="shared" si="1"/>
        <v>0</v>
      </c>
      <c r="F22">
        <f t="shared" si="1"/>
        <v>0</v>
      </c>
      <c r="G22">
        <f t="shared" ref="G22:G32" si="4">SUM(D22:F22)</f>
        <v>0</v>
      </c>
    </row>
    <row r="23" spans="1:15" x14ac:dyDescent="0.35">
      <c r="A23" s="8">
        <f t="shared" si="2"/>
        <v>43570</v>
      </c>
      <c r="B23" s="7" t="str">
        <f>IFERROR(INDEX(Data!A:A,MATCH(Support!A23,Data!F:F,0)),"")</f>
        <v>Task 22</v>
      </c>
      <c r="C23" t="str">
        <f>IFERROR(INDEX(Data!H:H,MATCH(Support!A23,Data!F:F,0)),"")</f>
        <v>Pending</v>
      </c>
      <c r="D23">
        <f t="shared" si="0"/>
        <v>2</v>
      </c>
      <c r="E23">
        <f t="shared" si="1"/>
        <v>0</v>
      </c>
      <c r="F23">
        <f t="shared" si="1"/>
        <v>0</v>
      </c>
      <c r="G23">
        <f t="shared" si="4"/>
        <v>2</v>
      </c>
      <c r="N23" s="334" t="str">
        <f ca="1">N17</f>
        <v>R</v>
      </c>
      <c r="O23" s="334"/>
    </row>
    <row r="24" spans="1:15" x14ac:dyDescent="0.35">
      <c r="A24" s="8">
        <f t="shared" si="2"/>
        <v>43571</v>
      </c>
      <c r="B24" s="7" t="str">
        <f>IFERROR(INDEX(Data!A:A,MATCH(Support!A24,Data!F:F,0)),"")</f>
        <v/>
      </c>
      <c r="C24" t="str">
        <f>IFERROR(INDEX(Data!H:H,MATCH(Support!A24,Data!F:F,0)),"")</f>
        <v/>
      </c>
      <c r="D24">
        <f t="shared" si="0"/>
        <v>0</v>
      </c>
      <c r="E24">
        <f t="shared" si="1"/>
        <v>0</v>
      </c>
      <c r="F24">
        <f t="shared" si="1"/>
        <v>0</v>
      </c>
      <c r="G24">
        <f t="shared" si="4"/>
        <v>0</v>
      </c>
      <c r="N24" s="334"/>
      <c r="O24" s="334"/>
    </row>
    <row r="25" spans="1:15" x14ac:dyDescent="0.35">
      <c r="A25" s="8">
        <f t="shared" si="2"/>
        <v>43572</v>
      </c>
      <c r="B25" s="7" t="str">
        <f>IFERROR(INDEX(Data!A:A,MATCH(Support!A25,Data!F:F,0)),"")</f>
        <v/>
      </c>
      <c r="C25" t="str">
        <f>IFERROR(INDEX(Data!H:H,MATCH(Support!A25,Data!F:F,0)),"")</f>
        <v/>
      </c>
      <c r="D25">
        <f t="shared" si="0"/>
        <v>0</v>
      </c>
      <c r="E25">
        <f t="shared" si="1"/>
        <v>0</v>
      </c>
      <c r="F25">
        <f t="shared" si="1"/>
        <v>0</v>
      </c>
      <c r="G25">
        <f t="shared" si="4"/>
        <v>0</v>
      </c>
      <c r="N25" s="334"/>
      <c r="O25" s="334"/>
    </row>
    <row r="26" spans="1:15" x14ac:dyDescent="0.35">
      <c r="A26" s="8">
        <f t="shared" si="2"/>
        <v>43573</v>
      </c>
      <c r="B26" s="7" t="str">
        <f>IFERROR(INDEX(Data!A:A,MATCH(Support!A26,Data!F:F,0)),"")</f>
        <v/>
      </c>
      <c r="C26" t="str">
        <f>IFERROR(INDEX(Data!H:H,MATCH(Support!A26,Data!F:F,0)),"")</f>
        <v/>
      </c>
      <c r="D26">
        <f t="shared" si="0"/>
        <v>0</v>
      </c>
      <c r="E26">
        <f t="shared" si="1"/>
        <v>0</v>
      </c>
      <c r="F26">
        <f t="shared" si="1"/>
        <v>0</v>
      </c>
      <c r="G26">
        <f t="shared" si="4"/>
        <v>0</v>
      </c>
      <c r="N26" s="334"/>
      <c r="O26" s="334"/>
    </row>
    <row r="27" spans="1:15" x14ac:dyDescent="0.35">
      <c r="A27" s="8">
        <f t="shared" si="2"/>
        <v>43574</v>
      </c>
      <c r="B27" s="7" t="str">
        <f>IFERROR(INDEX(Data!A:A,MATCH(Support!A27,Data!F:F,0)),"")</f>
        <v/>
      </c>
      <c r="C27" t="str">
        <f>IFERROR(INDEX(Data!H:H,MATCH(Support!A27,Data!F:F,0)),"")</f>
        <v/>
      </c>
      <c r="D27">
        <f t="shared" si="0"/>
        <v>0</v>
      </c>
      <c r="E27">
        <f t="shared" si="1"/>
        <v>0</v>
      </c>
      <c r="F27">
        <f t="shared" si="1"/>
        <v>0</v>
      </c>
      <c r="G27">
        <f t="shared" si="4"/>
        <v>0</v>
      </c>
    </row>
    <row r="28" spans="1:15" x14ac:dyDescent="0.35">
      <c r="A28" s="8">
        <f t="shared" si="2"/>
        <v>43575</v>
      </c>
      <c r="B28" s="7" t="str">
        <f>IFERROR(INDEX(Data!A:A,MATCH(Support!A28,Data!F:F,0)),"")</f>
        <v/>
      </c>
      <c r="C28" t="str">
        <f>IFERROR(INDEX(Data!H:H,MATCH(Support!A28,Data!F:F,0)),"")</f>
        <v/>
      </c>
      <c r="D28">
        <f t="shared" si="0"/>
        <v>0</v>
      </c>
      <c r="E28">
        <f t="shared" si="1"/>
        <v>0</v>
      </c>
      <c r="F28">
        <f t="shared" si="1"/>
        <v>0</v>
      </c>
      <c r="G28">
        <f t="shared" si="4"/>
        <v>0</v>
      </c>
    </row>
    <row r="29" spans="1:15" x14ac:dyDescent="0.35">
      <c r="A29" s="8">
        <f t="shared" si="2"/>
        <v>43576</v>
      </c>
      <c r="B29" s="7" t="str">
        <f>IFERROR(INDEX(Data!A:A,MATCH(Support!A29,Data!F:F,0)),"")</f>
        <v>Task 23</v>
      </c>
      <c r="C29" t="str">
        <f>IFERROR(INDEX(Data!H:H,MATCH(Support!A29,Data!F:F,0)),"")</f>
        <v>Pending</v>
      </c>
      <c r="D29">
        <f t="shared" si="0"/>
        <v>2</v>
      </c>
      <c r="E29">
        <f t="shared" si="1"/>
        <v>0</v>
      </c>
      <c r="F29">
        <f t="shared" si="1"/>
        <v>0</v>
      </c>
      <c r="G29">
        <f t="shared" si="4"/>
        <v>2</v>
      </c>
    </row>
    <row r="30" spans="1:15" x14ac:dyDescent="0.35">
      <c r="A30" s="8">
        <f t="shared" si="2"/>
        <v>43577</v>
      </c>
      <c r="B30" s="7" t="str">
        <f>IFERROR(INDEX(Data!A:A,MATCH(Support!A30,Data!F:F,0)),"")</f>
        <v/>
      </c>
      <c r="C30" t="str">
        <f>IFERROR(INDEX(Data!H:H,MATCH(Support!A30,Data!F:F,0)),"")</f>
        <v/>
      </c>
      <c r="D30">
        <f t="shared" si="0"/>
        <v>0</v>
      </c>
      <c r="E30">
        <f t="shared" si="1"/>
        <v>0</v>
      </c>
      <c r="F30">
        <f t="shared" si="1"/>
        <v>0</v>
      </c>
      <c r="G30">
        <f t="shared" si="4"/>
        <v>0</v>
      </c>
    </row>
    <row r="31" spans="1:15" x14ac:dyDescent="0.35">
      <c r="A31" s="8">
        <f t="shared" si="2"/>
        <v>43578</v>
      </c>
      <c r="B31" s="7" t="str">
        <f>IFERROR(INDEX(Data!A:A,MATCH(Support!A31,Data!F:F,0)),"")</f>
        <v>Task 24</v>
      </c>
      <c r="C31" t="str">
        <f>IFERROR(INDEX(Data!H:H,MATCH(Support!A31,Data!F:F,0)),"")</f>
        <v>Pending</v>
      </c>
      <c r="D31">
        <f t="shared" si="0"/>
        <v>2</v>
      </c>
      <c r="E31">
        <f t="shared" si="1"/>
        <v>0</v>
      </c>
      <c r="F31">
        <f t="shared" si="1"/>
        <v>0</v>
      </c>
      <c r="G31">
        <f t="shared" si="4"/>
        <v>2</v>
      </c>
    </row>
    <row r="32" spans="1:15" x14ac:dyDescent="0.35">
      <c r="A32" s="8">
        <f t="shared" si="2"/>
        <v>43579</v>
      </c>
      <c r="B32" s="7" t="str">
        <f>IFERROR(INDEX(Data!A:A,MATCH(Support!A32,Data!F:F,0)),"")</f>
        <v>Task 25</v>
      </c>
      <c r="C32" t="str">
        <f>IFERROR(INDEX(Data!H:H,MATCH(Support!A32,Data!F:F,0)),"")</f>
        <v>Pending</v>
      </c>
      <c r="D32">
        <f t="shared" si="0"/>
        <v>1</v>
      </c>
      <c r="E32">
        <f t="shared" si="1"/>
        <v>0</v>
      </c>
      <c r="F32">
        <f t="shared" si="1"/>
        <v>0</v>
      </c>
      <c r="G32">
        <f t="shared" si="4"/>
        <v>1</v>
      </c>
    </row>
  </sheetData>
  <mergeCells count="2">
    <mergeCell ref="B1:G1"/>
    <mergeCell ref="N23:O26"/>
  </mergeCells>
  <conditionalFormatting sqref="N23">
    <cfRule type="cellIs" dxfId="2" priority="1" operator="equal">
      <formula>"G"</formula>
    </cfRule>
    <cfRule type="cellIs" dxfId="1" priority="2" operator="equal">
      <formula>"A"</formula>
    </cfRule>
    <cfRule type="cellIs" dxfId="0" priority="3" operator="equal">
      <formula>"R"</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FFCA9A4D734914B9454B1B6149E55C6" ma:contentTypeVersion="3" ma:contentTypeDescription="Create a new document." ma:contentTypeScope="" ma:versionID="4fa869665bb039de1b00c0a8ba30295a">
  <xsd:schema xmlns:xsd="http://www.w3.org/2001/XMLSchema" xmlns:xs="http://www.w3.org/2001/XMLSchema" xmlns:p="http://schemas.microsoft.com/office/2006/metadata/properties" xmlns:ns2="b41b4a84-9209-4cda-b712-a63f475acec1" targetNamespace="http://schemas.microsoft.com/office/2006/metadata/properties" ma:root="true" ma:fieldsID="eda52b5b1607839c245e9b28c91b026b" ns2:_="">
    <xsd:import namespace="b41b4a84-9209-4cda-b712-a63f475acec1"/>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41b4a84-9209-4cda-b712-a63f475acec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6558384-9B33-4A78-9B3E-2CAA538A338C}">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E0F7A165-F96D-4B4A-89A1-D0362BEC6F25}">
  <ds:schemaRefs>
    <ds:schemaRef ds:uri="http://schemas.microsoft.com/sharepoint/v3/contenttype/forms"/>
  </ds:schemaRefs>
</ds:datastoreItem>
</file>

<file path=customXml/itemProps3.xml><?xml version="1.0" encoding="utf-8"?>
<ds:datastoreItem xmlns:ds="http://schemas.openxmlformats.org/officeDocument/2006/customXml" ds:itemID="{1F1EC181-BBEB-4F3D-997C-7D4F2A48F72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41b4a84-9209-4cda-b712-a63f475acec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vt:i4>
      </vt:variant>
    </vt:vector>
  </HeadingPairs>
  <TitlesOfParts>
    <vt:vector size="19" baseType="lpstr">
      <vt:lpstr>Mapping</vt:lpstr>
      <vt:lpstr>Dashboard</vt:lpstr>
      <vt:lpstr>Intro</vt:lpstr>
      <vt:lpstr>Step 1</vt:lpstr>
      <vt:lpstr>Step 2</vt:lpstr>
      <vt:lpstr>Step 3</vt:lpstr>
      <vt:lpstr>Step 4</vt:lpstr>
      <vt:lpstr>Step 5</vt:lpstr>
      <vt:lpstr>Cost</vt:lpstr>
      <vt:lpstr>Other Issues</vt:lpstr>
      <vt:lpstr>Assesment</vt:lpstr>
      <vt:lpstr>Sheet1</vt:lpstr>
      <vt:lpstr>Sheet2</vt:lpstr>
      <vt:lpstr>Sheet3</vt:lpstr>
      <vt:lpstr>Conclusion</vt:lpstr>
      <vt:lpstr>Data</vt:lpstr>
      <vt:lpstr>Settings</vt:lpstr>
      <vt:lpstr>Support</vt:lpstr>
      <vt:lpstr>'Other Issues'!_Hlk503774654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Priyendra Kumar</dc:creator>
  <cp:lastModifiedBy>Ashish Gupta</cp:lastModifiedBy>
  <dcterms:created xsi:type="dcterms:W3CDTF">2019-09-18T08:51:50Z</dcterms:created>
  <dcterms:modified xsi:type="dcterms:W3CDTF">2025-08-02T05:41:26Z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0x010100BFFCA9A4D734914B9454B1B6149E55C6</vt:lpwstr>
  </property>
</Properties>
</file>