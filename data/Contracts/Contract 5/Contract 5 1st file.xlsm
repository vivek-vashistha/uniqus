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hishGupta\OneDrive - Uniqus Consultech Inc\Clients-Ashish-Gupta\WNS\AI\"/>
    </mc:Choice>
  </mc:AlternateContent>
  <xr:revisionPtr revIDLastSave="0" documentId="13_ncr:1_{D636C20A-17F0-40E0-A170-31A07BBC7D03}" xr6:coauthVersionLast="47" xr6:coauthVersionMax="47" xr10:uidLastSave="{00000000-0000-0000-0000-000000000000}"/>
  <bookViews>
    <workbookView xWindow="-110" yWindow="-110" windowWidth="19420" windowHeight="10300" firstSheet="5" activeTab="10" xr2:uid="{00000000-000D-0000-FFFF-FFFF00000000}"/>
  </bookViews>
  <sheets>
    <sheet name="Mapping" sheetId="33" r:id="rId1"/>
    <sheet name="Dashboard" sheetId="1" r:id="rId2"/>
    <sheet name="Intro" sheetId="23" r:id="rId3"/>
    <sheet name="Step 1" sheetId="24" r:id="rId4"/>
    <sheet name="Step 2" sheetId="25" r:id="rId5"/>
    <sheet name="Step 3" sheetId="26" r:id="rId6"/>
    <sheet name="Step 4" sheetId="27" r:id="rId7"/>
    <sheet name="Step 5" sheetId="28" r:id="rId8"/>
    <sheet name="Cost" sheetId="29" r:id="rId9"/>
    <sheet name="Other Issues" sheetId="30" state="veryHidden" r:id="rId10"/>
    <sheet name="Assesment" sheetId="32" r:id="rId11"/>
    <sheet name="Conclusion" sheetId="34" r:id="rId12"/>
    <sheet name="Data" sheetId="7" state="hidden" r:id="rId13"/>
    <sheet name="Settings" sheetId="8" state="hidden" r:id="rId14"/>
    <sheet name="Support" sheetId="10" state="hidden" r:id="rId15"/>
  </sheets>
  <definedNames>
    <definedName name="_xlnm._FilterDatabase" localSheetId="1" hidden="1">Dashboard!$D$9:$F$11</definedName>
    <definedName name="_xlnm._FilterDatabase" localSheetId="12" hidden="1">Data!$A$1:$I$73</definedName>
    <definedName name="_xlnm._FilterDatabase" localSheetId="4" hidden="1">'Step 2'!$D$22:$H$30</definedName>
    <definedName name="_xlnm._FilterDatabase" localSheetId="7" hidden="1">'Step 5'!$D$16:$H$20</definedName>
    <definedName name="_Hlk503774654" localSheetId="9">'Other Issues'!$D$10</definedName>
    <definedName name="CBB">OFFSET(Mapping!$D$2,0,0,COUNTA(Mapping!$D:$D),1)</definedName>
    <definedName name="Yes_No">OFFSET(Mapping!$A$2,0,0,COUNTA(Mapping!$A:$A),1)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4" i="26" l="1"/>
  <c r="E17" i="34" l="1" a="1"/>
  <c r="E17" i="34" s="1"/>
  <c r="E16" i="34" a="1"/>
  <c r="E16" i="34" s="1"/>
  <c r="E13" i="34" a="1"/>
  <c r="E13" i="34" s="1"/>
  <c r="E12" i="34" a="1"/>
  <c r="E12" i="34" s="1"/>
  <c r="E11" i="34" a="1"/>
  <c r="E11" i="34" s="1"/>
  <c r="E10" i="34" a="1"/>
  <c r="E10" i="34" s="1"/>
  <c r="D45" i="26"/>
  <c r="D43" i="26"/>
  <c r="D42" i="26"/>
  <c r="E27" i="26"/>
  <c r="E26" i="26"/>
  <c r="E25" i="26"/>
  <c r="E24" i="26"/>
  <c r="F50" i="26" l="1"/>
  <c r="F49" i="26"/>
  <c r="F48" i="26"/>
  <c r="F47" i="26"/>
  <c r="F46" i="26"/>
  <c r="F45" i="26"/>
  <c r="F44" i="26"/>
  <c r="F43" i="26"/>
  <c r="F42" i="26"/>
  <c r="E7" i="34" a="1"/>
  <c r="E7" i="34" s="1"/>
  <c r="E4" i="34" a="1"/>
  <c r="E4" i="34" s="1"/>
  <c r="D50" i="26"/>
  <c r="D49" i="26"/>
  <c r="D48" i="26"/>
  <c r="D47" i="26"/>
  <c r="D46" i="26"/>
  <c r="E32" i="26"/>
  <c r="E31" i="26"/>
  <c r="E30" i="26"/>
  <c r="E29" i="26"/>
  <c r="E28" i="26"/>
  <c r="G23" i="25" l="1"/>
  <c r="H20" i="28"/>
  <c r="E23" i="34" s="1"/>
  <c r="H19" i="28"/>
  <c r="E22" i="34" s="1"/>
  <c r="H18" i="28"/>
  <c r="E21" i="34" s="1"/>
  <c r="H17" i="28"/>
  <c r="E20" i="34" s="1"/>
  <c r="G26" i="25"/>
  <c r="G25" i="25"/>
  <c r="D29" i="27" s="1"/>
  <c r="G24" i="25"/>
  <c r="E21" i="27" l="1"/>
  <c r="I22" i="28"/>
  <c r="D26" i="24"/>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3" i="7"/>
  <c r="J4" i="7"/>
  <c r="J2" i="7"/>
  <c r="N13" i="10"/>
  <c r="N14" i="10"/>
  <c r="N12" i="10"/>
  <c r="N5" i="10"/>
  <c r="N6" i="10"/>
  <c r="N4" i="10"/>
  <c r="N3" i="10" l="1"/>
  <c r="O3" i="10" s="1"/>
  <c r="N19" i="10"/>
  <c r="N18" i="10"/>
  <c r="N17" i="10"/>
  <c r="N11" i="10"/>
  <c r="O12" i="10" l="1"/>
  <c r="O11" i="10"/>
  <c r="O5" i="10"/>
  <c r="O6" i="10"/>
  <c r="O4" i="10"/>
  <c r="N23" i="10"/>
  <c r="O18" i="10"/>
  <c r="O19" i="10"/>
  <c r="O14" i="10"/>
  <c r="P14" i="10" s="1"/>
  <c r="O13" i="10"/>
  <c r="P13" i="10" s="1"/>
  <c r="P12" i="10" l="1"/>
  <c r="A3" i="10"/>
  <c r="A4" i="10" s="1"/>
  <c r="C4" i="10" l="1"/>
  <c r="E4" i="10" s="1"/>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B4" i="10"/>
  <c r="C3" i="10"/>
  <c r="F3" i="10" s="1"/>
  <c r="B3" i="10"/>
  <c r="F4" i="10" l="1"/>
  <c r="D4" i="10"/>
  <c r="D3" i="10"/>
  <c r="E3" i="10"/>
  <c r="G4" i="10" l="1"/>
  <c r="G3" i="10"/>
  <c r="C5" i="10" l="1"/>
  <c r="B5" i="10"/>
  <c r="B6" i="10" l="1"/>
  <c r="C6" i="10"/>
  <c r="F5" i="10"/>
  <c r="D5" i="10"/>
  <c r="E5" i="10"/>
  <c r="F6" i="10" l="1"/>
  <c r="D6" i="10"/>
  <c r="E6" i="10"/>
  <c r="G5" i="10"/>
  <c r="B7" i="10"/>
  <c r="C7" i="10"/>
  <c r="B8" i="10" l="1"/>
  <c r="C8" i="10"/>
  <c r="D7" i="10"/>
  <c r="E7" i="10"/>
  <c r="F7" i="10"/>
  <c r="G6" i="10"/>
  <c r="G7" i="10" l="1"/>
  <c r="D8" i="10"/>
  <c r="E8" i="10"/>
  <c r="F8" i="10"/>
  <c r="B9" i="10"/>
  <c r="C9" i="10"/>
  <c r="B10" i="10" l="1"/>
  <c r="C10" i="10"/>
  <c r="F9" i="10"/>
  <c r="D9" i="10"/>
  <c r="E9" i="10"/>
  <c r="G8" i="10"/>
  <c r="C11" i="10" l="1"/>
  <c r="B11" i="10"/>
  <c r="F10" i="10"/>
  <c r="D10" i="10"/>
  <c r="E10" i="10"/>
  <c r="G9" i="10"/>
  <c r="B12" i="10" l="1"/>
  <c r="C12" i="10"/>
  <c r="G10" i="10"/>
  <c r="D11" i="10"/>
  <c r="E11" i="10"/>
  <c r="F11" i="10"/>
  <c r="D12" i="10" l="1"/>
  <c r="E12" i="10"/>
  <c r="F12" i="10"/>
  <c r="G11" i="10"/>
  <c r="C13" i="10"/>
  <c r="B13" i="10"/>
  <c r="E13" i="10" l="1"/>
  <c r="F13" i="10"/>
  <c r="D13" i="10"/>
  <c r="C14" i="10"/>
  <c r="B14" i="10"/>
  <c r="G12" i="10"/>
  <c r="G13" i="10" l="1"/>
  <c r="D14" i="10"/>
  <c r="E14" i="10"/>
  <c r="F14" i="10"/>
  <c r="C15" i="10"/>
  <c r="B15" i="10"/>
  <c r="D15" i="10" l="1"/>
  <c r="E15" i="10"/>
  <c r="F15" i="10"/>
  <c r="B16" i="10"/>
  <c r="C16" i="10"/>
  <c r="G14" i="10"/>
  <c r="B17" i="10" l="1"/>
  <c r="C17" i="10"/>
  <c r="D16" i="10"/>
  <c r="E16" i="10"/>
  <c r="F16" i="10"/>
  <c r="G15" i="10"/>
  <c r="G16" i="10" l="1"/>
  <c r="C18" i="10"/>
  <c r="B18" i="10"/>
  <c r="D17" i="10"/>
  <c r="E17" i="10"/>
  <c r="F17" i="10"/>
  <c r="G17" i="10" l="1"/>
  <c r="B19" i="10"/>
  <c r="C19" i="10"/>
  <c r="E18" i="10"/>
  <c r="F18" i="10"/>
  <c r="D18" i="10"/>
  <c r="B20" i="10" l="1"/>
  <c r="C20" i="10"/>
  <c r="G18" i="10"/>
  <c r="E19" i="10"/>
  <c r="F19" i="10"/>
  <c r="D19" i="10"/>
  <c r="G19" i="10" l="1"/>
  <c r="E20" i="10"/>
  <c r="F20" i="10"/>
  <c r="D20" i="10"/>
  <c r="B21" i="10"/>
  <c r="C21" i="10"/>
  <c r="G20" i="10" l="1"/>
  <c r="B22" i="10"/>
  <c r="C22" i="10"/>
  <c r="F21" i="10"/>
  <c r="D21" i="10"/>
  <c r="E21" i="10"/>
  <c r="E22" i="10" l="1"/>
  <c r="D22" i="10"/>
  <c r="F22" i="10"/>
  <c r="G21" i="10"/>
  <c r="B23" i="10"/>
  <c r="C23" i="10"/>
  <c r="F23" i="10" l="1"/>
  <c r="D23" i="10"/>
  <c r="E23" i="10"/>
  <c r="B24" i="10"/>
  <c r="C24" i="10"/>
  <c r="G22" i="10"/>
  <c r="B25" i="10" l="1"/>
  <c r="C25" i="10"/>
  <c r="E24" i="10"/>
  <c r="F24" i="10"/>
  <c r="D24" i="10"/>
  <c r="G23" i="10"/>
  <c r="D25" i="10" l="1"/>
  <c r="E25" i="10"/>
  <c r="F25" i="10"/>
  <c r="G24" i="10"/>
  <c r="B26" i="10"/>
  <c r="C26" i="10"/>
  <c r="B27" i="10" l="1"/>
  <c r="C27" i="10"/>
  <c r="E26" i="10"/>
  <c r="F26" i="10"/>
  <c r="D26" i="10"/>
  <c r="G25" i="10"/>
  <c r="C28" i="10" l="1"/>
  <c r="B28" i="10"/>
  <c r="G26" i="10"/>
  <c r="F27" i="10"/>
  <c r="D27" i="10"/>
  <c r="E27" i="10"/>
  <c r="G27" i="10" l="1"/>
  <c r="B29" i="10"/>
  <c r="C29" i="10"/>
  <c r="E28" i="10"/>
  <c r="F28" i="10"/>
  <c r="D28" i="10"/>
  <c r="G28" i="10" l="1"/>
  <c r="D29" i="10"/>
  <c r="E29" i="10"/>
  <c r="F29" i="10"/>
  <c r="B30" i="10"/>
  <c r="C30" i="10"/>
  <c r="B31" i="10" l="1"/>
  <c r="C31" i="10"/>
  <c r="E30" i="10"/>
  <c r="F30" i="10"/>
  <c r="D30" i="10"/>
  <c r="G29" i="10"/>
  <c r="C32" i="10" l="1"/>
  <c r="B32" i="10"/>
  <c r="G30" i="10"/>
  <c r="D31" i="10"/>
  <c r="E31" i="10"/>
  <c r="F31" i="10"/>
  <c r="G31" i="10" l="1"/>
  <c r="D32" i="10"/>
  <c r="E32" i="10"/>
  <c r="F32" i="10"/>
  <c r="G3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<sst xmlns="http://schemas.openxmlformats.org/spreadsheetml/2006/main" count="868" uniqueCount="545">
  <si>
    <t>Start Date</t>
  </si>
  <si>
    <t>Task 1</t>
  </si>
  <si>
    <t>Task 2</t>
  </si>
  <si>
    <t>Task 3</t>
  </si>
  <si>
    <t>Task 4</t>
  </si>
  <si>
    <t>Task 5</t>
  </si>
  <si>
    <t>Task 6</t>
  </si>
  <si>
    <t>Task 7</t>
  </si>
  <si>
    <t>Task 8</t>
  </si>
  <si>
    <t>Task 9</t>
  </si>
  <si>
    <t>Task 10</t>
  </si>
  <si>
    <t>Task Name</t>
  </si>
  <si>
    <t>Assigned to</t>
  </si>
  <si>
    <t>End Date</t>
  </si>
  <si>
    <t>Status</t>
  </si>
  <si>
    <t>Completion%</t>
  </si>
  <si>
    <t>Pending</t>
  </si>
  <si>
    <t>Completed</t>
  </si>
  <si>
    <t>EMP-1</t>
  </si>
  <si>
    <t>EMP-2</t>
  </si>
  <si>
    <t>EMP-3</t>
  </si>
  <si>
    <t>EMP-4</t>
  </si>
  <si>
    <t>EMP-5</t>
  </si>
  <si>
    <t>Day</t>
  </si>
  <si>
    <t>Sun</t>
  </si>
  <si>
    <t>Mon</t>
  </si>
  <si>
    <t>Tue</t>
  </si>
  <si>
    <t>Wed</t>
  </si>
  <si>
    <t>Thu</t>
  </si>
  <si>
    <t>Fri</t>
  </si>
  <si>
    <t>Holiday</t>
  </si>
  <si>
    <t>Y</t>
  </si>
  <si>
    <t>N</t>
  </si>
  <si>
    <t>Sat</t>
  </si>
  <si>
    <t>Date</t>
  </si>
  <si>
    <t>Diwali</t>
  </si>
  <si>
    <t>Christmas</t>
  </si>
  <si>
    <t>High</t>
  </si>
  <si>
    <t>Medium</t>
  </si>
  <si>
    <t>Low</t>
  </si>
  <si>
    <t>Resource</t>
  </si>
  <si>
    <t>EMP-6</t>
  </si>
  <si>
    <t>EMP-7</t>
  </si>
  <si>
    <t>EMP-8</t>
  </si>
  <si>
    <t>EMP-9</t>
  </si>
  <si>
    <t>EMP-10</t>
  </si>
  <si>
    <t>EMP-11</t>
  </si>
  <si>
    <t>EMP-12</t>
  </si>
  <si>
    <t>EMP-13</t>
  </si>
  <si>
    <t>EMP-14</t>
  </si>
  <si>
    <t>EMP-15</t>
  </si>
  <si>
    <t>EMP-16</t>
  </si>
  <si>
    <t>EMP-17</t>
  </si>
  <si>
    <t>EMP-18</t>
  </si>
  <si>
    <t>EMP-19</t>
  </si>
  <si>
    <t>EMP-20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</si>
  <si>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</si>
  <si>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</si>
  <si>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</si>
  <si>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</si>
  <si>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</si>
  <si>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</si>
  <si>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</si>
  <si>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</si>
  <si>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</si>
  <si>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</si>
  <si>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</si>
  <si>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</si>
  <si>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</si>
  <si>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</si>
  <si>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</si>
  <si>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</si>
  <si>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</si>
  <si>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</si>
  <si>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</si>
  <si>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</si>
  <si>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</si>
  <si>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</si>
  <si>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</si>
  <si>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</si>
  <si>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</si>
  <si>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</si>
  <si>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</si>
  <si>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</si>
  <si>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</si>
  <si>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</si>
  <si>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</si>
  <si>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</si>
  <si>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</si>
  <si>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</si>
  <si>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</si>
  <si>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</si>
  <si>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</si>
  <si>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</si>
  <si>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</si>
  <si>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</si>
  <si>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</si>
  <si>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</si>
  <si>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</si>
  <si>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</si>
  <si>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</si>
  <si>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</si>
  <si>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</si>
  <si>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</si>
  <si>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</si>
  <si>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</si>
  <si>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</si>
  <si>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</si>
  <si>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</si>
  <si>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</si>
  <si>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</si>
  <si>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</si>
  <si>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</si>
  <si>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</si>
  <si>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</si>
  <si>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</si>
  <si>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</si>
  <si>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</si>
  <si>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In Progress</t>
  </si>
  <si>
    <t>Task</t>
  </si>
  <si>
    <t>Total</t>
  </si>
  <si>
    <t>Time Line Chart</t>
  </si>
  <si>
    <t>Assigned to -2</t>
  </si>
  <si>
    <t>Assigned to -3</t>
  </si>
  <si>
    <t>Assigned to -4</t>
  </si>
  <si>
    <t>Risk and issue</t>
  </si>
  <si>
    <t>Task Status</t>
  </si>
  <si>
    <t>Project Status</t>
  </si>
  <si>
    <t>In Progress even after end date</t>
  </si>
  <si>
    <t>Task not started even after plan start date</t>
  </si>
  <si>
    <t>Prepared by</t>
  </si>
  <si>
    <t>Reviewed By</t>
  </si>
  <si>
    <t>Approved By</t>
  </si>
  <si>
    <t>Any other relevant literature reference (please specify)</t>
  </si>
  <si>
    <t>Objective</t>
  </si>
  <si>
    <t>Business Overview</t>
  </si>
  <si>
    <t>In BPM segment, Company charges for services primarily based on the following pricing models:</t>
  </si>
  <si>
    <r>
      <t>1)</t>
    </r>
    <r>
      <rPr>
        <sz val="7"/>
        <color theme="1"/>
        <rFont val="Times New Roman"/>
        <family val="1"/>
      </rPr>
      <t xml:space="preserve">       </t>
    </r>
    <r>
      <rPr>
        <b/>
        <sz val="10"/>
        <color theme="1"/>
        <rFont val="Calibri"/>
        <family val="2"/>
      </rPr>
      <t>Per full time equivalent</t>
    </r>
    <r>
      <rPr>
        <sz val="10"/>
        <color theme="1"/>
        <rFont val="Calibri"/>
        <family val="2"/>
      </rPr>
      <t xml:space="preserve"> – This arrangement typically involve billing based on number of full time employees (or equivalent) deployed on the execution of the business process managed;</t>
    </r>
  </si>
  <si>
    <r>
      <t>2)</t>
    </r>
    <r>
      <rPr>
        <sz val="7"/>
        <color theme="1"/>
        <rFont val="Times New Roman"/>
        <family val="1"/>
      </rPr>
      <t xml:space="preserve">       </t>
    </r>
    <r>
      <rPr>
        <b/>
        <sz val="10"/>
        <color theme="1"/>
        <rFont val="Calibri"/>
        <family val="2"/>
      </rPr>
      <t xml:space="preserve">Per Transaction </t>
    </r>
    <r>
      <rPr>
        <sz val="10"/>
        <color theme="1"/>
        <rFont val="Calibri"/>
        <family val="2"/>
      </rPr>
      <t>– This arrangement typically involves billing based on number of transactions processed (such as the number of E-mail responses, airlines coupons or insurance claim processed);</t>
    </r>
  </si>
  <si>
    <r>
      <t>3)</t>
    </r>
    <r>
      <rPr>
        <sz val="7"/>
        <color theme="1"/>
        <rFont val="Times New Roman"/>
        <family val="1"/>
      </rPr>
      <t xml:space="preserve">       </t>
    </r>
    <r>
      <rPr>
        <b/>
        <sz val="10"/>
        <color theme="1"/>
        <rFont val="Calibri"/>
        <family val="2"/>
      </rPr>
      <t>Fixed-price arrangements</t>
    </r>
    <r>
      <rPr>
        <sz val="10"/>
        <color theme="1"/>
        <rFont val="Calibri"/>
        <family val="2"/>
      </rPr>
      <t>- This typically involve billings based on achievements of pre-defined deliverables or milestones;</t>
    </r>
  </si>
  <si>
    <r>
      <t>4)</t>
    </r>
    <r>
      <rPr>
        <sz val="7"/>
        <color theme="1"/>
        <rFont val="Times New Roman"/>
        <family val="1"/>
      </rPr>
      <t xml:space="preserve">       </t>
    </r>
    <r>
      <rPr>
        <b/>
        <sz val="10"/>
        <color theme="1"/>
        <rFont val="Calibri"/>
        <family val="2"/>
      </rPr>
      <t>Subscription arrangements</t>
    </r>
    <r>
      <rPr>
        <sz val="10"/>
        <color theme="1"/>
        <rFont val="Calibri"/>
        <family val="2"/>
      </rPr>
      <t>- This typically involve billings based on per member per month, based on contractually agreed; or</t>
    </r>
  </si>
  <si>
    <r>
      <t>Other pricing arrangements,</t>
    </r>
    <r>
      <rPr>
        <sz val="10"/>
        <color theme="1"/>
        <rFont val="Calibri"/>
        <family val="2"/>
        <scheme val="minor"/>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</si>
  <si>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</si>
  <si>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 xml:space="preserve">i. </t>
  </si>
  <si>
    <t xml:space="preserve">Collection is considered probable </t>
  </si>
  <si>
    <t xml:space="preserve">ii. </t>
  </si>
  <si>
    <t xml:space="preserve">It has commercial substance </t>
  </si>
  <si>
    <t xml:space="preserve">iii. </t>
  </si>
  <si>
    <t xml:space="preserve">Rights to goods and services can be identified </t>
  </si>
  <si>
    <t xml:space="preserve">iv. </t>
  </si>
  <si>
    <t xml:space="preserve">It is approved and the parties are committed to their obligations </t>
  </si>
  <si>
    <t>Existence of a contract:</t>
  </si>
  <si>
    <t>Description</t>
  </si>
  <si>
    <t>Yes/No</t>
  </si>
  <si>
    <t>Analysis</t>
  </si>
  <si>
    <t>Yes</t>
  </si>
  <si>
    <t>No</t>
  </si>
  <si>
    <t>NA</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</si>
  <si>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</si>
  <si>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</si>
  <si>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</si>
  <si>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</si>
  <si>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</si>
  <si>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</si>
  <si>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</si>
  <si>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</si>
  <si>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</si>
  <si>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</si>
  <si>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</si>
  <si>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 xml:space="preserve">Conclusion: </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</si>
  <si>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</si>
  <si>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</si>
  <si>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</si>
  <si>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</si>
  <si>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 xml:space="preserve">Criterion 1 </t>
  </si>
  <si>
    <t xml:space="preserve">Criterion 2 </t>
  </si>
  <si>
    <r>
      <t xml:space="preserve">i   </t>
    </r>
    <r>
      <rPr>
        <b/>
        <sz val="10"/>
        <color rgb="FF000000"/>
        <rFont val="Calibri"/>
        <family val="2"/>
        <scheme val="minor"/>
      </rPr>
      <t>Significant integration service:</t>
    </r>
    <r>
      <rPr>
        <sz val="10"/>
        <color rgb="FF000000"/>
        <rFont val="Calibri"/>
        <family val="2"/>
        <scheme val="minor"/>
      </rPr>
      <t xml:space="preserve"> the Company provides a significant service of integrating the good or service with other goods or services promised in the contract into a bundle of goods or services that represents the combined output for which the customer has contracted. </t>
    </r>
  </si>
  <si>
    <r>
      <t xml:space="preserve">ii  </t>
    </r>
    <r>
      <rPr>
        <b/>
        <sz val="10"/>
        <color rgb="FF000000"/>
        <rFont val="Calibri"/>
        <family val="2"/>
        <scheme val="minor"/>
      </rPr>
      <t>Significant modification/customisation:</t>
    </r>
    <r>
      <rPr>
        <sz val="10"/>
        <color rgb="FF000000"/>
        <rFont val="Calibri"/>
        <family val="2"/>
        <scheme val="minor"/>
      </rPr>
      <t xml:space="preserve"> Goods or services significantly modify or customise another good or service promised in the contract. </t>
    </r>
  </si>
  <si>
    <r>
      <t xml:space="preserve">iii  </t>
    </r>
    <r>
      <rPr>
        <b/>
        <sz val="10"/>
        <color rgb="FF000000"/>
        <rFont val="Calibri"/>
        <family val="2"/>
        <scheme val="minor"/>
      </rPr>
      <t>Highly dependent/highly interrelated:</t>
    </r>
    <r>
      <rPr>
        <sz val="10"/>
        <color rgb="FF000000"/>
        <rFont val="Calibri"/>
        <family val="2"/>
        <scheme val="minor"/>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</si>
  <si>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</si>
  <si>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</si>
  <si>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Performance Obligation?</t>
  </si>
  <si>
    <t xml:space="preserve">Conclusion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</si>
  <si>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</si>
  <si>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</si>
  <si>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</si>
  <si>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</si>
  <si>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Allocation of transaction price required? </t>
  </si>
  <si>
    <t>Allocation of variable consideration</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</si>
  <si>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</si>
  <si>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</si>
  <si>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</si>
  <si>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</si>
  <si>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The customer simultaneously receives and consumes the benefits provided by the Company' performance as the Company performs </t>
  </si>
  <si>
    <t xml:space="preserve">The Company's performance creates or enhances an asset that the customer controls as the asset is created or enhanced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</si>
  <si>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</si>
  <si>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Criterion 3 </t>
  </si>
  <si>
    <t xml:space="preserve">Performance obligations according to Step 2 </t>
  </si>
  <si>
    <t>Selecting a method that depicts the performance i.e. a pattern of transfer of control of the goods and services to the customer:</t>
  </si>
  <si>
    <t xml:space="preserve">Guidance </t>
  </si>
  <si>
    <t xml:space="preserve">Method 1: Output: </t>
  </si>
  <si>
    <t xml:space="preserve">Method 2: Input: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</si>
  <si>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</si>
  <si>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</si>
  <si>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</si>
  <si>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</si>
  <si>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</si>
  <si>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</si>
  <si>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Is the contract modification approved ?</t>
  </si>
  <si>
    <t>Does the modification solely add additional goods or services ?</t>
  </si>
  <si>
    <t>Are the additional goods or services distinct ?</t>
  </si>
  <si>
    <t>Are the remaning goods or services distinct ?</t>
  </si>
  <si>
    <t>C. Modification of contract</t>
  </si>
  <si>
    <t>A. contract exists if:</t>
  </si>
  <si>
    <t>Literature reference for relevant accounting guidance under US GAAP</t>
  </si>
  <si>
    <t>ASC 815 - Derivatives and hedging</t>
  </si>
  <si>
    <t>ASC 450 - Contingencies</t>
  </si>
  <si>
    <t>ASC 606 - Revenue from contract with customer</t>
  </si>
  <si>
    <t>Is there a combination of contracts necessary (606-10-25-9) ?</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</si>
  <si>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</si>
  <si>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</si>
  <si>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A promise is classified as a performance obligation, if the good or service is capable of being distinct  distinct (ASC 606-10-25-19 (a)) and distinct in the context of the contract (ASC 606-10-25-19 (b)). (ASC 606-10-25-14)</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</si>
  <si>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</si>
  <si>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 Company promise to transfer the good or service separately identifiable from other promises in the contract (ASC 606-10-25-19(b))?? The following factors should be considered with regard to the above question: </t>
  </si>
  <si>
    <t xml:space="preserve">Is there an allocation of a variable consideration ? (ASC 606-10-32-39 to 32-41)? </t>
  </si>
  <si>
    <t xml:space="preserve">Criterion 1 ASC 606-10-25-27(a) </t>
  </si>
  <si>
    <t xml:space="preserve">Criterion 2 ASC 606-10-25-27(b) </t>
  </si>
  <si>
    <t xml:space="preserve">Criterion 3 ASC 606-10-25-27(c) </t>
  </si>
  <si>
    <t xml:space="preserve">Performance obligations satisfied over time </t>
  </si>
  <si>
    <t>Perforamance obligation satisfied at a point in time</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</si>
  <si>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</si>
  <si>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</si>
  <si>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Input/Output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</si>
  <si>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</si>
  <si>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</si>
  <si>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</si>
  <si>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</si>
  <si>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</si>
  <si>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</si>
  <si>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</si>
  <si>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</si>
  <si>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</si>
  <si>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</si>
  <si>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</si>
  <si>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</si>
  <si>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</si>
  <si>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</si>
  <si>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</si>
  <si>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t>A.</t>
    </r>
    <r>
      <rPr>
        <b/>
        <u/>
        <sz val="10"/>
        <color rgb="FF000000"/>
        <rFont val="Calibri"/>
        <family val="2"/>
        <scheme val="minor"/>
      </rPr>
      <t xml:space="preserve"> Cash consideration</t>
    </r>
    <r>
      <rPr>
        <b/>
        <sz val="10"/>
        <color rgb="FF000000"/>
        <rFont val="Calibri"/>
        <family val="2"/>
        <scheme val="minor"/>
      </rPr>
      <t>:</t>
    </r>
  </si>
  <si>
    <t xml:space="preserve">Is the consideration or a part of the consideration fixed? </t>
  </si>
  <si>
    <t>Is the consideration or a part of the consideration variable (e.g. liquidated damages, discounts, standby rates etc.) (ASC 606-10-32-5 to 32-9)?</t>
  </si>
  <si>
    <t xml:space="preserve">Variable consideration consists of: </t>
  </si>
  <si>
    <t>Service  Credit</t>
  </si>
  <si>
    <t>CBB penalty and rewards</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</si>
  <si>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</si>
  <si>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</si>
  <si>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</si>
  <si>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 xml:space="preserve">Please describe the approach to estimate the variable amount for each variable consideration (most likely amount, expected value) and explain why the method used better predicts the consideration to which the Company will be entitled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</si>
  <si>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</si>
  <si>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</si>
  <si>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</si>
  <si>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No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</si>
  <si>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</si>
  <si>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</si>
  <si>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</si>
  <si>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The transaction price consists of variable consideration(s) which are deemed  probable and need(s) to be included in the transaction price.</t>
  </si>
  <si>
    <r>
      <t xml:space="preserve">B. </t>
    </r>
    <r>
      <rPr>
        <b/>
        <u/>
        <sz val="10"/>
        <color rgb="FF000000"/>
        <rFont val="Calibri"/>
        <family val="2"/>
      </rPr>
      <t>Non-cash consideration:</t>
    </r>
  </si>
  <si>
    <t>Does the consideration include a non-cash component?</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</si>
  <si>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</si>
  <si>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</si>
  <si>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 xml:space="preserve">If answer of the previous question is "Yes", the following questions are relevant: </t>
  </si>
  <si>
    <r>
      <t xml:space="preserve">D. </t>
    </r>
    <r>
      <rPr>
        <b/>
        <u/>
        <sz val="10"/>
        <color rgb="FF000000"/>
        <rFont val="Calibri"/>
        <family val="2"/>
        <scheme val="minor"/>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</si>
  <si>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</si>
  <si>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</si>
  <si>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</si>
  <si>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</si>
  <si>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</si>
  <si>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No Difference</t>
  </si>
  <si>
    <t xml:space="preserve">Please specify why the criteria mentioned above are met </t>
  </si>
  <si>
    <t xml:space="preserve">A significant financing component exists for which the entity needs to account </t>
  </si>
  <si>
    <r>
      <rPr>
        <b/>
        <sz val="10"/>
        <color rgb="FF000000"/>
        <rFont val="Calibri"/>
        <family val="2"/>
      </rPr>
      <t>C</t>
    </r>
    <r>
      <rPr>
        <sz val="10"/>
        <color rgb="FF000000"/>
        <rFont val="Calibri"/>
        <family val="2"/>
      </rPr>
      <t xml:space="preserve">. </t>
    </r>
    <r>
      <rPr>
        <b/>
        <u/>
        <sz val="10"/>
        <color rgb="FF000000"/>
        <rFont val="Calibri"/>
        <family val="2"/>
      </rPr>
      <t>Consideration payable to a customer:</t>
    </r>
    <r>
      <rPr>
        <b/>
        <sz val="10"/>
        <color rgb="FF000000"/>
        <rFont val="Calibri"/>
        <family val="2"/>
      </rPr>
      <t xml:space="preserve"> </t>
    </r>
  </si>
  <si>
    <t xml:space="preserve">Contract costs: </t>
  </si>
  <si>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</si>
  <si>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</si>
  <si>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</si>
  <si>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</si>
  <si>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</si>
  <si>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</si>
  <si>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</si>
  <si>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</si>
  <si>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</si>
  <si>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If the conclusion is that costs of fulfilment shall be capitalized, please explain the background </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</si>
  <si>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</si>
  <si>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</si>
  <si>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</si>
  <si>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</si>
  <si>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</si>
  <si>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</si>
  <si>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Input</t>
  </si>
  <si>
    <t>Output</t>
  </si>
  <si>
    <t>Yes / No</t>
  </si>
  <si>
    <t>Client Name –</t>
  </si>
  <si>
    <t>Type of contract –</t>
  </si>
  <si>
    <t>Principal</t>
  </si>
  <si>
    <t xml:space="preserve">Total Contract period (for amortization of Contract costs, including expected renewal):  </t>
  </si>
  <si>
    <t>Method</t>
  </si>
  <si>
    <t>Approach</t>
  </si>
  <si>
    <t>Expected Value Method</t>
  </si>
  <si>
    <t>Most Likely Method</t>
  </si>
  <si>
    <t>If the previous question was answered "Yes" please describe the type of non-cash consideration in the contract</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</si>
  <si>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</si>
  <si>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</si>
  <si>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t xml:space="preserve">Please explain the reasonableness whether it is highly probable that a significant reversal in the amount of cumulative revenue recognized will not occur (ASC 606-10-32-11. (Please consider the likelihood and the magnitude of a revenue reversal) </t>
  </si>
  <si>
    <t>Explanation</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</si>
  <si>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</si>
  <si>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</si>
  <si>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</si>
  <si>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</si>
  <si>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</si>
  <si>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</si>
  <si>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</si>
  <si>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</si>
  <si>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</si>
  <si>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</si>
  <si>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</si>
  <si>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</si>
  <si>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</si>
  <si>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</si>
  <si>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Embedded lease/ transfer of assets from customers (Only if hardware is sold along with providing services than this section is applicable)</t>
  </si>
  <si>
    <t>ASC 842</t>
  </si>
  <si>
    <r>
      <t xml:space="preserve">Determine whether the contract contains elements that fall within the scope of ASC 842 Leases. </t>
    </r>
    <r>
      <rPr>
        <b/>
        <sz val="10"/>
        <color theme="1"/>
        <rFont val="Calibri"/>
        <family val="2"/>
      </rPr>
      <t>for e.g. – hardware elements like; servers, computers, etc.</t>
    </r>
  </si>
  <si>
    <t xml:space="preserve">Embedded derivative (third currency contracts) </t>
  </si>
  <si>
    <t>ASC 815-15-15-10 (b)(1)</t>
  </si>
  <si>
    <t>What is the currency of invoicing? Is this currency, the functional currency of either WNS or of the customer or any substantial party to the contract? If no, evaluate whether the contract contains a foreign currency embedded derivative.</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</si>
  <si>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</si>
  <si>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</si>
  <si>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</si>
  <si>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</si>
  <si>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</si>
  <si>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</si>
  <si>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</si>
  <si>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ASC 606-10-50-22</t>
  </si>
  <si>
    <t>Practical expedients</t>
  </si>
  <si>
    <t xml:space="preserve">Checklist Reference no. - </t>
  </si>
  <si>
    <t xml:space="preserve">Vertical / Horizontal : </t>
  </si>
  <si>
    <t>Agent</t>
  </si>
  <si>
    <t>Does the contract price increase by an amount that reflect standalone selling price for the new goods or services (considering the circumstances of the contract) ?</t>
  </si>
  <si>
    <t>Promise is a distinct performance obligation</t>
  </si>
  <si>
    <t>Bundle of goods or services is a single performance</t>
  </si>
  <si>
    <t>Conclusion Step 2 (Promises in the contract)</t>
  </si>
  <si>
    <t>i</t>
  </si>
  <si>
    <t>Variable consideration</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</si>
  <si>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</si>
  <si>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the consideration payable to a customer includes a variable amount, an entity shall estimate the transaction price (including assessing whether the estimate of variable consideration is constrained) in accordance with paragraphs ASC 606-10-32-5 to 32-1350–58</t>
  </si>
  <si>
    <t>Can the entity reasonably estimate the fair value of the goods or service received ?</t>
  </si>
  <si>
    <t>Does the consideration payble exceed the fair value of the distinct good or services ?</t>
  </si>
  <si>
    <t>Conclusion</t>
  </si>
  <si>
    <t xml:space="preserve">Principal vs. Agent </t>
  </si>
  <si>
    <t>Output Folder -:</t>
  </si>
  <si>
    <t>Does the consideration payable to a customer (or to the customer's) represent a payable for a distinct goods or service ?</t>
  </si>
  <si>
    <t xml:space="preserve">Contract Value- TCV/ACV </t>
  </si>
  <si>
    <t>Existing Customer -:</t>
  </si>
  <si>
    <t>New Logo -:</t>
  </si>
  <si>
    <t>Remarks :</t>
  </si>
  <si>
    <t xml:space="preserve">Remarks: </t>
  </si>
  <si>
    <t xml:space="preserve">1. Determine stand-alone selling prices
</t>
  </si>
  <si>
    <t>2. Allocate the transaction price</t>
  </si>
  <si>
    <t>MSA Date -:</t>
  </si>
  <si>
    <t>LOE date :</t>
  </si>
  <si>
    <t>SOW Date -:</t>
  </si>
  <si>
    <t xml:space="preserve"> Term of the contracts -:</t>
  </si>
  <si>
    <t>Allocation of Transaction price</t>
  </si>
  <si>
    <t>Performance obligation</t>
  </si>
  <si>
    <t>Method used</t>
  </si>
  <si>
    <t>Standalone Selling price</t>
  </si>
  <si>
    <t>Allocation</t>
  </si>
  <si>
    <t>Allocated Transaction price</t>
  </si>
  <si>
    <t>Adjusted Market Assessment</t>
  </si>
  <si>
    <t>Cost Plus</t>
  </si>
  <si>
    <t xml:space="preserve">Residual </t>
  </si>
  <si>
    <t>Variable consideration consists of:</t>
  </si>
  <si>
    <t>Conclusion :</t>
  </si>
  <si>
    <t>Key Elements of contract :</t>
  </si>
  <si>
    <t>Provisions/ Onerous contracts (where there are any penalty or warranty clauses or any non-cancellable or termination clauses in the contract)</t>
  </si>
  <si>
    <t>RRC Reference Number (if any)</t>
  </si>
  <si>
    <t>Step1 :</t>
  </si>
  <si>
    <t>Final Conclusion</t>
  </si>
  <si>
    <t>Step 2 :</t>
  </si>
  <si>
    <t>Step 3 :</t>
  </si>
  <si>
    <t>Step 4 :</t>
  </si>
  <si>
    <t>Select Month -:</t>
  </si>
  <si>
    <t>Step 5 :</t>
  </si>
  <si>
    <t xml:space="preserve">Is the contract approved and the parties are committed to their obligation ((ASC 606-10-25-1(a) ) ? </t>
  </si>
  <si>
    <t xml:space="preserve">Are each parties' rights regarding the goods or services to be transferred identifiable (ASC 606-10-25-1(b)) ? </t>
  </si>
  <si>
    <t xml:space="preserve">Can the payment terms for the goods and services be identified (ASC 606-10-25-1(c)) ? </t>
  </si>
  <si>
    <t xml:space="preserve">Has the contract commercial substance (ASC 606-10-25-1(d)) ? </t>
  </si>
  <si>
    <t xml:space="preserve">Is the collection of consideration probable ("likely") (ASC 606-10-25-1(e)) ? </t>
  </si>
  <si>
    <t>Modification-:</t>
  </si>
  <si>
    <t>Checker :</t>
  </si>
  <si>
    <t>Current Status      (Maker) -:</t>
  </si>
  <si>
    <t xml:space="preserve">Rights to goods and services and payment terms can be identified </t>
  </si>
  <si>
    <t>If the answer is "Yes" to any of the above questions, the variable consideration may not be  probable and cannot be included in the transaction price until it is deemed probable that the variable consideration will not result in a significant revenue reversal.</t>
  </si>
  <si>
    <r>
      <rPr>
        <b/>
        <u/>
        <sz val="10"/>
        <color rgb="FF000000"/>
        <rFont val="Calibri"/>
        <family val="2"/>
        <scheme val="minor"/>
      </rPr>
      <t>Costs of fulfilling a contract</t>
    </r>
    <r>
      <rPr>
        <b/>
        <sz val="10"/>
        <color rgb="FF000000"/>
        <rFont val="Calibri"/>
        <family val="2"/>
        <scheme val="minor"/>
      </rPr>
      <t xml:space="preserve"> </t>
    </r>
  </si>
  <si>
    <t>Revenue Recognition:</t>
  </si>
  <si>
    <t>1. Service charges (FTE and UTP)</t>
  </si>
  <si>
    <t>Conclusion:</t>
  </si>
  <si>
    <t>Revenue from F&amp;A Service  would be recognized on the monthly basis based on monthly number of billable FTEs x rate per FTE per month. (Annual Rate /12)</t>
  </si>
  <si>
    <t>DMRT/ Finance &amp; Accounting</t>
  </si>
  <si>
    <t>SOW Icertis ID ICMMSA_881</t>
  </si>
  <si>
    <t>1st April 2024</t>
  </si>
  <si>
    <t>SOW Client Sign Date -:</t>
  </si>
  <si>
    <t>TCV    $42,473K</t>
  </si>
  <si>
    <t>ACV   $8,494K</t>
  </si>
  <si>
    <t>60 months</t>
  </si>
  <si>
    <t>Initial Term + Renewal Term</t>
  </si>
  <si>
    <t>Recurring Technology</t>
  </si>
  <si>
    <t>Productivity Commitment</t>
  </si>
  <si>
    <t>Termination</t>
  </si>
  <si>
    <t>Recurring Technology,  Pass through cost</t>
  </si>
  <si>
    <t>Aim of this checklist is to ensure that all the revenue recognition criteria as prescribed under ASC 606 are fulfilled. This Accounting Checklist is tailored to address the specific circumstances of BPO – Outsourcing business.</t>
  </si>
  <si>
    <t xml:space="preserve">SOW is  signed by both parties to the contract. </t>
  </si>
  <si>
    <t>Scope of services has been identified in SOW</t>
  </si>
  <si>
    <t>Payment terms are defined in the SOW</t>
  </si>
  <si>
    <t>No financing component</t>
  </si>
  <si>
    <t>1st April 2024 till 31st March 2029</t>
  </si>
  <si>
    <t>2024-25-011</t>
  </si>
  <si>
    <t>April 2024</t>
  </si>
  <si>
    <t>Combination is not applicable</t>
  </si>
  <si>
    <t xml:space="preserve">F&amp;A and ISB Services (FTE Based)
</t>
  </si>
  <si>
    <t xml:space="preserve">F&amp;A and ISB Services (UTP Based)
</t>
  </si>
  <si>
    <t>Not a distinct service in the contract as it does not transfer any incremental benefit to the Customer on standalone basis. These are treated as input to the overall combined output of the contract.</t>
  </si>
  <si>
    <t>Service Credits</t>
  </si>
  <si>
    <t>Earnback</t>
  </si>
  <si>
    <t xml:space="preserve">Refer Exhibit B.1(b)(2) for ISB BPO Services and Refer Exhibit B.1(b)(1) for F&amp;A BPO Services </t>
  </si>
  <si>
    <t xml:space="preserve">Consideration Payable to customer : </t>
  </si>
  <si>
    <t>Consideration payble is accounted for as a reduction of the transaction price</t>
  </si>
  <si>
    <t>Transaction price will not required to be allocated as the contractual price is considered as the standalone price for each performance obligation. The Contractual price stated for each PO is in range of margins which are provided to other customers in similar circumstances and geographies.</t>
  </si>
  <si>
    <t>F&amp;A and ISB Services (FTE Based)</t>
  </si>
  <si>
    <t>F&amp;A and ISB Services (UTP Based)</t>
  </si>
  <si>
    <t>Contractual price is the standalone selling price because at this range of margins only it is sold to other similar customers.</t>
  </si>
  <si>
    <t>Contractual price is the standalone selling price</t>
  </si>
  <si>
    <t>Not required to be allocated as service credits and earnback have been separately given in the contract for each PO</t>
  </si>
  <si>
    <t>Progress is measured based on FTE consumed for performing the services. Therefore, method 2 i.e. measurement of progress based on Input appears to be appropriate</t>
  </si>
  <si>
    <t>Progress is measured based on the value of goods and services transferred to the customer to date  based on units delivered. Therefore, method 1 i.e. measurement of progress based on Output appears to be appropriate</t>
  </si>
  <si>
    <t>Principal- Gross</t>
  </si>
  <si>
    <t>WNS acts as a principal</t>
  </si>
  <si>
    <t>WNS is primarily responsible for fulfilment of the contract</t>
  </si>
  <si>
    <t>No Inventory risk involved</t>
  </si>
  <si>
    <t>WNS has the discretion to establish price</t>
  </si>
  <si>
    <t>No such element</t>
  </si>
  <si>
    <t>USD is the functional currency of WNS Global Services (UK) International Limited</t>
  </si>
  <si>
    <t>Revenue would be recognized based on transaction processed * rate per transaction as provided in SOW. These are fixed base monthly charges for an assured baseline of billable resource unit usage.</t>
  </si>
  <si>
    <t xml:space="preserve">Time and Motion study – If the utilization of Billable resources units is lower than 90% or greater than 110%, new rates will be applicable as per Change request entered. </t>
  </si>
  <si>
    <t xml:space="preserve">SLA is a variable consideration under ASC 606 which needs to be estimated over the period using the expected value method. If the outcome is estimated using the expected value method, the service credit amount is included in the transaction price after considering any constraint to the amount, if any. </t>
  </si>
  <si>
    <t>In this case service credits/ performance credits are measured on monthly basis. Since the measurement period is a month, estimation of service level credits/ performance credit can be foregone as the estimated amount per month and actuals will almost be the same.  This will be accounted as reduction to revenue on monthly basis in case of service level default.</t>
  </si>
  <si>
    <t>CRT team should ensure that the monthly calculation which may take few days should not significantly vary from the service credit provided at the month end/ other measurement period. (Applicable in case service levels are measured on monthly basis)</t>
  </si>
  <si>
    <t>Scenario</t>
  </si>
  <si>
    <t>Probability (Yes/No)</t>
  </si>
  <si>
    <t>Expected Earnback</t>
  </si>
  <si>
    <t>If  in preceding Contract Year, yearly performance average for a Service Level &lt; Target Performance Level for such Critical Service Level, then pay  Performance Credits accrued during the preceding Contract Year.</t>
  </si>
  <si>
    <t>If  in preceding Contract Year,if yearly performance average for a Service Level &gt; Target Performance Level for such Critical Service Level, then not to pay any Performance Credits accrued during the preceding Contract Year.</t>
  </si>
  <si>
    <t>Revenue from recurring technology charges (internet bandwidth connectivity charges) would be recognized on monthly basis over the service period. (Straight Line Method)</t>
  </si>
  <si>
    <t>Service credits/ performance credit should be recorded as reduction to revenue on monthly basis based on service level default &amp; related percentages stated in the contract. Since the measurement period is quarterly for some metrics, estimation of service credits at the inception should be estimated using expected value method after applying the constraints to the amount,if any.</t>
  </si>
  <si>
    <t>The Productivity gains through leveraging RPA automations and Continuous Improvements is in the nature of efficiency gains which are being passed on to client over the period as mentioned in the contract. This will be recorded as reduction of revenue in the form of reduction in monthly charges. This is fixed for each contract year &amp; hence need not to estimated.</t>
  </si>
  <si>
    <t>11. Gain Share</t>
  </si>
  <si>
    <t>Conditional Discount</t>
  </si>
  <si>
    <t xml:space="preserve">Conditional discount is evaluated for variable consideration under ASC 606 and estimated over the period using the expected value method. The outcome is estimated using the expected value method, the conditional discount amount is included in the transaction price after considering any constraint to the amount, if any.
</t>
  </si>
  <si>
    <t>Volume Discount</t>
  </si>
  <si>
    <t>Refer Exhibit B.1 (c ) Charges and Resource Baselines</t>
  </si>
  <si>
    <t>Conditional Discount is measured using estimated value method at the inception and included in thr transaction price by applying constraints. These estimates  will be visited at each reporting period. The discount is recorded as reduction to revenue over the measurement period on monthly basis.</t>
  </si>
  <si>
    <t>Volume discount to customer is a variable consideration under ASC 606 which needs to be estimated over the period using the expected value method. This would involve creating different scenarios by considering past trends, historical experience, industry benchmarks, etc. to arrive at the expected value by assigning probability weights.
The outcome is estimated using the expected value method, the  volume discount amount is included in the transaction price after considering any constraint to the amount, if any. The volume discount should be revisited at each reporting period.
As stated in the contract, Volume Discount would be applied on total charges of prior contract year which will be passsed on to the customer no later than 60 days following expiration of the applicable Contract Year. The discount will be calculated on incremental basis based on total charges of prior contract year i.e applied restrospectively.</t>
  </si>
  <si>
    <t>The estimated Volume discount should be accounted as reduction to revenue on monthly basis over the measurement period i.e the relevant contract year for which volume discount has been calculated.</t>
  </si>
  <si>
    <t xml:space="preserve">Increased or decreased usage of particular Billable Resource Units shall be addressed in accordance with the methodology described in Section 4 (Adjustment to Charges Due to Changes in Billable Resource Units) stated in Exhibit B.1 ( c ) - BPO Service Charges and Resource Baseline </t>
  </si>
  <si>
    <r>
      <rPr>
        <b/>
        <sz val="11"/>
        <color theme="1"/>
        <rFont val="Calibri"/>
        <family val="2"/>
        <scheme val="minor"/>
      </rPr>
      <t>Overtime:</t>
    </r>
    <r>
      <rPr>
        <sz val="11"/>
        <color theme="1"/>
        <rFont val="Calibri"/>
        <family val="2"/>
        <scheme val="minor"/>
      </rPr>
      <t xml:space="preserve"> Will be recorded at 1.15 times multiplied by applicable Hourly rate (Exhibit B.1(c )) BPO Service Charges and Resource Baseline </t>
    </r>
  </si>
  <si>
    <t xml:space="preserve">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t>
  </si>
  <si>
    <t>Gain Share</t>
  </si>
  <si>
    <t>Gain share is assessed when negotiation is at the advance stage applying most likely method after applying the constraints to the amount , if any . Hence, the significant reversal of revenue is not probable</t>
  </si>
  <si>
    <t>Refer Section 15.4 of the Framework Service agreement</t>
  </si>
  <si>
    <t>In the event that any Gainsharing Proposals are mutually approved and agreed to by the Parties, the Parties shall agree on an equitable allocation of the costs of their respective development and implementation, applicable baselines and mechanisms for measuring benefits realized through such implementation, and an equitable allocation of such benefits realized through such implementation during the remainder of each applicable Statement of Work Term after implementation of the Gainsharing Proposals. The Parties agree that before any Gainsharing Proposal benefits are shared between the Parties, the Party incurring any cost in the development and implementation of such Gainsharing Proposal shall be first entitled to recoup the actual cost and expense incurred by such Party.</t>
  </si>
  <si>
    <t>2.	Accounts Management charges</t>
  </si>
  <si>
    <t>Any unused innovation fund shall not be carried forward over for use in any contract year under this agreement.</t>
  </si>
  <si>
    <t>The out of pocket costs (e.g. travel) and the reimbursements therefor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incurred in satisfying a performance obligation to the customer.</t>
  </si>
  <si>
    <t xml:space="preserve">Pass through charges would be recognized as revenue as and when they are incurred. </t>
  </si>
  <si>
    <t>Most Favored pricing</t>
  </si>
  <si>
    <t>Refer Section 22.2 of the Framework Service agreement</t>
  </si>
  <si>
    <t>F&amp;A and ISB Services (FTE Based and UTP Based) , COLA, Account mgt charges</t>
  </si>
  <si>
    <t>Signing Bonus, Conditional discount, Volume discount</t>
  </si>
  <si>
    <t>Service credit, Earnback</t>
  </si>
  <si>
    <t>Gain share, Innovation Fund</t>
  </si>
  <si>
    <t>Most Favored Pricing</t>
  </si>
  <si>
    <t>3.New Project Charges</t>
  </si>
  <si>
    <t>4. Signing Bonus</t>
  </si>
  <si>
    <t>5. Conditional Discount</t>
  </si>
  <si>
    <t xml:space="preserve">6. Volume Discount </t>
  </si>
  <si>
    <t>7. Recurring Technology charges</t>
  </si>
  <si>
    <t>8. Service Credit/ Performance Credit</t>
  </si>
  <si>
    <t>9. Earnback</t>
  </si>
  <si>
    <t>10. Productivity Gain</t>
  </si>
  <si>
    <t>12.	Innovation Fund   (Section 3.15-B OF Framework Service Agreement)</t>
  </si>
  <si>
    <t>13. Pass through Cost</t>
  </si>
  <si>
    <t>14. Termination</t>
  </si>
  <si>
    <t>15. Most Favored Pricing</t>
  </si>
  <si>
    <t>Z:\2024-25\Revenue RRC 2024-25\1. April 2024\RRM\</t>
  </si>
  <si>
    <t>Observable price</t>
  </si>
  <si>
    <r>
      <rPr>
        <b/>
        <sz val="11"/>
        <color theme="1"/>
        <rFont val="Calibri"/>
        <family val="2"/>
        <scheme val="minor"/>
      </rPr>
      <t>COLA</t>
    </r>
    <r>
      <rPr>
        <sz val="11"/>
        <color theme="1"/>
        <rFont val="Calibri"/>
        <family val="2"/>
        <scheme val="minor"/>
      </rPr>
      <t>- COLA is applicable @ 4% in India, 6% in Romania from 2nd year onwards. The increase in rates from each anniversary will be recovered for increase in cost of resources on account of inflation only.</t>
    </r>
  </si>
  <si>
    <t>Since the discount is on BAU services and  is in the nature of payment to customer and should be accounted as a reduction of revenue over the initial contract term. Signing bonus will be capitalized and amortized as a reduction of revenue over the contract term. Amortization is done over the BAU term . [Refer KPMG Handbook page 306 Example 5.7.50]</t>
  </si>
  <si>
    <t>Intro</t>
  </si>
  <si>
    <t>SOW defines the rate for services, timing of transfer of services &amp; risks.</t>
  </si>
  <si>
    <t>Account for modification prospectively</t>
  </si>
  <si>
    <t>Modification has been applied. The SOW and the Framework Service agreement(FSA) is mere extension of term period that would not be combined with the original SOW and FSA as the same has not been entered into at or near the same time. The pricing of the services also represent the additional services that would be provided in the future and do not relate to the original SOW and FSA. A contract modification is applied when there is  a change in the scope or price (or both) of a contract.</t>
  </si>
  <si>
    <t>Series of distinct performance obligation as below mentioned criteria is met:-
1. The goods or services are substantially the same.
2. Each distinct goods or service is a performance obligation satisfies over time.
3. The same method i.e (Output) would be used to measure progress toward satisfaction of each distinct goods or services in the series.</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</si>
  <si>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</si>
  <si>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r>
      <t xml:space="preserve">Earnback is a variable consideration under ASC 606 which needs to be estimated over the period using the Most likely method. 
</t>
    </r>
    <r>
      <rPr>
        <b/>
        <sz val="11"/>
        <color theme="1"/>
        <rFont val="Calibri"/>
        <family val="2"/>
        <scheme val="minor"/>
      </rPr>
      <t>Conclusion:</t>
    </r>
    <r>
      <rPr>
        <sz val="11"/>
        <color theme="1"/>
        <rFont val="Calibri"/>
        <family val="2"/>
        <scheme val="minor"/>
      </rPr>
      <t xml:space="preserve">
Earnback should be estimated using most likely method as there would be only two possible outcomes. In preceding Contract Year, if yearly performance average for a Service Level &gt; Target Performance Level for such Critical Service Level, then not to pay any Performance Credits accrued during the preceding Contract Year and if  in preceding Contract Year, yearly performance average for a Service Level &lt; Target Performance Level for such Critical Service Level, then pay  Performance Credits accrued during the preceding Contract Year. Estimated Earnback can be recognized as revenue on annual basis.</t>
    </r>
  </si>
  <si>
    <t>Innovation Fund   (Section 3.15-B OF Framework Service Agreement) - The costs related to these projects which are specifically identified and maintained to showcase the efforts spent on those projects fulfills the criteria of Cost to Fulfill and therefore, will be deferred over the initial contract period + 1 expected renewal.</t>
  </si>
  <si>
    <t xml:space="preserve">Account Management charges relates to BAU phase and shall be recognized based on number of billable FTEs (i.e. monthly number of billable FTEs x rate per FTE per month).
</t>
  </si>
  <si>
    <t>Productivity Gain</t>
  </si>
  <si>
    <t>Refer Framework Service Agreement</t>
  </si>
  <si>
    <t>As per Para 10-32-6 of ASC 606 consideration can vary because of discounts, rebates, refunds, credits, price concessions, incentives, performance bonuses, penalties, or other similar items.  Credits or refunds to a customer that result from the failure of the entity to meet certain standards under the contract are adjustments to the transaction price (reductions of revenue). Therefore, they may need to be estimated at the outset of the arrangement in the same manner as any other variable consideration – i.e. using a most-likely-amount or expected-value method. Those estimates are then subject to the variable consideration constraint. Hence, Service credits , productivity Gain. earnback, conditional discount and volume discount and most favored pricing shall be considered as variable consideration.</t>
  </si>
  <si>
    <t>Whether the ABC is the principal or agent in the contract?</t>
  </si>
  <si>
    <t>ABC Entity –</t>
  </si>
  <si>
    <t>ABC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ABC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</si>
  <si>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 xml:space="preserve">Name: </t>
  </si>
  <si>
    <t xml:space="preserve">Designation: </t>
  </si>
  <si>
    <t>Name:</t>
  </si>
  <si>
    <t>Designation:</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</si>
  <si>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ABC follows above established process for assessing the credit ratings of the prospective and existing Customers</t>
  </si>
  <si>
    <t xml:space="preserve">CR 123 is entered into with the XYZ Music near the same time but it is for support services upto March 2024. Hence, this CR 123 has not been combined with the contract under assessment. A LPA for finance and accounting services has been entered in Feb 2024 with XYZ Interactive Entertainment Inc which is a related party. The Framework Service Agreement and SOW related to F&amp;A services has been entered into with similar range of margin as other customer with similar services with ABC. Hence, both the contracts are not combined. </t>
  </si>
  <si>
    <t>As per above evaluation, we conclude that “F&amp;A ISB Services (FTE Based) and F&amp;A ISB Services (UTP Based) are two performance obligations by applying series guidance. 
Recurring Technology Services  cannot benefit the Customer on standalone basis.These are considered as setup activities and are needed to satisfy the main performance obligation. Technology services do not pass any incremental benefit to the customer nor customer can use it on its own. These services are performed so that ABC can carry out the main promised services to the customer and hence, it is not capable of being distinct.Hence are inputs to the overall combined output of the contract.</t>
  </si>
  <si>
    <t xml:space="preserve">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Earnback will be estimated using most likely method , after applying the constraints to the amount, if any before recognising revenue. 
Conditional Discount is measured using estimated value method at the inception and included in thr transaction price by applying constraints. These estimates  will be visited at each reporting period. The discount is recorded as reduction to revenue over the measurement period on monthly basis.
Volume discount to customer is a variable consideration under ASC 606 which needs to be estimated over the period using the expected value method. This would involve creating different scenarios by considering past trends, historical experience, industry benchmarks, etc. to arrive at the expected value by assigning probability weights.
The outcome is estimated using the expected value method, the  volume discount amount is included in the transaction price after considering any constraint to the amount, if any. The volume discount should be revisited at each reporting period.
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Gain share is assessed when negotiation is at the advance stage applying most likely method after applying the constraints to the amount , if any . 
Most Favored Pricing  is a variable consideration and it will be measured using most likely method as per ASC 606. The retrospective price protection clauses change the price paid for goods or services already transferred. As per the current understanding this clause will not trigger and the Company does not expect any reimbursement to XYZ Music under this clause. 
Productivity Gain :- Significant reversal is not probable.
</t>
  </si>
  <si>
    <t>Service credits/ performance credit : In this case service credits/ performance credits are measured on monthly basis. Since the measurement period is a month, estimation of service level credits/ performance credit can be foregone as the estimated amount per month and actuals will almost be the same.  This will be accounted as reduction to revenue on monthly basis in case of service level default.
Service Credit should be recorded as reduction to revenue on monthly basis based on service level default &amp; related percentages stated in the contract. Since the measurement period is quarterly for some metrics, estimation of service credits at the inception should be estimated using expected value method after applying the constraints to the amount,if any.
Earnback will be estimated using Most Likely Method as there would be only two possible outcomes. In preceding Contract Year, if yearly performance average for a Service Level &gt; Target Performance Level for such Critical Service Level, then not to pay any Performance Credits accrued during the preceding Contract Year and if  in preceding Contract Year, yearly performance average for a Service Level &lt; Target Performance Level for such Critical Service Level, then pay  Performance Credits accrued during the preceding Contract Year. Estimated Earnback can be recognized as revenue on annual basis. 
Conditional Discount is measured using estimated value method at the inception and included in thr transaction price by applying constraints. These estimates  will be visited at each reporting period. The discount is recorded as reduction to revenue over the measurement period on monthly basis.
Volume Discount: The estimated Volume discount should be accounted as reduction to revenue on monthly basis over the measurement period i.e the relevant contract year for which volume discount has been calculated.
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Gain share is assessed when negotiation is at the advance stage applying most likely method after applying the constraints to the amount , if any . Hence, the significant reversal of revenue is not probable
Most Favored Pricing  is a variable consideration and it will be measured using most likely method as per ASC 606. The retrospective price protection clauses change the price paid for goods or services already transferred. As per the current understanding this clause will not trigger and the Company does not expect any reimbursement to XYZ Music under this clause. 
Productivity Gains - Most Likely Outcome Method - Productivity gain is a variable consideration under ASC 606 which needs to be estimated over the period using the most likely method. If the outcome is estimated using the most likely method, the minimum committed amount is included in the transaction price after considering any constraint to the amount, if any.
Conclusion: The Productivity benefits are in the nature of efficiency gains which will be passed on to client. This will be recorded as reduction of revenue in the form of reduction in monthly charges.</t>
  </si>
  <si>
    <t>One Time Signing Bonus- An amount of $0.1 Mn will be paid as a credit in the first invoice payable to XYZ Music.</t>
  </si>
  <si>
    <t>Conditional discount is applicable for the initial term of the BPO service contract on the total charges payable by XYZ Music for all services under MSA. It will be provided in the last month of BPO service initial term.</t>
  </si>
  <si>
    <t>Innovation fund will support XYZ Music’s business transformation and innovation plans and drive operation excellence and desired business outcomes. These will be considered as non -distinct deliverables and it will be considered as an input to the BPM services. 
The costs related to these projects which are specifically identified and maintained to showcase the efforts spent on those projects fulfills the criteria of Cost to Fulfill and therefore, will be deferred over the initial contract period + 1 expected renewal.
To be discussed with the US GAAP Team once we identify the projects and actually incur those costs to firm up the accounting.</t>
  </si>
  <si>
    <t>XYZ Music  may, by giving at least 90 days notice to the Supplier and by paying the termination fees specified in the Exhibit B.1 (c ), terminate this Agreement or a Statement of Work in whole or in part for convenience. Since the termination fees is substantial in nature which will discourage client from termination and hence, we have considered the entire contract period of 60 months as the term of the contract.</t>
  </si>
  <si>
    <t xml:space="preserve">Based on current understanding this clause will not trigger and the Company does not expect any reimbursement to XYZ Music under this clause. </t>
  </si>
  <si>
    <t>Depending upon the type of project, accounting will be assessed when the projects are entered into between XYZ Music and ABC.</t>
  </si>
  <si>
    <t>ABC has agreed to provide an a one -time discount payments in relation to providing BPO services.  An amount of $0.1 Mn will be paid as a credit in the first invoice payable to XYZ Music.</t>
  </si>
  <si>
    <t>Gain share is recognized when it is approved by customer. Gain share is the amount that ABC is entitled to, for doing any process improvements for customer over and above what is committed. Hence this variable consideration should be estimated using an appropriate method when the negotiations and discussions with Client on process improvements has reached the advanced stages. The estimates made for variable consideration are subject to the variable consideration constraint, if any.</t>
  </si>
  <si>
    <t xml:space="preserve">ABC will invest upto USD 250 k (50 k per annum), as part of an innovation fund, in the form of ABC transformation resources. This will support future XYZ Music business transformation plans and drive operations excellence and desired business outcomes and be available for XYZ Music. T&amp;E shall be chargeable at actual. </t>
  </si>
  <si>
    <t>The proposed consulting projects that will draw down on the innovation fund will be mutually agreed between parties, at Joint Innovation Council. The resulting benefit (post recovery of respective costs of each party) will be shared between XYZ Music and ABC through a mutually agreed gain-share mechanism.</t>
  </si>
  <si>
    <t xml:space="preserve">The termination fee would be recognized as revenue only when there are no further obligations on ABC part with reference to provisioning of the services. 
</t>
  </si>
  <si>
    <t xml:space="preserve">This clause gives rights to the customer to recover the Service charges in case ABC sell this to Direct Competitors at a lower pricing. Hence it is a variable consideration (measured at most likely method) as per ASC 606 because retrospective price protection clauses change the price paid for goods or services already transferred.
 </t>
  </si>
  <si>
    <t xml:space="preserve">Innovation fund will support XYZ Music’s business transformation and innovation plans and drive operation excellence and desired business outcomes. These will be considered as non -distinct deliverables and it will be considered as an input to the BPM services.
</t>
  </si>
  <si>
    <t xml:space="preserve">ABC </t>
  </si>
  <si>
    <t>XYZ  Entertainment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</si>
</sst>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
    <numFmt numFmtId="165" formatCode="#,##0.0;\-#,##0.0;\-;@"/>
    <numFmt numFmtId="166" formatCode="[$-14009]dd\ mmmm\ yyyy;@"/>
  </numFmts>
  <fonts count="35" x14ac:knownFonts="1">
    <font>
      <sz val="11"/>
      <color theme="1"/>
      <name val="Calibri"/>
      <family val="2"/>
      <scheme val="minor"/>
    </font>
    <font>
      <sz val="10"/>
      <color indexed="8"/>
      <name val="Calibri"/>
      <family val="2"/>
      <scheme val="minor"/>
    </font>
    <font>
      <b/>
      <sz val="11"/>
      <color indexed="9"/>
      <name val="Calibri"/>
      <family val="2"/>
      <scheme val="minor"/>
    </font>
    <font>
      <b/>
      <sz val="11"/>
      <color theme="1"/>
      <name val="Calibri"/>
      <family val="2"/>
      <scheme val="minor"/>
    </font>
    <font>
      <sz val="10"/>
      <color theme="1"/>
      <name val="Calibri"/>
      <family val="2"/>
    </font>
    <font>
      <b/>
      <sz val="10"/>
      <color theme="1"/>
      <name val="Calibri"/>
      <family val="2"/>
    </font>
    <font>
      <i/>
      <sz val="10"/>
      <color theme="1"/>
      <name val="Calibri"/>
      <family val="2"/>
    </font>
    <font>
      <sz val="7"/>
      <color theme="1"/>
      <name val="Times New Roman"/>
      <family val="1"/>
    </font>
    <font>
      <sz val="10"/>
      <color theme="1"/>
      <name val="Calibri"/>
      <family val="2"/>
      <scheme val="minor"/>
    </font>
    <font>
      <b/>
      <sz val="10"/>
      <color rgb="FF000000"/>
      <name val="Calibri"/>
      <family val="2"/>
    </font>
    <font>
      <sz val="10"/>
      <color rgb="FF000000"/>
      <name val="Calibri"/>
      <family val="2"/>
    </font>
    <font>
      <b/>
      <u/>
      <sz val="11"/>
      <color theme="1"/>
      <name val="Calibri"/>
      <family val="2"/>
      <scheme val="minor"/>
    </font>
    <font>
      <b/>
      <u/>
      <sz val="10"/>
      <color theme="1"/>
      <name val="Calibri"/>
      <family val="2"/>
      <scheme val="minor"/>
    </font>
    <font>
      <b/>
      <sz val="10"/>
      <color rgb="FF000000"/>
      <name val="Arial"/>
      <family val="2"/>
    </font>
    <font>
      <b/>
      <sz val="10"/>
      <color rgb="FF000000"/>
      <name val="Calibri"/>
      <family val="2"/>
      <scheme val="minor"/>
    </font>
    <font>
      <sz val="10"/>
      <color rgb="FF000000"/>
      <name val="Calibri"/>
      <family val="2"/>
      <scheme val="minor"/>
    </font>
    <font>
      <b/>
      <sz val="10"/>
      <color theme="1"/>
      <name val="Calibri"/>
      <family val="2"/>
      <scheme val="minor"/>
    </font>
    <font>
      <sz val="10"/>
      <name val="Calibri"/>
      <family val="2"/>
      <scheme val="minor"/>
    </font>
    <font>
      <b/>
      <sz val="10"/>
      <name val="Calibri"/>
      <family val="2"/>
      <scheme val="minor"/>
    </font>
    <font>
      <b/>
      <i/>
      <sz val="10"/>
      <color rgb="FF000000"/>
      <name val="Calibri"/>
      <family val="2"/>
    </font>
    <font>
      <b/>
      <u/>
      <sz val="10"/>
      <color theme="1"/>
      <name val="Calibri"/>
      <family val="2"/>
    </font>
    <font>
      <b/>
      <u/>
      <sz val="10"/>
      <color rgb="FF000000"/>
      <name val="Calibri"/>
      <family val="2"/>
      <scheme val="minor"/>
    </font>
    <font>
      <sz val="10"/>
      <color theme="1"/>
      <name val="Times New Roman"/>
      <family val="1"/>
    </font>
    <font>
      <b/>
      <u/>
      <sz val="10"/>
      <color rgb="FF000000"/>
      <name val="Calibri"/>
      <family val="2"/>
    </font>
    <font>
      <i/>
      <sz val="10"/>
      <color theme="1"/>
      <name val="Times New Roman"/>
      <family val="1"/>
    </font>
    <font>
      <b/>
      <i/>
      <sz val="10"/>
      <color theme="1"/>
      <name val="Calibri"/>
      <family val="2"/>
    </font>
    <font>
      <sz val="11"/>
      <name val="Calibri"/>
      <family val="2"/>
      <scheme val="minor"/>
    </font>
    <font>
      <sz val="11"/>
      <color theme="1"/>
      <name val="Calibri"/>
      <family val="2"/>
    </font>
    <font>
      <sz val="11"/>
      <color rgb="FF000000"/>
      <name val="Calibri"/>
      <family val="2"/>
    </font>
    <font>
      <b/>
      <sz val="11"/>
      <color rgb="FF000000"/>
      <name val="Calibri"/>
      <family val="2"/>
    </font>
    <font>
      <u/>
      <sz val="11"/>
      <color theme="10"/>
      <name val="Calibri"/>
      <family val="2"/>
      <scheme val="minor"/>
    </font>
    <font>
      <sz val="11"/>
      <color theme="5" tint="-0.249977111117893"/>
      <name val="Calibri"/>
      <family val="2"/>
      <scheme val="minor"/>
    </font>
    <font>
      <b/>
      <sz val="9"/>
      <color rgb="FF000000"/>
      <name val="Calibri"/>
      <family val="2"/>
    </font>
    <font>
      <sz val="9"/>
      <color rgb="FF000000"/>
      <name val="Calibri"/>
      <family val="2"/>
    </font>
    <font>
      <sz val="8"/>
      <color rgb="FF000000"/>
      <name val="Calibri"/>
      <family val="2"/>
    </font>
  </fonts>
  <fills count="10">
    <fill>
      <patternFill patternType="none"/>
    </fill>
    <fill>
      <patternFill patternType="gray125"/>
    </fill>
    <fill>
      <patternFill patternType="solid">
        <fgColor indexed="30"/>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0.14999847407452621"/>
        <bgColor indexed="64"/>
      </patternFill>
    </fill>
    <fill>
      <patternFill patternType="solid">
        <fgColor theme="0"/>
        <bgColor indexed="64"/>
      </patternFill>
    </fill>
    <fill>
      <patternFill patternType="solid">
        <fgColor rgb="FFE5B8B7"/>
        <bgColor indexed="64"/>
      </patternFill>
    </fill>
    <fill>
      <patternFill patternType="solid">
        <fgColor theme="0" tint="-4.9989318521683403E-2"/>
        <bgColor indexed="64"/>
      </patternFill>
    </fill>
    <fill>
      <patternFill patternType="solid">
        <fgColor rgb="FFD99594"/>
        <bgColor indexed="64"/>
      </patternFill>
    </fill>
  </fills>
  <borders count="65">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79646"/>
      </left>
      <right style="medium">
        <color rgb="FFF79646"/>
      </right>
      <top style="medium">
        <color rgb="FFF79646"/>
      </top>
      <bottom style="medium">
        <color rgb="FFF79646"/>
      </bottom>
      <diagonal/>
    </border>
    <border>
      <left style="medium">
        <color rgb="FFF79646"/>
      </left>
      <right style="medium">
        <color rgb="FFF79646"/>
      </right>
      <top/>
      <bottom style="medium">
        <color rgb="FFF79646"/>
      </bottom>
      <diagonal/>
    </border>
    <border>
      <left/>
      <right style="medium">
        <color rgb="FFF79646"/>
      </right>
      <top style="medium">
        <color rgb="FFF79646"/>
      </top>
      <bottom style="medium">
        <color rgb="FFF79646"/>
      </bottom>
      <diagonal/>
    </border>
    <border>
      <left/>
      <right style="medium">
        <color rgb="FFF79646"/>
      </right>
      <top/>
      <bottom style="medium">
        <color rgb="FFF79646"/>
      </bottom>
      <diagonal/>
    </border>
    <border>
      <left style="thin">
        <color rgb="FF00338D"/>
      </left>
      <right style="thin">
        <color rgb="FF00338D"/>
      </right>
      <top style="thin">
        <color rgb="FF00338D"/>
      </top>
      <bottom style="thin">
        <color rgb="FF00338D"/>
      </bottom>
      <diagonal/>
    </border>
    <border>
      <left style="medium">
        <color rgb="FFF79646"/>
      </left>
      <right/>
      <top/>
      <bottom/>
      <diagonal/>
    </border>
    <border>
      <left style="medium">
        <color rgb="FFF79646"/>
      </left>
      <right/>
      <top style="medium">
        <color rgb="FFF79646"/>
      </top>
      <bottom style="medium">
        <color rgb="FFF79646"/>
      </bottom>
      <diagonal/>
    </border>
    <border>
      <left style="medium">
        <color rgb="FFF79646"/>
      </left>
      <right style="medium">
        <color rgb="FFF79646"/>
      </right>
      <top/>
      <bottom/>
      <diagonal/>
    </border>
    <border>
      <left style="medium">
        <color rgb="FFF79646"/>
      </left>
      <right style="medium">
        <color rgb="FFF79646"/>
      </right>
      <top style="medium">
        <color rgb="FFF79646"/>
      </top>
      <bottom/>
      <diagonal/>
    </border>
    <border>
      <left/>
      <right style="medium">
        <color rgb="FFF79646"/>
      </right>
      <top/>
      <bottom/>
      <diagonal/>
    </border>
    <border>
      <left/>
      <right style="medium">
        <color rgb="FFF79646"/>
      </right>
      <top style="medium">
        <color rgb="FFF79646"/>
      </top>
      <bottom/>
      <diagonal/>
    </border>
    <border>
      <left style="medium">
        <color rgb="FFF79646"/>
      </left>
      <right/>
      <top style="medium">
        <color rgb="FFF79646"/>
      </top>
      <bottom/>
      <diagonal/>
    </border>
    <border>
      <left style="medium">
        <color rgb="FFF79646"/>
      </left>
      <right/>
      <top/>
      <bottom style="medium">
        <color rgb="FFF79646"/>
      </bottom>
      <diagonal/>
    </border>
    <border>
      <left/>
      <right/>
      <top style="medium">
        <color rgb="FFF79646"/>
      </top>
      <bottom style="medium">
        <color rgb="FFF79646"/>
      </bottom>
      <diagonal/>
    </border>
    <border>
      <left/>
      <right/>
      <top/>
      <bottom style="medium">
        <color rgb="FFF79646"/>
      </bottom>
      <diagonal/>
    </border>
    <border>
      <left/>
      <right/>
      <top style="medium">
        <color rgb="FFF79646"/>
      </top>
      <bottom/>
      <diagonal/>
    </border>
    <border>
      <left style="medium">
        <color theme="5"/>
      </left>
      <right style="medium">
        <color theme="5"/>
      </right>
      <top style="medium">
        <color theme="5"/>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right/>
      <top style="medium">
        <color theme="5"/>
      </top>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5"/>
      </left>
      <right style="thin">
        <color rgb="FF00338D"/>
      </right>
      <top style="medium">
        <color theme="5"/>
      </top>
      <bottom/>
      <diagonal/>
    </border>
    <border>
      <left/>
      <right style="medium">
        <color rgb="FFF79646"/>
      </right>
      <top style="medium">
        <color rgb="FFF79646"/>
      </top>
      <bottom style="medium">
        <color theme="5"/>
      </bottom>
      <diagonal/>
    </border>
    <border>
      <left/>
      <right/>
      <top style="medium">
        <color rgb="FFF79646"/>
      </top>
      <bottom style="medium">
        <color theme="5"/>
      </bottom>
      <diagonal/>
    </border>
    <border>
      <left style="medium">
        <color rgb="FFF79646"/>
      </left>
      <right/>
      <top style="medium">
        <color rgb="FFF79646"/>
      </top>
      <bottom style="medium">
        <color theme="5"/>
      </bottom>
      <diagonal/>
    </border>
    <border>
      <left style="medium">
        <color rgb="FFF79646"/>
      </left>
      <right/>
      <top style="medium">
        <color theme="5"/>
      </top>
      <bottom style="medium">
        <color theme="5"/>
      </bottom>
      <diagonal/>
    </border>
    <border>
      <left/>
      <right style="medium">
        <color rgb="FFF79646"/>
      </right>
      <top style="medium">
        <color theme="5"/>
      </top>
      <bottom style="medium">
        <color theme="5"/>
      </bottom>
      <diagonal/>
    </border>
    <border>
      <left style="medium">
        <color theme="5"/>
      </left>
      <right/>
      <top/>
      <bottom/>
      <diagonal/>
    </border>
    <border>
      <left/>
      <right style="medium">
        <color theme="5"/>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theme="5"/>
      </bottom>
      <diagonal/>
    </border>
    <border>
      <left style="medium">
        <color rgb="FFFF9933"/>
      </left>
      <right/>
      <top style="medium">
        <color rgb="FFFF9933"/>
      </top>
      <bottom style="medium">
        <color rgb="FFFF9933"/>
      </bottom>
      <diagonal/>
    </border>
    <border>
      <left/>
      <right/>
      <top style="medium">
        <color rgb="FFFF9933"/>
      </top>
      <bottom style="medium">
        <color rgb="FFFF9933"/>
      </bottom>
      <diagonal/>
    </border>
    <border>
      <left/>
      <right style="medium">
        <color rgb="FFFF9933"/>
      </right>
      <top style="medium">
        <color rgb="FFFF9933"/>
      </top>
      <bottom style="medium">
        <color rgb="FFFF9933"/>
      </bottom>
      <diagonal/>
    </border>
    <border>
      <left style="medium">
        <color rgb="FFFF9933"/>
      </left>
      <right/>
      <top style="medium">
        <color rgb="FFFF9933"/>
      </top>
      <bottom/>
      <diagonal/>
    </border>
    <border>
      <left/>
      <right/>
      <top style="medium">
        <color rgb="FFFF9933"/>
      </top>
      <bottom/>
      <diagonal/>
    </border>
    <border>
      <left style="medium">
        <color theme="5"/>
      </left>
      <right/>
      <top style="medium">
        <color rgb="FFFF9933"/>
      </top>
      <bottom/>
      <diagonal/>
    </border>
    <border>
      <left/>
      <right style="medium">
        <color rgb="FFFF9933"/>
      </right>
      <top style="medium">
        <color rgb="FFFF9933"/>
      </top>
      <bottom/>
      <diagonal/>
    </border>
    <border>
      <left style="medium">
        <color rgb="FFFF9933"/>
      </left>
      <right/>
      <top/>
      <bottom style="medium">
        <color rgb="FFFF9933"/>
      </bottom>
      <diagonal/>
    </border>
    <border>
      <left/>
      <right style="medium">
        <color rgb="FFFF9933"/>
      </right>
      <top/>
      <bottom style="medium">
        <color rgb="FFFF9933"/>
      </bottom>
      <diagonal/>
    </border>
    <border>
      <left style="medium">
        <color rgb="FFFF9933"/>
      </left>
      <right style="medium">
        <color rgb="FFF79646"/>
      </right>
      <top style="medium">
        <color rgb="FFFF9933"/>
      </top>
      <bottom/>
      <diagonal/>
    </border>
    <border>
      <left style="medium">
        <color rgb="FFFF9933"/>
      </left>
      <right style="medium">
        <color rgb="FFFF9933"/>
      </right>
      <top style="medium">
        <color rgb="FFFF9933"/>
      </top>
      <bottom/>
      <diagonal/>
    </border>
    <border>
      <left style="medium">
        <color rgb="FFFF9933"/>
      </left>
      <right style="medium">
        <color rgb="FFFF9933"/>
      </right>
      <top/>
      <bottom style="medium">
        <color rgb="FFFF9933"/>
      </bottom>
      <diagonal/>
    </border>
    <border>
      <left/>
      <right style="medium">
        <color rgb="FFF79646"/>
      </right>
      <top style="medium">
        <color rgb="FFFF9933"/>
      </top>
      <bottom/>
      <diagonal/>
    </border>
    <border>
      <left style="medium">
        <color rgb="FFFF9933"/>
      </left>
      <right style="medium">
        <color rgb="FFFF9933"/>
      </right>
      <top style="medium">
        <color rgb="FFFF9933"/>
      </top>
      <bottom style="medium">
        <color rgb="FFFF993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rgb="FFF79646"/>
      </left>
      <right style="medium">
        <color theme="5"/>
      </right>
      <top style="medium">
        <color rgb="FFF79646"/>
      </top>
      <bottom/>
      <diagonal/>
    </border>
    <border>
      <left style="medium">
        <color rgb="FFF79646"/>
      </left>
      <right style="medium">
        <color theme="5"/>
      </right>
      <top/>
      <bottom style="medium">
        <color rgb="FFF79646"/>
      </bottom>
      <diagonal/>
    </border>
    <border>
      <left style="medium">
        <color rgb="FFF79646"/>
      </left>
      <right style="medium">
        <color theme="5"/>
      </right>
      <top/>
      <bottom/>
      <diagonal/>
    </border>
    <border>
      <left style="medium">
        <color rgb="FFED7D31"/>
      </left>
      <right style="medium">
        <color rgb="FFED7D31"/>
      </right>
      <top style="medium">
        <color rgb="FFED7D31"/>
      </top>
      <bottom style="medium">
        <color rgb="FFED7D31"/>
      </bottom>
      <diagonal/>
    </border>
    <border>
      <left/>
      <right style="medium">
        <color rgb="FFED7D31"/>
      </right>
      <top style="medium">
        <color rgb="FFED7D31"/>
      </top>
      <bottom style="medium">
        <color rgb="FFED7D31"/>
      </bottom>
      <diagonal/>
    </border>
    <border>
      <left style="medium">
        <color rgb="FFED7D31"/>
      </left>
      <right style="medium">
        <color rgb="FFED7D31"/>
      </right>
      <top/>
      <bottom style="medium">
        <color rgb="FFED7D31"/>
      </bottom>
      <diagonal/>
    </border>
    <border>
      <left/>
      <right style="medium">
        <color rgb="FFED7D31"/>
      </right>
      <top/>
      <bottom style="medium">
        <color rgb="FFED7D31"/>
      </bottom>
      <diagonal/>
    </border>
  </borders>
  <cellStyleXfs count="2">
    <xf numFmtId="0" fontId="0" fillId="0" borderId="0"/>
    <xf numFmtId="0" fontId="30" fillId="0" borderId="0" applyNumberFormat="0" applyFill="0" applyBorder="0" applyAlignment="0" applyProtection="0"/>
  </cellStyleXfs>
  <cellXfs count="364">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5" fontId="1" fillId="0" borderId="1" xfId="0" applyNumberFormat="1" applyFont="1" applyBorder="1" applyAlignment="1">
      <alignment horizontal="center" vertical="center"/>
    </xf>
    <xf numFmtId="9" fontId="1" fillId="0" borderId="1" xfId="0" applyNumberFormat="1" applyFont="1" applyBorder="1" applyAlignment="1">
      <alignment horizontal="center" vertical="center"/>
    </xf>
    <xf numFmtId="16" fontId="1" fillId="0" borderId="1" xfId="0" applyNumberFormat="1" applyFont="1" applyBorder="1" applyAlignment="1">
      <alignment horizontal="center" vertical="center"/>
    </xf>
    <xf numFmtId="0" fontId="0" fillId="0" borderId="0" xfId="0" applyProtection="1">
      <protection locked="0"/>
    </xf>
    <xf numFmtId="0" fontId="0" fillId="0" borderId="0" xfId="0" applyAlignment="1">
      <alignment horizontal="center"/>
    </xf>
    <xf numFmtId="16" fontId="0" fillId="0" borderId="0" xfId="0" applyNumberFormat="1"/>
    <xf numFmtId="9" fontId="0" fillId="0" borderId="0" xfId="0" applyNumberFormat="1"/>
    <xf numFmtId="0" fontId="1"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3" fillId="0" borderId="0" xfId="0" applyFont="1"/>
    <xf numFmtId="0" fontId="0" fillId="5" borderId="0" xfId="0" applyFill="1" applyProtection="1">
      <protection locked="0"/>
    </xf>
    <xf numFmtId="164" fontId="0" fillId="5" borderId="0" xfId="0" applyNumberFormat="1" applyFill="1" applyAlignment="1" applyProtection="1">
      <alignment vertical="center"/>
      <protection locked="0"/>
    </xf>
    <xf numFmtId="0" fontId="5" fillId="0" borderId="0" xfId="0" applyFont="1" applyAlignment="1">
      <alignment vertical="center"/>
    </xf>
    <xf numFmtId="0" fontId="0" fillId="6" borderId="0" xfId="0" applyFill="1" applyProtection="1">
      <protection locked="0"/>
    </xf>
    <xf numFmtId="164" fontId="0" fillId="6" borderId="0" xfId="0" applyNumberFormat="1" applyFill="1" applyAlignment="1" applyProtection="1">
      <alignment vertical="center"/>
      <protection locked="0"/>
    </xf>
    <xf numFmtId="0" fontId="13" fillId="0" borderId="7" xfId="0" applyFont="1" applyBorder="1" applyAlignment="1">
      <alignment vertical="center" wrapText="1"/>
    </xf>
    <xf numFmtId="0" fontId="8" fillId="6" borderId="0" xfId="0" applyFont="1" applyFill="1" applyProtection="1">
      <protection locked="0"/>
    </xf>
    <xf numFmtId="0" fontId="16" fillId="6" borderId="0" xfId="0" applyFont="1" applyFill="1" applyProtection="1">
      <protection locked="0"/>
    </xf>
    <xf numFmtId="0" fontId="0" fillId="6" borderId="0" xfId="0" applyFill="1" applyAlignment="1" applyProtection="1">
      <alignment horizontal="left"/>
      <protection locked="0"/>
    </xf>
    <xf numFmtId="0" fontId="9" fillId="0" borderId="0" xfId="0" applyFont="1" applyAlignment="1">
      <alignment vertical="center"/>
    </xf>
    <xf numFmtId="0" fontId="16" fillId="6" borderId="0" xfId="0" applyFont="1" applyFill="1" applyAlignment="1" applyProtection="1">
      <alignment wrapText="1"/>
      <protection locked="0"/>
    </xf>
    <xf numFmtId="165" fontId="17" fillId="6" borderId="0" xfId="0" applyNumberFormat="1" applyFont="1" applyFill="1" applyAlignment="1" applyProtection="1">
      <alignment vertical="center" wrapText="1"/>
      <protection locked="0"/>
    </xf>
    <xf numFmtId="0" fontId="15" fillId="6" borderId="0" xfId="0" applyFont="1" applyFill="1" applyAlignment="1" applyProtection="1">
      <alignment horizontal="left" vertical="center"/>
      <protection locked="0"/>
    </xf>
    <xf numFmtId="165" fontId="17" fillId="6" borderId="0" xfId="0" applyNumberFormat="1" applyFont="1" applyFill="1" applyAlignment="1" applyProtection="1">
      <alignment horizontal="left" vertical="top" wrapText="1"/>
      <protection locked="0"/>
    </xf>
    <xf numFmtId="165" fontId="17" fillId="6" borderId="0" xfId="0" applyNumberFormat="1" applyFont="1" applyFill="1" applyAlignment="1" applyProtection="1">
      <alignment horizontal="left" vertical="center" wrapText="1"/>
      <protection locked="0"/>
    </xf>
    <xf numFmtId="0" fontId="4" fillId="0" borderId="4" xfId="0" applyFont="1" applyBorder="1" applyAlignment="1">
      <alignment vertical="center" wrapText="1"/>
    </xf>
    <xf numFmtId="0" fontId="4" fillId="0" borderId="6" xfId="0" applyFont="1" applyBorder="1" applyAlignment="1">
      <alignment vertical="center" wrapText="1"/>
    </xf>
    <xf numFmtId="0" fontId="5" fillId="0" borderId="3" xfId="0" applyFont="1" applyBorder="1" applyAlignment="1">
      <alignment vertical="center" wrapText="1"/>
    </xf>
    <xf numFmtId="0" fontId="5" fillId="0" borderId="5" xfId="0" applyFont="1" applyBorder="1" applyAlignment="1">
      <alignment vertical="center" wrapText="1"/>
    </xf>
    <xf numFmtId="0" fontId="4" fillId="0" borderId="11" xfId="0" applyFont="1" applyBorder="1" applyAlignment="1">
      <alignment horizontal="justify" vertical="center" wrapText="1"/>
    </xf>
    <xf numFmtId="0" fontId="4" fillId="0" borderId="4" xfId="0" applyFont="1" applyBorder="1" applyAlignment="1">
      <alignment horizontal="justify" vertical="center" wrapText="1"/>
    </xf>
    <xf numFmtId="0" fontId="9" fillId="0" borderId="0" xfId="0" applyFont="1" applyAlignment="1" applyProtection="1">
      <alignment vertical="center"/>
      <protection locked="0"/>
    </xf>
    <xf numFmtId="0" fontId="9" fillId="0" borderId="3" xfId="0" applyFont="1" applyBorder="1" applyAlignment="1" applyProtection="1">
      <alignment vertical="center" wrapText="1"/>
      <protection locked="0"/>
    </xf>
    <xf numFmtId="0" fontId="9" fillId="0" borderId="4" xfId="0" applyFont="1" applyBorder="1" applyAlignment="1" applyProtection="1">
      <alignment vertical="center" wrapText="1"/>
      <protection locked="0"/>
    </xf>
    <xf numFmtId="0" fontId="10" fillId="0" borderId="6" xfId="0" applyFont="1" applyBorder="1" applyAlignment="1" applyProtection="1">
      <alignment vertical="center" wrapText="1"/>
      <protection locked="0"/>
    </xf>
    <xf numFmtId="165" fontId="18" fillId="8" borderId="29" xfId="0" applyNumberFormat="1" applyFont="1" applyFill="1" applyBorder="1" applyAlignment="1">
      <alignment vertical="center" wrapText="1"/>
    </xf>
    <xf numFmtId="165" fontId="17" fillId="6" borderId="19" xfId="0" applyNumberFormat="1" applyFont="1" applyFill="1" applyBorder="1" applyAlignment="1" applyProtection="1">
      <alignment vertical="center" wrapText="1"/>
      <protection locked="0"/>
    </xf>
    <xf numFmtId="165" fontId="18" fillId="6" borderId="19" xfId="0" applyNumberFormat="1" applyFont="1" applyFill="1" applyBorder="1" applyAlignment="1" applyProtection="1">
      <alignment vertical="center" wrapText="1"/>
      <protection locked="0"/>
    </xf>
    <xf numFmtId="0" fontId="8" fillId="0" borderId="0" xfId="0" applyFont="1"/>
    <xf numFmtId="0" fontId="8" fillId="0" borderId="0" xfId="0" applyFont="1" applyProtection="1">
      <protection locked="0"/>
    </xf>
    <xf numFmtId="0" fontId="10" fillId="0" borderId="19" xfId="0" applyFont="1" applyBorder="1" applyAlignment="1">
      <alignment horizontal="justify" vertical="center" wrapText="1"/>
    </xf>
    <xf numFmtId="0" fontId="5" fillId="0" borderId="16" xfId="0" applyFont="1" applyBorder="1" applyAlignment="1">
      <alignment vertical="center" wrapText="1"/>
    </xf>
    <xf numFmtId="0" fontId="3" fillId="5" borderId="37" xfId="0" applyFont="1" applyFill="1" applyBorder="1" applyAlignment="1" applyProtection="1">
      <alignment vertical="center"/>
      <protection locked="0"/>
    </xf>
    <xf numFmtId="0" fontId="0" fillId="5" borderId="37" xfId="0" applyFill="1" applyBorder="1" applyAlignment="1" applyProtection="1">
      <alignment vertical="center"/>
      <protection locked="0"/>
    </xf>
    <xf numFmtId="0" fontId="10" fillId="0" borderId="3" xfId="0" applyFont="1" applyBorder="1" applyAlignment="1" applyProtection="1">
      <alignment horizontal="left" vertical="center" wrapText="1"/>
      <protection locked="0"/>
    </xf>
    <xf numFmtId="0" fontId="6" fillId="6" borderId="4" xfId="0" applyFont="1" applyFill="1" applyBorder="1" applyAlignment="1" applyProtection="1">
      <alignment vertical="center"/>
      <protection locked="0"/>
    </xf>
    <xf numFmtId="0" fontId="6" fillId="6" borderId="6" xfId="0" applyFont="1" applyFill="1" applyBorder="1" applyAlignment="1" applyProtection="1">
      <alignment vertical="center"/>
      <protection locked="0"/>
    </xf>
    <xf numFmtId="0" fontId="10" fillId="0" borderId="5" xfId="0" applyFont="1" applyBorder="1" applyAlignment="1" applyProtection="1">
      <alignment vertical="center" wrapText="1"/>
      <protection locked="0"/>
    </xf>
    <xf numFmtId="0" fontId="22" fillId="0" borderId="0" xfId="0" applyFont="1" applyAlignment="1" applyProtection="1">
      <alignment vertical="center" wrapText="1"/>
      <protection locked="0"/>
    </xf>
    <xf numFmtId="0" fontId="9" fillId="0" borderId="9"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0" fillId="6" borderId="0" xfId="0" applyFill="1"/>
    <xf numFmtId="0" fontId="6" fillId="6" borderId="5"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20" fillId="0" borderId="0" xfId="0" applyFont="1" applyAlignment="1">
      <alignment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2" fillId="0" borderId="0" xfId="0" applyFont="1"/>
    <xf numFmtId="0" fontId="9" fillId="0" borderId="9" xfId="0" applyFont="1" applyBorder="1" applyAlignment="1">
      <alignment horizontal="left" vertical="center" wrapText="1"/>
    </xf>
    <xf numFmtId="0" fontId="9" fillId="0" borderId="3" xfId="0" applyFont="1" applyBorder="1" applyAlignment="1">
      <alignment vertical="center" wrapText="1"/>
    </xf>
    <xf numFmtId="0" fontId="11" fillId="6" borderId="0" xfId="0" applyFont="1" applyFill="1"/>
    <xf numFmtId="0" fontId="8" fillId="6" borderId="0" xfId="0" applyFont="1" applyFill="1"/>
    <xf numFmtId="0" fontId="10" fillId="0" borderId="0" xfId="0" applyFont="1" applyAlignment="1">
      <alignment horizontal="justify" vertical="center"/>
    </xf>
    <xf numFmtId="0" fontId="15" fillId="0" borderId="0" xfId="0" applyFont="1" applyAlignment="1">
      <alignment horizontal="left" vertical="center"/>
    </xf>
    <xf numFmtId="0" fontId="14" fillId="7" borderId="3" xfId="0" applyFont="1" applyFill="1" applyBorder="1" applyAlignment="1" applyProtection="1">
      <alignment vertical="center"/>
      <protection locked="0"/>
    </xf>
    <xf numFmtId="0" fontId="14" fillId="7" borderId="9" xfId="0" applyFont="1" applyFill="1" applyBorder="1" applyAlignment="1" applyProtection="1">
      <alignment vertical="center"/>
      <protection locked="0"/>
    </xf>
    <xf numFmtId="0" fontId="15" fillId="6" borderId="0" xfId="0" applyFont="1" applyFill="1" applyAlignment="1" applyProtection="1">
      <alignment horizontal="left" vertical="center" wrapText="1"/>
      <protection locked="0"/>
    </xf>
    <xf numFmtId="0" fontId="14" fillId="7" borderId="19" xfId="0" applyFont="1" applyFill="1" applyBorder="1" applyAlignment="1" applyProtection="1">
      <alignment horizontal="left" vertical="center"/>
      <protection locked="0"/>
    </xf>
    <xf numFmtId="0" fontId="4" fillId="6" borderId="3" xfId="0" applyFont="1" applyFill="1" applyBorder="1" applyAlignment="1" applyProtection="1">
      <alignment vertical="center"/>
      <protection locked="0"/>
    </xf>
    <xf numFmtId="0" fontId="4" fillId="6" borderId="4" xfId="0" applyFont="1" applyFill="1" applyBorder="1" applyAlignment="1" applyProtection="1">
      <alignment vertical="center"/>
      <protection locked="0"/>
    </xf>
    <xf numFmtId="0" fontId="4" fillId="6" borderId="4"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28" fillId="0" borderId="0" xfId="0" applyFont="1" applyAlignment="1">
      <alignment vertical="center"/>
    </xf>
    <xf numFmtId="0" fontId="27" fillId="0" borderId="0" xfId="0" applyFont="1" applyAlignment="1">
      <alignment vertical="center" wrapText="1"/>
    </xf>
    <xf numFmtId="0" fontId="29" fillId="0" borderId="0" xfId="0" applyFont="1" applyAlignment="1">
      <alignment vertical="center"/>
    </xf>
    <xf numFmtId="0" fontId="3" fillId="6" borderId="0" xfId="0" applyFont="1" applyFill="1" applyProtection="1">
      <protection locked="0"/>
    </xf>
    <xf numFmtId="0" fontId="5" fillId="0" borderId="48" xfId="0" applyFont="1" applyBorder="1" applyAlignment="1">
      <alignment vertical="center" wrapText="1"/>
    </xf>
    <xf numFmtId="0" fontId="5" fillId="0" borderId="43" xfId="0" applyFont="1" applyBorder="1" applyAlignment="1">
      <alignment vertical="center" wrapText="1"/>
    </xf>
    <xf numFmtId="0" fontId="6" fillId="6" borderId="10" xfId="0" applyFont="1" applyFill="1" applyBorder="1" applyAlignment="1" applyProtection="1">
      <alignment vertical="center"/>
      <protection locked="0"/>
    </xf>
    <xf numFmtId="0" fontId="6" fillId="6" borderId="52" xfId="0" applyFont="1" applyFill="1" applyBorder="1" applyAlignment="1" applyProtection="1">
      <alignment vertical="center"/>
      <protection locked="0"/>
    </xf>
    <xf numFmtId="0" fontId="3" fillId="0" borderId="52" xfId="0" applyFont="1" applyBorder="1"/>
    <xf numFmtId="43" fontId="0" fillId="0" borderId="0" xfId="0" applyNumberFormat="1"/>
    <xf numFmtId="43" fontId="10" fillId="0" borderId="17" xfId="0" applyNumberFormat="1" applyFont="1" applyBorder="1" applyAlignment="1" applyProtection="1">
      <alignment vertical="center" wrapText="1"/>
      <protection locked="0"/>
    </xf>
    <xf numFmtId="43" fontId="10" fillId="0" borderId="6" xfId="0" applyNumberFormat="1" applyFont="1" applyBorder="1" applyAlignment="1" applyProtection="1">
      <alignment vertical="center" wrapText="1"/>
      <protection locked="0"/>
    </xf>
    <xf numFmtId="0" fontId="3" fillId="0" borderId="40" xfId="0" applyFont="1" applyBorder="1"/>
    <xf numFmtId="0" fontId="3" fillId="0" borderId="41" xfId="0" applyFont="1" applyBorder="1"/>
    <xf numFmtId="17" fontId="26" fillId="6" borderId="37" xfId="0" applyNumberFormat="1" applyFont="1" applyFill="1" applyBorder="1" applyAlignment="1">
      <alignment horizontal="center" vertical="center"/>
    </xf>
    <xf numFmtId="0" fontId="0" fillId="5" borderId="53" xfId="0" applyFill="1" applyBorder="1" applyAlignment="1" applyProtection="1">
      <alignment vertical="center"/>
      <protection locked="0"/>
    </xf>
    <xf numFmtId="0" fontId="3" fillId="5" borderId="53" xfId="0" applyFont="1" applyFill="1" applyBorder="1" applyAlignment="1" applyProtection="1">
      <alignment horizontal="center" vertical="center"/>
      <protection locked="0"/>
    </xf>
    <xf numFmtId="0" fontId="0" fillId="6" borderId="0" xfId="0" applyFill="1" applyAlignment="1" applyProtection="1">
      <alignment horizontal="left" vertical="top"/>
      <protection locked="0"/>
    </xf>
    <xf numFmtId="165" fontId="17" fillId="6" borderId="22" xfId="0" applyNumberFormat="1" applyFont="1" applyFill="1" applyBorder="1" applyAlignment="1" applyProtection="1">
      <alignment vertical="center" wrapText="1"/>
      <protection locked="0"/>
    </xf>
    <xf numFmtId="0" fontId="10" fillId="0" borderId="52" xfId="0" applyFont="1" applyBorder="1" applyAlignment="1" applyProtection="1">
      <alignment horizontal="left" vertical="top" wrapText="1"/>
      <protection locked="0"/>
    </xf>
    <xf numFmtId="0" fontId="10" fillId="0" borderId="52"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43" fontId="10" fillId="0" borderId="0" xfId="0" applyNumberFormat="1" applyFont="1" applyAlignment="1" applyProtection="1">
      <alignment vertical="center" wrapText="1"/>
      <protection locked="0"/>
    </xf>
    <xf numFmtId="0" fontId="30" fillId="6" borderId="0" xfId="1" applyFill="1" applyProtection="1">
      <protection locked="0"/>
    </xf>
    <xf numFmtId="0" fontId="15" fillId="0" borderId="0" xfId="0" applyFont="1" applyAlignment="1" applyProtection="1">
      <alignment vertical="center"/>
      <protection locked="0"/>
    </xf>
    <xf numFmtId="0" fontId="14" fillId="0" borderId="0" xfId="0" applyFont="1" applyAlignment="1" applyProtection="1">
      <alignment vertical="center"/>
      <protection locked="0"/>
    </xf>
    <xf numFmtId="0" fontId="10" fillId="0" borderId="0" xfId="0" applyFont="1" applyAlignment="1" applyProtection="1">
      <alignment vertical="center"/>
      <protection locked="0"/>
    </xf>
    <xf numFmtId="0" fontId="9" fillId="0" borderId="13" xfId="0" applyFont="1" applyBorder="1" applyAlignment="1" applyProtection="1">
      <alignment vertical="center" wrapText="1"/>
      <protection locked="0"/>
    </xf>
    <xf numFmtId="0" fontId="10" fillId="0" borderId="0" xfId="0" applyFont="1" applyAlignment="1" applyProtection="1">
      <alignment horizontal="left" vertical="center" wrapText="1"/>
      <protection locked="0"/>
    </xf>
    <xf numFmtId="0" fontId="9" fillId="0" borderId="19" xfId="0" applyFont="1" applyBorder="1" applyAlignment="1" applyProtection="1">
      <alignment vertical="center" wrapText="1"/>
      <protection locked="0"/>
    </xf>
    <xf numFmtId="0" fontId="10" fillId="0" borderId="9"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0" fillId="0" borderId="9" xfId="0" applyFont="1" applyBorder="1" applyAlignment="1" applyProtection="1">
      <alignment horizontal="left" vertical="top" wrapText="1"/>
      <protection locked="0"/>
    </xf>
    <xf numFmtId="0" fontId="10" fillId="0" borderId="3" xfId="0" applyFont="1" applyBorder="1" applyAlignment="1">
      <alignment horizontal="left" vertical="center" wrapText="1"/>
    </xf>
    <xf numFmtId="0" fontId="4" fillId="6" borderId="4" xfId="0" applyFont="1" applyFill="1" applyBorder="1" applyAlignment="1" applyProtection="1">
      <alignment horizontal="left" vertical="center"/>
      <protection locked="0"/>
    </xf>
    <xf numFmtId="0" fontId="10" fillId="0" borderId="19" xfId="0" applyFont="1" applyBorder="1" applyAlignment="1" applyProtection="1">
      <alignment horizontal="left" vertical="center" wrapText="1"/>
      <protection locked="0"/>
    </xf>
    <xf numFmtId="0" fontId="10" fillId="0" borderId="13" xfId="0" applyFont="1" applyBorder="1" applyAlignment="1" applyProtection="1">
      <alignment horizontal="left" vertical="center" wrapText="1"/>
      <protection locked="0"/>
    </xf>
    <xf numFmtId="0" fontId="4" fillId="6" borderId="0" xfId="0" applyFont="1" applyFill="1" applyAlignment="1" applyProtection="1">
      <alignment vertical="center"/>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vertical="center"/>
      <protection locked="0"/>
    </xf>
    <xf numFmtId="0" fontId="4" fillId="6" borderId="0" xfId="0" applyFont="1" applyFill="1" applyAlignment="1" applyProtection="1">
      <alignment horizontal="left" vertical="center" indent="2"/>
      <protection locked="0"/>
    </xf>
    <xf numFmtId="0" fontId="4" fillId="6" borderId="0" xfId="0" applyFont="1" applyFill="1" applyAlignment="1" applyProtection="1">
      <alignment horizontal="left" vertical="center" indent="4"/>
      <protection locked="0"/>
    </xf>
    <xf numFmtId="0" fontId="4" fillId="6" borderId="0" xfId="0" quotePrefix="1" applyFont="1" applyFill="1" applyAlignment="1" applyProtection="1">
      <alignment horizontal="justify" vertical="center"/>
      <protection locked="0"/>
    </xf>
    <xf numFmtId="0" fontId="4" fillId="6" borderId="0" xfId="0" applyFont="1" applyFill="1" applyAlignment="1" applyProtection="1">
      <alignment horizontal="justify" vertical="center"/>
      <protection locked="0"/>
    </xf>
    <xf numFmtId="0" fontId="10" fillId="0" borderId="9" xfId="0" applyFont="1" applyBorder="1" applyAlignment="1">
      <alignment horizontal="left" vertical="center" wrapText="1"/>
    </xf>
    <xf numFmtId="0" fontId="10" fillId="0" borderId="5" xfId="0" applyFont="1" applyBorder="1" applyAlignment="1">
      <alignment horizontal="left" vertical="center" wrapText="1"/>
    </xf>
    <xf numFmtId="165" fontId="17" fillId="6" borderId="19" xfId="0" applyNumberFormat="1" applyFont="1" applyFill="1" applyBorder="1" applyAlignment="1">
      <alignment vertical="center" wrapText="1"/>
    </xf>
    <xf numFmtId="0" fontId="25" fillId="6" borderId="5"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6" xfId="0" applyFont="1" applyFill="1" applyBorder="1" applyAlignment="1" applyProtection="1">
      <alignment horizontal="left" vertical="center"/>
      <protection locked="0"/>
    </xf>
    <xf numFmtId="0" fontId="6" fillId="6" borderId="12" xfId="0" applyFont="1" applyFill="1" applyBorder="1" applyAlignment="1" applyProtection="1">
      <alignment horizontal="left" vertical="center"/>
      <protection locked="0"/>
    </xf>
    <xf numFmtId="0" fontId="6" fillId="6" borderId="52" xfId="0" applyFont="1" applyFill="1" applyBorder="1" applyAlignment="1" applyProtection="1">
      <alignment horizontal="left" vertical="center"/>
      <protection locked="0"/>
    </xf>
    <xf numFmtId="166" fontId="6" fillId="6" borderId="6" xfId="0" applyNumberFormat="1" applyFont="1" applyFill="1" applyBorder="1" applyAlignment="1" applyProtection="1">
      <alignment horizontal="left" vertical="center"/>
      <protection locked="0"/>
    </xf>
    <xf numFmtId="165" fontId="17" fillId="6" borderId="19" xfId="0" applyNumberFormat="1" applyFont="1" applyFill="1" applyBorder="1" applyAlignment="1" applyProtection="1">
      <alignment horizontal="left" vertical="center" wrapText="1"/>
      <protection locked="0"/>
    </xf>
    <xf numFmtId="165" fontId="17" fillId="6" borderId="19" xfId="0" applyNumberFormat="1" applyFont="1" applyFill="1" applyBorder="1" applyAlignment="1" applyProtection="1">
      <alignment horizontal="left" vertical="top" wrapText="1"/>
      <protection locked="0"/>
    </xf>
    <xf numFmtId="0" fontId="10" fillId="0" borderId="17" xfId="0" applyFont="1" applyBorder="1" applyAlignment="1" applyProtection="1">
      <alignment horizontal="left" vertical="center" wrapText="1"/>
      <protection locked="0"/>
    </xf>
    <xf numFmtId="0" fontId="10" fillId="0" borderId="59" xfId="0" applyFont="1" applyBorder="1" applyAlignment="1" applyProtection="1">
      <alignment vertical="center" wrapText="1"/>
      <protection locked="0"/>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164" fontId="0" fillId="6" borderId="0" xfId="0" applyNumberFormat="1" applyFill="1" applyAlignment="1" applyProtection="1">
      <alignment horizontal="left" vertical="top"/>
      <protection locked="0"/>
    </xf>
    <xf numFmtId="164" fontId="8" fillId="6" borderId="0" xfId="0" applyNumberFormat="1" applyFont="1" applyFill="1" applyAlignment="1" applyProtection="1">
      <alignment horizontal="left" vertical="top"/>
      <protection locked="0"/>
    </xf>
    <xf numFmtId="0" fontId="5" fillId="0" borderId="5" xfId="0" applyFont="1" applyBorder="1" applyAlignment="1">
      <alignment horizontal="left" vertical="top" wrapText="1"/>
    </xf>
    <xf numFmtId="0" fontId="4" fillId="0" borderId="19" xfId="0" applyFont="1" applyBorder="1" applyAlignment="1">
      <alignment horizontal="left" vertical="top" wrapText="1"/>
    </xf>
    <xf numFmtId="0" fontId="0" fillId="0" borderId="0" xfId="0" applyAlignment="1">
      <alignment horizontal="left" vertical="top"/>
    </xf>
    <xf numFmtId="0" fontId="5" fillId="0" borderId="51" xfId="0" applyFont="1" applyBorder="1" applyAlignment="1">
      <alignment horizontal="left" vertical="top" wrapText="1"/>
    </xf>
    <xf numFmtId="0" fontId="11" fillId="6" borderId="0" xfId="0" applyFont="1" applyFill="1" applyProtection="1">
      <protection locked="0"/>
    </xf>
    <xf numFmtId="0" fontId="0" fillId="6" borderId="0" xfId="0" applyFill="1" applyAlignment="1" applyProtection="1">
      <alignment wrapText="1"/>
      <protection locked="0"/>
    </xf>
    <xf numFmtId="166" fontId="6" fillId="6" borderId="4" xfId="0" quotePrefix="1" applyNumberFormat="1" applyFont="1" applyFill="1" applyBorder="1" applyAlignment="1" applyProtection="1">
      <alignment horizontal="left" vertical="center"/>
      <protection locked="0"/>
    </xf>
    <xf numFmtId="0" fontId="0" fillId="6" borderId="0" xfId="0" applyFill="1" applyAlignment="1" applyProtection="1">
      <alignment horizontal="left" wrapText="1"/>
      <protection locked="0"/>
    </xf>
    <xf numFmtId="0" fontId="3" fillId="6" borderId="0" xfId="0" applyFont="1" applyFill="1" applyAlignment="1" applyProtection="1">
      <alignment horizontal="left"/>
      <protection locked="0"/>
    </xf>
    <xf numFmtId="0" fontId="32" fillId="0" borderId="61" xfId="0" applyFont="1" applyBorder="1" applyAlignment="1">
      <alignment horizontal="left" vertical="top" wrapText="1"/>
    </xf>
    <xf numFmtId="0" fontId="32" fillId="0" borderId="62" xfId="0" applyFont="1" applyBorder="1" applyAlignment="1">
      <alignment horizontal="left" vertical="top" wrapText="1"/>
    </xf>
    <xf numFmtId="0" fontId="33" fillId="0" borderId="63" xfId="0" applyFont="1" applyBorder="1" applyAlignment="1">
      <alignment horizontal="left" vertical="top" wrapText="1"/>
    </xf>
    <xf numFmtId="0" fontId="33" fillId="0" borderId="64" xfId="0" applyFont="1" applyBorder="1" applyAlignment="1">
      <alignment horizontal="left" vertical="top" wrapText="1"/>
    </xf>
    <xf numFmtId="0" fontId="3" fillId="0" borderId="0" xfId="0" applyFont="1" applyAlignment="1" applyProtection="1">
      <alignment horizontal="left"/>
      <protection locked="0"/>
    </xf>
    <xf numFmtId="0" fontId="0" fillId="0" borderId="0" xfId="0" applyAlignment="1" applyProtection="1">
      <alignment horizontal="left"/>
      <protection locked="0"/>
    </xf>
    <xf numFmtId="0" fontId="0" fillId="6" borderId="0" xfId="0" applyFill="1" applyAlignment="1" applyProtection="1">
      <alignment horizontal="left" vertical="center" wrapText="1"/>
      <protection locked="0"/>
    </xf>
    <xf numFmtId="0" fontId="34" fillId="0" borderId="52" xfId="0" applyFont="1" applyBorder="1" applyAlignment="1" applyProtection="1">
      <alignment horizontal="left" vertical="top" wrapText="1"/>
      <protection locked="0"/>
    </xf>
    <xf numFmtId="0" fontId="0" fillId="0" borderId="0" xfId="0" applyAlignment="1">
      <alignment wrapText="1"/>
    </xf>
    <xf numFmtId="0" fontId="28" fillId="0" borderId="0" xfId="0" applyFont="1" applyAlignment="1">
      <alignment vertical="center"/>
    </xf>
    <xf numFmtId="0" fontId="3" fillId="5" borderId="54" xfId="0" applyFont="1" applyFill="1" applyBorder="1" applyAlignment="1" applyProtection="1">
      <alignment horizontal="left" vertical="center" wrapText="1"/>
      <protection locked="0"/>
    </xf>
    <xf numFmtId="0" fontId="3" fillId="5" borderId="55" xfId="0" applyFont="1" applyFill="1" applyBorder="1" applyAlignment="1" applyProtection="1">
      <alignment horizontal="left" vertical="center" wrapText="1"/>
      <protection locked="0"/>
    </xf>
    <xf numFmtId="0" fontId="3" fillId="5" borderId="54" xfId="0" applyFont="1" applyFill="1" applyBorder="1" applyAlignment="1" applyProtection="1">
      <alignment horizontal="center" vertical="center"/>
      <protection locked="0"/>
    </xf>
    <xf numFmtId="0" fontId="3" fillId="5" borderId="55" xfId="0" applyFont="1" applyFill="1" applyBorder="1" applyAlignment="1" applyProtection="1">
      <alignment horizontal="center" vertical="center"/>
      <protection locked="0"/>
    </xf>
    <xf numFmtId="0" fontId="6" fillId="6" borderId="39" xfId="0" applyFont="1" applyFill="1" applyBorder="1" applyAlignment="1" applyProtection="1">
      <alignment vertical="center"/>
      <protection locked="0"/>
    </xf>
    <xf numFmtId="0" fontId="6" fillId="6" borderId="40" xfId="0" applyFont="1" applyFill="1" applyBorder="1" applyAlignment="1" applyProtection="1">
      <alignment vertical="center"/>
      <protection locked="0"/>
    </xf>
    <xf numFmtId="0" fontId="6" fillId="6" borderId="41" xfId="0" applyFont="1" applyFill="1" applyBorder="1" applyAlignment="1" applyProtection="1">
      <alignment vertical="center"/>
      <protection locked="0"/>
    </xf>
    <xf numFmtId="0" fontId="4" fillId="6" borderId="0" xfId="0" applyFont="1" applyFill="1" applyAlignment="1" applyProtection="1">
      <alignment horizontal="left" vertical="top" wrapText="1"/>
      <protection locked="0"/>
    </xf>
    <xf numFmtId="0" fontId="4" fillId="6" borderId="0" xfId="0" applyFont="1" applyFill="1" applyAlignment="1" applyProtection="1">
      <alignment horizontal="left" vertical="center" wrapText="1"/>
      <protection locked="0"/>
    </xf>
    <xf numFmtId="0" fontId="6" fillId="6" borderId="9"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14" xfId="0" applyFont="1" applyFill="1" applyBorder="1" applyAlignment="1" applyProtection="1">
      <alignment horizontal="left" vertical="center"/>
      <protection locked="0"/>
    </xf>
    <xf numFmtId="0" fontId="6" fillId="6" borderId="15" xfId="0" applyFont="1" applyFill="1" applyBorder="1" applyAlignment="1" applyProtection="1">
      <alignment horizontal="left" vertical="center"/>
      <protection locked="0"/>
    </xf>
    <xf numFmtId="0" fontId="9" fillId="0" borderId="9" xfId="0" applyFont="1" applyBorder="1" applyAlignment="1">
      <alignment horizontal="left" vertical="top" wrapText="1"/>
    </xf>
    <xf numFmtId="0" fontId="9" fillId="0" borderId="16" xfId="0" applyFont="1" applyBorder="1" applyAlignment="1">
      <alignment horizontal="left" vertical="top" wrapText="1"/>
    </xf>
    <xf numFmtId="0" fontId="9" fillId="0" borderId="5" xfId="0" applyFont="1" applyBorder="1" applyAlignment="1">
      <alignment horizontal="left" vertical="top" wrapText="1"/>
    </xf>
    <xf numFmtId="0" fontId="10" fillId="0" borderId="9"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10" fillId="0" borderId="9" xfId="0" applyFont="1" applyBorder="1" applyAlignment="1">
      <alignment horizontal="left" vertical="top" wrapText="1"/>
    </xf>
    <xf numFmtId="0" fontId="10" fillId="0" borderId="5" xfId="0" applyFont="1" applyBorder="1" applyAlignment="1">
      <alignment horizontal="left" vertical="top" wrapText="1"/>
    </xf>
    <xf numFmtId="0" fontId="10" fillId="0" borderId="16" xfId="0" applyFont="1" applyBorder="1" applyAlignment="1">
      <alignment horizontal="left"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2" xfId="0" applyFont="1" applyBorder="1" applyAlignment="1">
      <alignment horizontal="left" vertical="top" wrapText="1"/>
    </xf>
    <xf numFmtId="0" fontId="10" fillId="0" borderId="20" xfId="0" applyFont="1" applyBorder="1" applyAlignment="1" applyProtection="1">
      <alignment horizontal="left" vertical="center" wrapText="1"/>
      <protection locked="0"/>
    </xf>
    <xf numFmtId="0" fontId="10" fillId="0" borderId="21" xfId="0" applyFont="1" applyBorder="1" applyAlignment="1" applyProtection="1">
      <alignment horizontal="left" vertical="center" wrapText="1"/>
      <protection locked="0"/>
    </xf>
    <xf numFmtId="0" fontId="10" fillId="0" borderId="22" xfId="0" applyFont="1" applyBorder="1" applyAlignment="1" applyProtection="1">
      <alignment horizontal="left" vertical="center" wrapText="1"/>
      <protection locked="0"/>
    </xf>
    <xf numFmtId="0" fontId="10" fillId="0" borderId="9" xfId="0" applyFont="1" applyBorder="1" applyAlignment="1">
      <alignment horizontal="left" vertical="center" wrapText="1"/>
    </xf>
    <xf numFmtId="0" fontId="10" fillId="0" borderId="16" xfId="0" applyFont="1" applyBorder="1" applyAlignment="1">
      <alignment horizontal="left"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5" xfId="0" applyFont="1" applyBorder="1" applyAlignment="1">
      <alignment horizontal="left" vertical="center" wrapText="1"/>
    </xf>
    <xf numFmtId="0" fontId="11" fillId="6" borderId="0" xfId="0" applyFont="1" applyFill="1"/>
    <xf numFmtId="0" fontId="9" fillId="7" borderId="8" xfId="0" applyFont="1" applyFill="1" applyBorder="1" applyAlignment="1">
      <alignment horizontal="left" vertical="center"/>
    </xf>
    <xf numFmtId="0" fontId="9" fillId="7" borderId="0" xfId="0" applyFont="1" applyFill="1" applyAlignment="1">
      <alignment horizontal="left" vertical="center"/>
    </xf>
    <xf numFmtId="0" fontId="10" fillId="0" borderId="9" xfId="0" applyFont="1" applyBorder="1" applyAlignment="1" applyProtection="1">
      <alignment horizontal="left" vertical="top" wrapText="1"/>
      <protection locked="0"/>
    </xf>
    <xf numFmtId="0" fontId="10" fillId="0" borderId="16" xfId="0" applyFont="1" applyBorder="1" applyAlignment="1" applyProtection="1">
      <alignment horizontal="left" vertical="top" wrapText="1"/>
      <protection locked="0"/>
    </xf>
    <xf numFmtId="0" fontId="10" fillId="0" borderId="5" xfId="0" applyFont="1" applyBorder="1" applyAlignment="1" applyProtection="1">
      <alignment horizontal="left" vertical="top" wrapText="1"/>
      <protection locked="0"/>
    </xf>
    <xf numFmtId="0" fontId="14" fillId="7" borderId="9" xfId="0" applyFont="1" applyFill="1" applyBorder="1" applyAlignment="1" applyProtection="1">
      <alignment horizontal="left" vertical="center"/>
      <protection locked="0"/>
    </xf>
    <xf numFmtId="0" fontId="14" fillId="7" borderId="16" xfId="0" applyFont="1" applyFill="1" applyBorder="1" applyAlignment="1" applyProtection="1">
      <alignment horizontal="left" vertical="center"/>
      <protection locked="0"/>
    </xf>
    <xf numFmtId="0" fontId="14" fillId="7" borderId="5" xfId="0" applyFont="1" applyFill="1" applyBorder="1" applyAlignment="1" applyProtection="1">
      <alignment horizontal="left" vertical="center"/>
      <protection locked="0"/>
    </xf>
    <xf numFmtId="0" fontId="10" fillId="0" borderId="9" xfId="0" applyFont="1" applyBorder="1" applyAlignment="1" applyProtection="1">
      <alignment vertical="top" wrapText="1"/>
      <protection locked="0"/>
    </xf>
    <xf numFmtId="0" fontId="10" fillId="0" borderId="16" xfId="0" applyFont="1" applyBorder="1" applyAlignment="1" applyProtection="1">
      <alignment vertical="top" wrapText="1"/>
      <protection locked="0"/>
    </xf>
    <xf numFmtId="0" fontId="10" fillId="0" borderId="5" xfId="0" applyFont="1" applyBorder="1" applyAlignment="1" applyProtection="1">
      <alignment vertical="top" wrapText="1"/>
      <protection locked="0"/>
    </xf>
    <xf numFmtId="0" fontId="9" fillId="0" borderId="9"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9" fillId="0" borderId="5" xfId="0" applyFont="1" applyBorder="1" applyAlignment="1" applyProtection="1">
      <alignment horizontal="left" vertical="center" wrapText="1"/>
      <protection locked="0"/>
    </xf>
    <xf numFmtId="0" fontId="15" fillId="6" borderId="9" xfId="0" applyFont="1" applyFill="1" applyBorder="1" applyAlignment="1" applyProtection="1">
      <alignment horizontal="left" vertical="center" wrapText="1"/>
      <protection locked="0"/>
    </xf>
    <xf numFmtId="0" fontId="15" fillId="6" borderId="16" xfId="0" applyFont="1" applyFill="1" applyBorder="1" applyAlignment="1" applyProtection="1">
      <alignment horizontal="left" vertical="center" wrapText="1"/>
      <protection locked="0"/>
    </xf>
    <xf numFmtId="0" fontId="15" fillId="6" borderId="5" xfId="0" applyFont="1" applyFill="1" applyBorder="1" applyAlignment="1" applyProtection="1">
      <alignment horizontal="left" vertical="center" wrapText="1"/>
      <protection locked="0"/>
    </xf>
    <xf numFmtId="0" fontId="14" fillId="6" borderId="9" xfId="0" applyFont="1" applyFill="1" applyBorder="1" applyAlignment="1" applyProtection="1">
      <alignment horizontal="left" vertical="center" wrapText="1"/>
      <protection locked="0"/>
    </xf>
    <xf numFmtId="0" fontId="14" fillId="6" borderId="16" xfId="0" applyFont="1" applyFill="1" applyBorder="1" applyAlignment="1" applyProtection="1">
      <alignment horizontal="left" vertical="center" wrapText="1"/>
      <protection locked="0"/>
    </xf>
    <xf numFmtId="0" fontId="14" fillId="6" borderId="5" xfId="0" applyFont="1" applyFill="1" applyBorder="1" applyAlignment="1" applyProtection="1">
      <alignment horizontal="left" vertical="center" wrapText="1"/>
      <protection locked="0"/>
    </xf>
    <xf numFmtId="0" fontId="14" fillId="6" borderId="9"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14" fillId="6" borderId="5" xfId="0" applyFont="1" applyFill="1" applyBorder="1" applyAlignment="1" applyProtection="1">
      <alignment horizontal="left" vertical="center"/>
      <protection locked="0"/>
    </xf>
    <xf numFmtId="0" fontId="10" fillId="0" borderId="9" xfId="0" applyFont="1" applyBorder="1" applyAlignment="1" applyProtection="1">
      <alignment vertical="center" wrapText="1"/>
      <protection locked="0"/>
    </xf>
    <xf numFmtId="0" fontId="10" fillId="0" borderId="5" xfId="0" applyFont="1" applyBorder="1" applyAlignment="1" applyProtection="1">
      <alignment vertical="center" wrapText="1"/>
      <protection locked="0"/>
    </xf>
    <xf numFmtId="0" fontId="19" fillId="0" borderId="1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9" fillId="0" borderId="32" xfId="0" applyFont="1" applyBorder="1" applyAlignment="1" applyProtection="1">
      <alignment horizontal="left" vertical="center" wrapText="1"/>
      <protection locked="0"/>
    </xf>
    <xf numFmtId="0" fontId="9" fillId="0" borderId="31" xfId="0" applyFont="1" applyBorder="1" applyAlignment="1" applyProtection="1">
      <alignment horizontal="left" vertical="center" wrapText="1"/>
      <protection locked="0"/>
    </xf>
    <xf numFmtId="0" fontId="9" fillId="0" borderId="30" xfId="0" applyFont="1" applyBorder="1" applyAlignment="1" applyProtection="1">
      <alignment horizontal="left" vertical="center" wrapText="1"/>
      <protection locked="0"/>
    </xf>
    <xf numFmtId="0" fontId="10" fillId="0" borderId="33" xfId="0" applyFont="1" applyBorder="1" applyAlignment="1" applyProtection="1">
      <alignment horizontal="left" vertical="center" wrapText="1"/>
      <protection locked="0"/>
    </xf>
    <xf numFmtId="0" fontId="10" fillId="0" borderId="34" xfId="0" applyFont="1" applyBorder="1" applyAlignment="1" applyProtection="1">
      <alignment horizontal="left" vertical="center" wrapText="1"/>
      <protection locked="0"/>
    </xf>
    <xf numFmtId="0" fontId="15" fillId="6" borderId="9" xfId="0" applyFont="1" applyFill="1" applyBorder="1" applyAlignment="1" applyProtection="1">
      <alignment horizontal="left" vertical="center"/>
      <protection locked="0"/>
    </xf>
    <xf numFmtId="0" fontId="15" fillId="6" borderId="16" xfId="0" applyFont="1" applyFill="1" applyBorder="1" applyAlignment="1" applyProtection="1">
      <alignment horizontal="left" vertical="center"/>
      <protection locked="0"/>
    </xf>
    <xf numFmtId="0" fontId="15" fillId="6" borderId="5" xfId="0" applyFont="1" applyFill="1" applyBorder="1" applyAlignment="1" applyProtection="1">
      <alignment horizontal="left" vertical="center"/>
      <protection locked="0"/>
    </xf>
    <xf numFmtId="0" fontId="15" fillId="6" borderId="9" xfId="0" applyFont="1" applyFill="1" applyBorder="1" applyAlignment="1" applyProtection="1">
      <alignment horizontal="left" vertical="top" wrapText="1"/>
      <protection locked="0"/>
    </xf>
    <xf numFmtId="0" fontId="15" fillId="6" borderId="16" xfId="0" applyFont="1" applyFill="1" applyBorder="1" applyAlignment="1" applyProtection="1">
      <alignment horizontal="left" vertical="top" wrapText="1"/>
      <protection locked="0"/>
    </xf>
    <xf numFmtId="0" fontId="15" fillId="6" borderId="5" xfId="0" applyFont="1" applyFill="1" applyBorder="1" applyAlignment="1" applyProtection="1">
      <alignment horizontal="left" vertical="top" wrapText="1"/>
      <protection locked="0"/>
    </xf>
    <xf numFmtId="0" fontId="9" fillId="0" borderId="9" xfId="0" applyFont="1" applyBorder="1" applyAlignment="1" applyProtection="1">
      <alignment vertical="center" wrapText="1"/>
      <protection locked="0"/>
    </xf>
    <xf numFmtId="0" fontId="9" fillId="0" borderId="5" xfId="0" applyFont="1" applyBorder="1" applyAlignment="1" applyProtection="1">
      <alignment vertical="center" wrapText="1"/>
      <protection locked="0"/>
    </xf>
    <xf numFmtId="0" fontId="14" fillId="6" borderId="0" xfId="0" applyFont="1" applyFill="1" applyAlignment="1" applyProtection="1">
      <alignment horizontal="left" vertical="center"/>
      <protection locked="0"/>
    </xf>
    <xf numFmtId="0" fontId="18" fillId="0" borderId="20"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14" fillId="6" borderId="14" xfId="0" applyFont="1" applyFill="1" applyBorder="1" applyAlignment="1" applyProtection="1">
      <alignment horizontal="left" vertical="center"/>
      <protection locked="0"/>
    </xf>
    <xf numFmtId="0" fontId="14" fillId="6" borderId="18" xfId="0" applyFont="1" applyFill="1" applyBorder="1" applyAlignment="1" applyProtection="1">
      <alignment horizontal="left" vertical="center"/>
      <protection locked="0"/>
    </xf>
    <xf numFmtId="0" fontId="14" fillId="6" borderId="13" xfId="0" applyFont="1" applyFill="1" applyBorder="1" applyAlignment="1" applyProtection="1">
      <alignment horizontal="left" vertical="center"/>
      <protection locked="0"/>
    </xf>
    <xf numFmtId="0" fontId="9" fillId="0" borderId="20" xfId="0" applyFont="1" applyBorder="1" applyAlignment="1" applyProtection="1">
      <alignment horizontal="left" vertical="center" wrapText="1"/>
      <protection locked="0"/>
    </xf>
    <xf numFmtId="0" fontId="9" fillId="0" borderId="21"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7" fillId="0" borderId="20" xfId="0" applyFont="1" applyBorder="1" applyAlignment="1" applyProtection="1">
      <alignment horizontal="left" vertical="center" wrapText="1"/>
      <protection locked="0"/>
    </xf>
    <xf numFmtId="0" fontId="17" fillId="0" borderId="21" xfId="0" applyFont="1" applyBorder="1" applyAlignment="1" applyProtection="1">
      <alignment horizontal="left" vertical="center" wrapText="1"/>
      <protection locked="0"/>
    </xf>
    <xf numFmtId="0" fontId="17" fillId="0" borderId="22" xfId="0" applyFont="1" applyBorder="1" applyAlignment="1" applyProtection="1">
      <alignment horizontal="left" vertical="center" wrapText="1"/>
      <protection locked="0"/>
    </xf>
    <xf numFmtId="0" fontId="15" fillId="6" borderId="9" xfId="0" applyFont="1" applyFill="1" applyBorder="1" applyAlignment="1" applyProtection="1">
      <alignment vertical="center"/>
      <protection locked="0"/>
    </xf>
    <xf numFmtId="0" fontId="15" fillId="6" borderId="16" xfId="0" applyFont="1" applyFill="1" applyBorder="1" applyAlignment="1" applyProtection="1">
      <alignment vertical="center"/>
      <protection locked="0"/>
    </xf>
    <xf numFmtId="0" fontId="15" fillId="6" borderId="5" xfId="0" applyFont="1" applyFill="1" applyBorder="1" applyAlignment="1" applyProtection="1">
      <alignment vertical="center"/>
      <protection locked="0"/>
    </xf>
    <xf numFmtId="0" fontId="15" fillId="6" borderId="15" xfId="0" applyFont="1" applyFill="1" applyBorder="1" applyAlignment="1" applyProtection="1">
      <alignment horizontal="left" vertical="center" wrapText="1"/>
      <protection locked="0"/>
    </xf>
    <xf numFmtId="0" fontId="15" fillId="6" borderId="17" xfId="0" applyFont="1" applyFill="1" applyBorder="1" applyAlignment="1" applyProtection="1">
      <alignment horizontal="left" vertical="center" wrapText="1"/>
      <protection locked="0"/>
    </xf>
    <xf numFmtId="0" fontId="15" fillId="6" borderId="6" xfId="0" applyFont="1" applyFill="1" applyBorder="1" applyAlignment="1" applyProtection="1">
      <alignment horizontal="left" vertical="center" wrapText="1"/>
      <protection locked="0"/>
    </xf>
    <xf numFmtId="0" fontId="14" fillId="7" borderId="20" xfId="0" applyFont="1" applyFill="1" applyBorder="1" applyAlignment="1" applyProtection="1">
      <alignment horizontal="left" vertical="center"/>
      <protection locked="0"/>
    </xf>
    <xf numFmtId="0" fontId="14" fillId="7" borderId="21" xfId="0" applyFont="1" applyFill="1" applyBorder="1" applyAlignment="1" applyProtection="1">
      <alignment horizontal="left" vertical="center"/>
      <protection locked="0"/>
    </xf>
    <xf numFmtId="0" fontId="14" fillId="7" borderId="22" xfId="0" applyFont="1" applyFill="1" applyBorder="1" applyAlignment="1" applyProtection="1">
      <alignment horizontal="left" vertical="center"/>
      <protection locked="0"/>
    </xf>
    <xf numFmtId="0" fontId="14" fillId="6" borderId="17" xfId="0" applyFont="1" applyFill="1" applyBorder="1" applyAlignment="1" applyProtection="1">
      <alignment horizontal="left" vertical="center"/>
      <protection locked="0"/>
    </xf>
    <xf numFmtId="0" fontId="14" fillId="6" borderId="6" xfId="0" applyFont="1" applyFill="1" applyBorder="1" applyAlignment="1" applyProtection="1">
      <alignment horizontal="left" vertical="center"/>
      <protection locked="0"/>
    </xf>
    <xf numFmtId="0" fontId="14" fillId="6" borderId="31" xfId="0" applyFont="1" applyFill="1" applyBorder="1" applyAlignment="1" applyProtection="1">
      <alignment horizontal="left" vertical="center"/>
      <protection locked="0"/>
    </xf>
    <xf numFmtId="0" fontId="14" fillId="6" borderId="30" xfId="0" applyFont="1" applyFill="1" applyBorder="1" applyAlignment="1" applyProtection="1">
      <alignment horizontal="left" vertical="center"/>
      <protection locked="0"/>
    </xf>
    <xf numFmtId="0" fontId="14" fillId="7" borderId="14" xfId="0"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0" fontId="14" fillId="7" borderId="26" xfId="0" applyFont="1" applyFill="1" applyBorder="1" applyAlignment="1" applyProtection="1">
      <alignment horizontal="left" vertical="center"/>
      <protection locked="0"/>
    </xf>
    <xf numFmtId="0" fontId="14" fillId="7" borderId="27" xfId="0" applyFont="1" applyFill="1" applyBorder="1" applyAlignment="1" applyProtection="1">
      <alignment horizontal="left" vertical="center"/>
      <protection locked="0"/>
    </xf>
    <xf numFmtId="0" fontId="14" fillId="7" borderId="38" xfId="0" applyFont="1" applyFill="1" applyBorder="1" applyAlignment="1" applyProtection="1">
      <alignment horizontal="left" vertical="center"/>
      <protection locked="0"/>
    </xf>
    <xf numFmtId="0" fontId="14" fillId="7" borderId="20" xfId="0" applyFont="1" applyFill="1" applyBorder="1" applyAlignment="1">
      <alignment horizontal="left" vertical="center" wrapText="1"/>
    </xf>
    <xf numFmtId="0" fontId="14" fillId="7" borderId="21" xfId="0" applyFont="1" applyFill="1" applyBorder="1" applyAlignment="1">
      <alignment horizontal="left" vertical="center" wrapText="1"/>
    </xf>
    <xf numFmtId="0" fontId="14" fillId="7" borderId="22" xfId="0" applyFont="1" applyFill="1" applyBorder="1" applyAlignment="1">
      <alignment horizontal="left" vertical="center" wrapText="1"/>
    </xf>
    <xf numFmtId="165" fontId="17" fillId="6" borderId="23" xfId="0" applyNumberFormat="1" applyFont="1" applyFill="1" applyBorder="1" applyAlignment="1" applyProtection="1">
      <alignment horizontal="left" vertical="center" wrapText="1"/>
      <protection locked="0"/>
    </xf>
    <xf numFmtId="165" fontId="17" fillId="6" borderId="25" xfId="0" applyNumberFormat="1" applyFont="1" applyFill="1" applyBorder="1" applyAlignment="1" applyProtection="1">
      <alignment horizontal="left" vertical="center" wrapText="1"/>
      <protection locked="0"/>
    </xf>
    <xf numFmtId="165" fontId="17" fillId="6" borderId="20" xfId="0" applyNumberFormat="1" applyFont="1" applyFill="1" applyBorder="1" applyAlignment="1" applyProtection="1">
      <alignment horizontal="left" vertical="center" wrapText="1"/>
      <protection locked="0"/>
    </xf>
    <xf numFmtId="165" fontId="17" fillId="6" borderId="21" xfId="0" applyNumberFormat="1" applyFont="1" applyFill="1" applyBorder="1" applyAlignment="1" applyProtection="1">
      <alignment horizontal="left" vertical="center" wrapText="1"/>
      <protection locked="0"/>
    </xf>
    <xf numFmtId="165" fontId="17" fillId="6" borderId="22"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4" fillId="7" borderId="22" xfId="0" applyFont="1" applyFill="1" applyBorder="1" applyAlignment="1">
      <alignment horizontal="left" vertical="center"/>
    </xf>
    <xf numFmtId="0" fontId="14" fillId="7" borderId="56" xfId="0" applyFont="1" applyFill="1" applyBorder="1" applyAlignment="1">
      <alignment horizontal="left" vertical="center"/>
    </xf>
    <xf numFmtId="0" fontId="14" fillId="7" borderId="57" xfId="0" applyFont="1" applyFill="1" applyBorder="1" applyAlignment="1">
      <alignment horizontal="left" vertical="center"/>
    </xf>
    <xf numFmtId="0" fontId="14" fillId="7" borderId="53" xfId="0" applyFont="1" applyFill="1" applyBorder="1" applyAlignment="1">
      <alignment horizontal="left" vertical="center"/>
    </xf>
    <xf numFmtId="165" fontId="17" fillId="6" borderId="20" xfId="0" applyNumberFormat="1" applyFont="1" applyFill="1" applyBorder="1" applyAlignment="1" applyProtection="1">
      <alignment horizontal="left" vertical="top" wrapText="1"/>
      <protection locked="0"/>
    </xf>
    <xf numFmtId="165" fontId="17" fillId="6" borderId="21" xfId="0" applyNumberFormat="1" applyFont="1" applyFill="1" applyBorder="1" applyAlignment="1" applyProtection="1">
      <alignment horizontal="left" vertical="top" wrapText="1"/>
      <protection locked="0"/>
    </xf>
    <xf numFmtId="165" fontId="17" fillId="6" borderId="22" xfId="0" applyNumberFormat="1" applyFont="1" applyFill="1" applyBorder="1" applyAlignment="1" applyProtection="1">
      <alignment horizontal="left" vertical="top" wrapText="1"/>
      <protection locked="0"/>
    </xf>
    <xf numFmtId="165" fontId="18" fillId="6" borderId="24" xfId="0" applyNumberFormat="1" applyFont="1" applyFill="1" applyBorder="1" applyAlignment="1" applyProtection="1">
      <alignment horizontal="left" vertical="center" wrapText="1"/>
      <protection locked="0"/>
    </xf>
    <xf numFmtId="165" fontId="18" fillId="6" borderId="23" xfId="0" applyNumberFormat="1" applyFont="1" applyFill="1" applyBorder="1" applyAlignment="1" applyProtection="1">
      <alignment horizontal="left" vertical="center" wrapText="1"/>
      <protection locked="0"/>
    </xf>
    <xf numFmtId="165" fontId="18" fillId="6" borderId="25" xfId="0" applyNumberFormat="1" applyFont="1" applyFill="1" applyBorder="1" applyAlignment="1" applyProtection="1">
      <alignment horizontal="left" vertical="center" wrapText="1"/>
      <protection locked="0"/>
    </xf>
    <xf numFmtId="0" fontId="9" fillId="0" borderId="14"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4" fillId="9" borderId="20" xfId="0" applyFont="1" applyFill="1" applyBorder="1" applyAlignment="1" applyProtection="1">
      <alignment horizontal="center" vertical="center" wrapText="1"/>
      <protection locked="0"/>
    </xf>
    <xf numFmtId="0" fontId="14" fillId="9" borderId="21" xfId="0" applyFont="1" applyFill="1" applyBorder="1" applyAlignment="1" applyProtection="1">
      <alignment horizontal="center" vertical="center" wrapText="1"/>
      <protection locked="0"/>
    </xf>
    <xf numFmtId="0" fontId="14" fillId="9" borderId="22" xfId="0" applyFont="1" applyFill="1" applyBorder="1" applyAlignment="1" applyProtection="1">
      <alignment horizontal="center" vertical="center" wrapText="1"/>
      <protection locked="0"/>
    </xf>
    <xf numFmtId="0" fontId="10" fillId="0" borderId="20" xfId="0" applyFont="1" applyBorder="1" applyAlignment="1" applyProtection="1">
      <alignment horizontal="left" vertical="top" wrapText="1"/>
      <protection locked="0"/>
    </xf>
    <xf numFmtId="0" fontId="10" fillId="0" borderId="21" xfId="0" applyFont="1" applyBorder="1" applyAlignment="1" applyProtection="1">
      <alignment horizontal="left" vertical="top" wrapText="1"/>
      <protection locked="0"/>
    </xf>
    <xf numFmtId="0" fontId="10" fillId="0" borderId="22" xfId="0" applyFont="1" applyBorder="1" applyAlignment="1" applyProtection="1">
      <alignment horizontal="left" vertical="top" wrapText="1"/>
      <protection locked="0"/>
    </xf>
    <xf numFmtId="0" fontId="10" fillId="0" borderId="26" xfId="0" applyFont="1" applyBorder="1" applyAlignment="1" applyProtection="1">
      <alignment horizontal="left" vertical="center" wrapText="1"/>
      <protection locked="0"/>
    </xf>
    <xf numFmtId="0" fontId="10" fillId="0" borderId="27" xfId="0" applyFont="1" applyBorder="1" applyAlignment="1" applyProtection="1">
      <alignment horizontal="left" vertical="center" wrapText="1"/>
      <protection locked="0"/>
    </xf>
    <xf numFmtId="0" fontId="10" fillId="0" borderId="28" xfId="0" applyFont="1" applyBorder="1" applyAlignment="1" applyProtection="1">
      <alignment horizontal="left" vertical="center" wrapText="1"/>
      <protection locked="0"/>
    </xf>
    <xf numFmtId="0" fontId="24" fillId="0" borderId="20" xfId="0" applyFont="1" applyBorder="1" applyAlignment="1" applyProtection="1">
      <alignment horizontal="left" vertical="center"/>
      <protection locked="0"/>
    </xf>
    <xf numFmtId="0" fontId="24" fillId="0" borderId="21"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14" fillId="9" borderId="20" xfId="0" applyFont="1" applyFill="1" applyBorder="1" applyAlignment="1" applyProtection="1">
      <alignment horizontal="left" vertical="center" wrapText="1"/>
      <protection locked="0"/>
    </xf>
    <xf numFmtId="0" fontId="14" fillId="9" borderId="21" xfId="0" applyFont="1" applyFill="1" applyBorder="1" applyAlignment="1" applyProtection="1">
      <alignment horizontal="left" vertical="center" wrapText="1"/>
      <protection locked="0"/>
    </xf>
    <xf numFmtId="0" fontId="14" fillId="9" borderId="22" xfId="0" applyFont="1" applyFill="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4" fillId="0" borderId="49" xfId="0" applyFont="1" applyBorder="1" applyAlignment="1">
      <alignment horizontal="left" vertical="top" wrapText="1"/>
    </xf>
    <xf numFmtId="0" fontId="4" fillId="0" borderId="50" xfId="0" applyFont="1" applyBorder="1" applyAlignment="1">
      <alignment horizontal="left" vertical="top" wrapText="1"/>
    </xf>
    <xf numFmtId="0" fontId="4" fillId="0" borderId="42"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7"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2" xfId="0" applyFont="1" applyBorder="1" applyAlignment="1">
      <alignment horizontal="center" vertical="center" wrapText="1"/>
    </xf>
    <xf numFmtId="0" fontId="14" fillId="9" borderId="20" xfId="0" applyFont="1" applyFill="1" applyBorder="1" applyAlignment="1">
      <alignment horizontal="left" vertical="center" wrapText="1"/>
    </xf>
    <xf numFmtId="0" fontId="14" fillId="9" borderId="21" xfId="0" applyFont="1" applyFill="1" applyBorder="1" applyAlignment="1">
      <alignment horizontal="left" vertical="center" wrapText="1"/>
    </xf>
    <xf numFmtId="0" fontId="14" fillId="9" borderId="22" xfId="0" applyFont="1" applyFill="1" applyBorder="1" applyAlignment="1">
      <alignment horizontal="left" vertical="center" wrapText="1"/>
    </xf>
    <xf numFmtId="0" fontId="5" fillId="0" borderId="20" xfId="0" applyFont="1" applyBorder="1" applyAlignment="1">
      <alignment horizontal="center" vertical="center" wrapText="1"/>
    </xf>
    <xf numFmtId="0" fontId="5" fillId="0" borderId="22"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4" fillId="0" borderId="28" xfId="0" applyFont="1" applyBorder="1" applyAlignment="1" applyProtection="1">
      <alignment horizontal="center" vertical="center" wrapText="1"/>
      <protection locked="0"/>
    </xf>
    <xf numFmtId="0" fontId="10" fillId="0" borderId="24" xfId="0" applyFont="1" applyBorder="1" applyAlignment="1" applyProtection="1">
      <alignment horizontal="center" vertical="center" wrapText="1"/>
      <protection locked="0"/>
    </xf>
    <xf numFmtId="0" fontId="10" fillId="0" borderId="25" xfId="0" applyFont="1" applyBorder="1" applyAlignment="1" applyProtection="1">
      <alignment horizontal="center" vertical="center" wrapText="1"/>
      <protection locked="0"/>
    </xf>
    <xf numFmtId="0" fontId="10" fillId="0" borderId="26" xfId="0" applyFont="1" applyBorder="1" applyAlignment="1" applyProtection="1">
      <alignment horizontal="center" vertical="center" wrapText="1"/>
      <protection locked="0"/>
    </xf>
    <xf numFmtId="0" fontId="10" fillId="0" borderId="28"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9" fillId="0" borderId="22" xfId="0" applyFont="1" applyBorder="1" applyAlignment="1">
      <alignment horizontal="center" vertical="center" wrapText="1"/>
    </xf>
    <xf numFmtId="0" fontId="10" fillId="0" borderId="35" xfId="0" applyFont="1" applyBorder="1" applyAlignment="1" applyProtection="1">
      <alignment horizontal="center" vertical="center" wrapText="1"/>
      <protection locked="0"/>
    </xf>
    <xf numFmtId="0" fontId="10" fillId="0" borderId="36" xfId="0" applyFont="1" applyBorder="1" applyAlignment="1" applyProtection="1">
      <alignment horizontal="center" vertical="center" wrapText="1"/>
      <protection locked="0"/>
    </xf>
    <xf numFmtId="0" fontId="4" fillId="0" borderId="58" xfId="0" applyFont="1" applyBorder="1" applyAlignment="1" applyProtection="1">
      <alignment horizontal="left" vertical="center" wrapText="1"/>
      <protection locked="0"/>
    </xf>
    <xf numFmtId="0" fontId="4" fillId="0" borderId="59" xfId="0" applyFont="1" applyBorder="1" applyAlignment="1" applyProtection="1">
      <alignment horizontal="left" vertical="center" wrapText="1"/>
      <protection locked="0"/>
    </xf>
    <xf numFmtId="0" fontId="10" fillId="0" borderId="11" xfId="0" applyFont="1" applyBorder="1" applyAlignment="1">
      <alignment vertical="center" wrapText="1"/>
    </xf>
    <xf numFmtId="0" fontId="10" fillId="0" borderId="4" xfId="0" applyFont="1" applyBorder="1" applyAlignment="1">
      <alignment vertical="center" wrapText="1"/>
    </xf>
    <xf numFmtId="0" fontId="10" fillId="0" borderId="58" xfId="0" applyFont="1" applyBorder="1" applyAlignment="1" applyProtection="1">
      <alignment horizontal="left" vertical="center" wrapText="1"/>
      <protection locked="0"/>
    </xf>
    <xf numFmtId="0" fontId="10" fillId="0" borderId="59" xfId="0" applyFont="1" applyBorder="1" applyAlignment="1" applyProtection="1">
      <alignment horizontal="left" vertical="center" wrapText="1"/>
      <protection locked="0"/>
    </xf>
    <xf numFmtId="0" fontId="10" fillId="0" borderId="20" xfId="0" applyFont="1" applyBorder="1" applyAlignment="1" applyProtection="1">
      <alignment horizontal="center" vertical="center" wrapText="1"/>
      <protection locked="0"/>
    </xf>
    <xf numFmtId="0" fontId="10" fillId="0" borderId="22" xfId="0" applyFont="1" applyBorder="1" applyAlignment="1" applyProtection="1">
      <alignment horizontal="center" vertical="center" wrapText="1"/>
      <protection locked="0"/>
    </xf>
    <xf numFmtId="0" fontId="10" fillId="0" borderId="11"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10" xfId="0" applyFont="1" applyBorder="1" applyAlignment="1">
      <alignment horizontal="justify" vertical="center" wrapText="1"/>
    </xf>
    <xf numFmtId="0" fontId="10" fillId="0" borderId="60" xfId="0" applyFont="1" applyBorder="1" applyAlignment="1" applyProtection="1">
      <alignment horizontal="left" vertical="center" wrapText="1"/>
      <protection locked="0"/>
    </xf>
    <xf numFmtId="0" fontId="3" fillId="6" borderId="0" xfId="0" applyFont="1" applyFill="1" applyAlignment="1" applyProtection="1">
      <alignment horizontal="left" vertical="top"/>
      <protection locked="0"/>
    </xf>
    <xf numFmtId="0" fontId="0" fillId="6" borderId="0" xfId="0" applyFill="1" applyAlignment="1" applyProtection="1">
      <alignment wrapText="1"/>
      <protection locked="0"/>
    </xf>
    <xf numFmtId="0" fontId="0" fillId="6" borderId="0" xfId="0" applyFill="1" applyAlignment="1" applyProtection="1">
      <alignment horizontal="left"/>
      <protection locked="0"/>
    </xf>
    <xf numFmtId="0" fontId="3" fillId="6" borderId="0" xfId="0" applyFont="1" applyFill="1" applyProtection="1">
      <protection locked="0"/>
    </xf>
    <xf numFmtId="0" fontId="0" fillId="6" borderId="0" xfId="0" applyFill="1" applyAlignment="1" applyProtection="1">
      <alignment horizontal="left" wrapText="1"/>
      <protection locked="0"/>
    </xf>
    <xf numFmtId="0" fontId="0" fillId="0" borderId="0" xfId="0" applyAlignment="1" applyProtection="1">
      <alignment horizontal="left" wrapText="1"/>
      <protection locked="0"/>
    </xf>
    <xf numFmtId="0" fontId="0" fillId="6" borderId="0" xfId="0" applyFill="1" applyAlignment="1" applyProtection="1">
      <alignment horizontal="center"/>
      <protection locked="0"/>
    </xf>
    <xf numFmtId="0" fontId="3" fillId="6" borderId="0" xfId="0" applyFont="1" applyFill="1" applyAlignment="1" applyProtection="1">
      <alignment horizontal="left" vertical="center" wrapText="1"/>
      <protection locked="0"/>
    </xf>
    <xf numFmtId="0" fontId="0" fillId="6" borderId="0" xfId="0" applyFill="1" applyAlignment="1" applyProtection="1">
      <alignment horizontal="left" vertical="top" wrapText="1"/>
      <protection locked="0"/>
    </xf>
    <xf numFmtId="0" fontId="0" fillId="6" borderId="0" xfId="0" applyFill="1" applyAlignment="1" applyProtection="1">
      <alignment horizontal="left" vertical="top"/>
      <protection locked="0"/>
    </xf>
    <xf numFmtId="0" fontId="3" fillId="6" borderId="0" xfId="0" applyFont="1" applyFill="1" applyAlignment="1" applyProtection="1">
      <alignment horizontal="left"/>
      <protection locked="0"/>
    </xf>
    <xf numFmtId="0" fontId="0" fillId="6" borderId="0" xfId="0" applyFill="1" applyAlignment="1" applyProtection="1">
      <alignment horizontal="left" vertical="center" wrapText="1"/>
      <protection locked="0"/>
    </xf>
    <xf numFmtId="0" fontId="31" fillId="6" borderId="0" xfId="0" applyFont="1" applyFill="1" applyAlignment="1" applyProtection="1">
      <alignment horizontal="left" vertical="top" wrapText="1"/>
      <protection locked="0"/>
    </xf>
    <xf numFmtId="0" fontId="0" fillId="6" borderId="0" xfId="0" applyFill="1" applyProtection="1">
      <protection locked="0"/>
    </xf>
    <xf numFmtId="0" fontId="0" fillId="0" borderId="0" xfId="0" applyAlignment="1" applyProtection="1">
      <alignment wrapText="1"/>
      <protection locked="0"/>
    </xf>
    <xf numFmtId="0" fontId="3" fillId="0" borderId="0" xfId="0" applyFont="1" applyAlignment="1" applyProtection="1">
      <alignment horizontal="left"/>
      <protection locked="0"/>
    </xf>
    <xf numFmtId="0" fontId="0" fillId="0" borderId="0" xfId="0" applyAlignment="1" applyProtection="1">
      <alignment horizontal="left"/>
      <protection locked="0"/>
    </xf>
    <xf numFmtId="0" fontId="3" fillId="0" borderId="0" xfId="0" applyFont="1" applyAlignment="1">
      <alignment horizontal="center"/>
    </xf>
    <xf numFmtId="164" fontId="0" fillId="0" borderId="0" xfId="0" applyNumberFormat="1" applyAlignment="1">
      <alignment horizontal="center" vertical="center"/>
    </xf>
  </cellXfs>
  <cellStyles count="2">
    <cellStyle name="Hyperlink" xfId="1" builtinId="8"/>
    <cellStyle name="Normal" xfId="0" builtinId="0"/>
  </cellStyles>
  <dxfs count="26">
    <dxf>
      <fill>
        <patternFill>
          <bgColor rgb="FFFF0000"/>
        </patternFill>
      </fill>
    </dxf>
    <dxf>
      <fill>
        <patternFill>
          <bgColor theme="7"/>
        </patternFill>
      </fill>
    </dxf>
    <dxf>
      <fill>
        <patternFill>
          <bgColor rgb="FF92D05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92D050"/>
        </patternFill>
      </fill>
    </dxf>
    <dxf>
      <fill>
        <patternFill>
          <bgColor rgb="FFFF5050"/>
        </patternFill>
      </fill>
    </dxf>
    <dxf>
      <fill>
        <patternFill>
          <bgColor rgb="FF92D050"/>
        </patternFill>
      </fill>
    </dxf>
    <dxf>
      <fill>
        <patternFill>
          <bgColor rgb="FFFF5050"/>
        </patternFill>
      </fill>
    </dxf>
  </dxfs>
  <tableStyles count="0" defaultTableStyle="TableStyleMedium2" defaultPivotStyle="PivotStyleLight16"/>
  <colors>
    <mruColors>
      <color rgb="FFFF505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_rels/drawing2.xml.rels><?xml version="1.0" encoding="UTF-8" standalone="yes"?>
<Relationships xmlns="http://schemas.openxmlformats.org/package/2006/relationships"><Relationship Id="rId8" Type="http://schemas.openxmlformats.org/officeDocument/2006/relationships/hyperlink" Target="#'Other Issues'!A1"/><Relationship Id="rId3" Type="http://schemas.openxmlformats.org/officeDocument/2006/relationships/hyperlink" Target="#'Step 2'!A1"/><Relationship Id="rId7" Type="http://schemas.openxmlformats.org/officeDocument/2006/relationships/hyperlink" Target="#Cost!A1"/><Relationship Id="rId2" Type="http://schemas.openxmlformats.org/officeDocument/2006/relationships/hyperlink" Target="#'Step 1'!A1"/><Relationship Id="rId1" Type="http://schemas.openxmlformats.org/officeDocument/2006/relationships/hyperlink" Target="#Dashboard!A1"/><Relationship Id="rId6" Type="http://schemas.openxmlformats.org/officeDocument/2006/relationships/hyperlink" Target="#'Step 5'!A1"/><Relationship Id="rId5" Type="http://schemas.openxmlformats.org/officeDocument/2006/relationships/hyperlink" Target="#'Step 4'!A1"/><Relationship Id="rId10" Type="http://schemas.openxmlformats.org/officeDocument/2006/relationships/hyperlink" Target="#Assesment!A1"/><Relationship Id="rId4" Type="http://schemas.openxmlformats.org/officeDocument/2006/relationships/hyperlink" Target="#'Step 3'!A1"/><Relationship Id="rId9" Type="http://schemas.openxmlformats.org/officeDocument/2006/relationships/hyperlink" Target="#'Contract Clause'!A1"/></Relationships>
</file>

<file path=xl/drawings/_rels/drawing3.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4.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5.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6.xml.rels><?xml version="1.0" encoding="UTF-8" standalone="yes"?>
<Relationships xmlns="http://schemas.openxmlformats.org/package/2006/relationships"><Relationship Id="rId3" Type="http://schemas.openxmlformats.org/officeDocument/2006/relationships/hyperlink" Target="#'Other Issues'!A1"/><Relationship Id="rId2" Type="http://schemas.openxmlformats.org/officeDocument/2006/relationships/hyperlink" Target="#Cost!A1"/><Relationship Id="rId1" Type="http://schemas.openxmlformats.org/officeDocument/2006/relationships/hyperlink" Target="#'Step 5'!A1"/><Relationship Id="rId5" Type="http://schemas.openxmlformats.org/officeDocument/2006/relationships/hyperlink" Target="#Assesment!A1"/><Relationship Id="rId4" Type="http://schemas.openxmlformats.org/officeDocument/2006/relationships/hyperlink" Target="#'Contract Clause'!A1"/></Relationships>
</file>

<file path=xl/drawings/_rels/drawing7.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8.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9.xml.rels><?xml version="1.0" encoding="UTF-8" standalone="yes"?>
<Relationships xmlns="http://schemas.openxmlformats.org/package/2006/relationships"><Relationship Id="rId8" Type="http://schemas.openxmlformats.org/officeDocument/2006/relationships/hyperlink" Target="#'Step 3'!A1"/><Relationship Id="rId3" Type="http://schemas.openxmlformats.org/officeDocument/2006/relationships/hyperlink" Target="#'Step 4'!A1"/><Relationship Id="rId7" Type="http://schemas.openxmlformats.org/officeDocument/2006/relationships/hyperlink" Target="#'Step 2'!A1"/><Relationship Id="rId2" Type="http://schemas.openxmlformats.org/officeDocument/2006/relationships/hyperlink" Target="#Assesment!A1"/><Relationship Id="rId1" Type="http://schemas.openxmlformats.org/officeDocument/2006/relationships/hyperlink" Target="#'Contract Clause'!A1"/><Relationship Id="rId6" Type="http://schemas.openxmlformats.org/officeDocument/2006/relationships/hyperlink" Target="#'Step 1'!A1"/><Relationship Id="rId11" Type="http://schemas.openxmlformats.org/officeDocument/2006/relationships/hyperlink" Target="#'Other Issues'!A1"/><Relationship Id="rId5" Type="http://schemas.openxmlformats.org/officeDocument/2006/relationships/hyperlink" Target="#Intro!A1"/><Relationship Id="rId10" Type="http://schemas.openxmlformats.org/officeDocument/2006/relationships/hyperlink" Target="#Cost!A1"/><Relationship Id="rId4" Type="http://schemas.openxmlformats.org/officeDocument/2006/relationships/hyperlink" Target="#Dashboard!A1"/><Relationship Id="rId9" Type="http://schemas.openxmlformats.org/officeDocument/2006/relationships/hyperlink" Target="#'Step 5'!A1"/></Relationships>
</file>

<file path=xl/drawings/_rels/drawing10.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654050</xdr:colOff>
      <xdr:row>28</xdr:row>
      <xdr:rowOff>165099</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13893800" cy="5499099"/>
          <a:chOff x="0" y="0"/>
          <a:chExt cx="14653315" cy="5795347"/>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0" y="452753"/>
            <a:ext cx="1364274" cy="247184"/>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Home</a:t>
            </a:r>
            <a:r>
              <a:rPr lang="en-US" sz="1000" b="0" cap="none" spc="0" baseline="0">
                <a:ln w="0"/>
                <a:solidFill>
                  <a:schemeClr val="tx1"/>
                </a:solidFill>
                <a:effectLst/>
                <a:latin typeface="Arial" panose="020B0604020202020204" pitchFamily="34" charset="0"/>
                <a:cs typeface="Arial" panose="020B0604020202020204" pitchFamily="34" charset="0"/>
              </a:rPr>
              <a:t> Page</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sp macro="" textlink="">
        <xdr:nvSpPr>
          <xdr:cNvPr id="5" name="Rectangle 4">
            <a:hlinkClick xmlns:r="http://schemas.openxmlformats.org/officeDocument/2006/relationships" r:id="rId2" tooltip="Gantt View"/>
            <a:extLst>
              <a:ext uri="{FF2B5EF4-FFF2-40B4-BE49-F238E27FC236}">
                <a16:creationId xmlns:a16="http://schemas.microsoft.com/office/drawing/2014/main" id="{00000000-0008-0000-0000-000005000000}"/>
              </a:ext>
            </a:extLst>
          </xdr:cNvPr>
          <xdr:cNvSpPr/>
        </xdr:nvSpPr>
        <xdr:spPr>
          <a:xfrm>
            <a:off x="0" y="773961"/>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grpSp>
    <xdr:clientData/>
  </xdr:twoCellAnchor>
  <xdr:twoCellAnchor editAs="absolute">
    <xdr:from>
      <xdr:col>3</xdr:col>
      <xdr:colOff>654050</xdr:colOff>
      <xdr:row>0</xdr:row>
      <xdr:rowOff>44450</xdr:rowOff>
    </xdr:from>
    <xdr:to>
      <xdr:col>5</xdr:col>
      <xdr:colOff>4740275</xdr:colOff>
      <xdr:row>3</xdr:row>
      <xdr:rowOff>6236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7</xdr:row>
      <xdr:rowOff>101600</xdr:rowOff>
    </xdr:from>
    <xdr:to>
      <xdr:col>1</xdr:col>
      <xdr:colOff>529641</xdr:colOff>
      <xdr:row>8</xdr:row>
      <xdr:rowOff>151998</xdr:rowOff>
    </xdr:to>
    <xdr:sp macro="" textlink="">
      <xdr:nvSpPr>
        <xdr:cNvPr id="50" name="Rectangle 49">
          <a:hlinkClick xmlns:r="http://schemas.openxmlformats.org/officeDocument/2006/relationships" r:id="rId3" tooltip="Risks and Issues"/>
          <a:extLst>
            <a:ext uri="{FF2B5EF4-FFF2-40B4-BE49-F238E27FC236}">
              <a16:creationId xmlns:a16="http://schemas.microsoft.com/office/drawing/2014/main" id="{CD863B64-B272-4EB6-9219-292E150D7651}"/>
            </a:ext>
          </a:extLst>
        </xdr:cNvPr>
        <xdr:cNvSpPr/>
      </xdr:nvSpPr>
      <xdr:spPr>
        <a:xfrm>
          <a:off x="0" y="11303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38100</xdr:rowOff>
    </xdr:from>
    <xdr:to>
      <xdr:col>1</xdr:col>
      <xdr:colOff>529641</xdr:colOff>
      <xdr:row>9</xdr:row>
      <xdr:rowOff>272648</xdr:rowOff>
    </xdr:to>
    <xdr:sp macro="" textlink="">
      <xdr:nvSpPr>
        <xdr:cNvPr id="51" name="Rectangle 50">
          <a:hlinkClick xmlns:r="http://schemas.openxmlformats.org/officeDocument/2006/relationships" r:id="rId4" tooltip="Risks and Issues"/>
          <a:extLst>
            <a:ext uri="{FF2B5EF4-FFF2-40B4-BE49-F238E27FC236}">
              <a16:creationId xmlns:a16="http://schemas.microsoft.com/office/drawing/2014/main" id="{455DFDCF-38D6-4E2B-84F2-3737FE243AFA}"/>
            </a:ext>
          </a:extLst>
        </xdr:cNvPr>
        <xdr:cNvSpPr/>
      </xdr:nvSpPr>
      <xdr:spPr>
        <a:xfrm>
          <a:off x="0" y="14351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1416050</xdr:colOff>
      <xdr:row>10</xdr:row>
      <xdr:rowOff>158750</xdr:rowOff>
    </xdr:from>
    <xdr:to>
      <xdr:col>5</xdr:col>
      <xdr:colOff>2432050</xdr:colOff>
      <xdr:row>11</xdr:row>
      <xdr:rowOff>171450</xdr:rowOff>
    </xdr:to>
    <xdr:sp macro="[0]!CreateNew" textlink="">
      <xdr:nvSpPr>
        <xdr:cNvPr id="12" name="Rectangle: Rounded Corners 11">
          <a:extLst>
            <a:ext uri="{FF2B5EF4-FFF2-40B4-BE49-F238E27FC236}">
              <a16:creationId xmlns:a16="http://schemas.microsoft.com/office/drawing/2014/main" id="{B7579287-686E-9A37-231A-D28597AB3F82}"/>
            </a:ext>
          </a:extLst>
        </xdr:cNvPr>
        <xdr:cNvSpPr/>
      </xdr:nvSpPr>
      <xdr:spPr>
        <a:xfrm>
          <a:off x="5740400" y="1936750"/>
          <a:ext cx="1016000" cy="3556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Create</a:t>
          </a:r>
          <a:r>
            <a:rPr lang="en-IN" sz="1100" b="1" baseline="0"/>
            <a:t> New</a:t>
          </a:r>
          <a:endParaRPr lang="en-IN" sz="1100" b="1"/>
        </a:p>
      </xdr:txBody>
    </xdr:sp>
    <xdr:clientData/>
  </xdr:twoCellAnchor>
  <xdr:twoCellAnchor>
    <xdr:from>
      <xdr:col>4</xdr:col>
      <xdr:colOff>76200</xdr:colOff>
      <xdr:row>9</xdr:row>
      <xdr:rowOff>44450</xdr:rowOff>
    </xdr:from>
    <xdr:to>
      <xdr:col>4</xdr:col>
      <xdr:colOff>908050</xdr:colOff>
      <xdr:row>9</xdr:row>
      <xdr:rowOff>323850</xdr:rowOff>
    </xdr:to>
    <xdr:sp macro="[0]!SelectFolder_OutputFolder" textlink="">
      <xdr:nvSpPr>
        <xdr:cNvPr id="13" name="Rectangle: Rounded Corners 12">
          <a:extLst>
            <a:ext uri="{FF2B5EF4-FFF2-40B4-BE49-F238E27FC236}">
              <a16:creationId xmlns:a16="http://schemas.microsoft.com/office/drawing/2014/main" id="{6EE558E6-3A1C-411E-8CCB-6A74419690C5}"/>
            </a:ext>
          </a:extLst>
        </xdr:cNvPr>
        <xdr:cNvSpPr/>
      </xdr:nvSpPr>
      <xdr:spPr>
        <a:xfrm>
          <a:off x="3086100" y="1441450"/>
          <a:ext cx="831850" cy="2794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Browse</a:t>
          </a:r>
        </a:p>
      </xdr:txBody>
    </xdr:sp>
    <xdr:clientData/>
  </xdr:twoCellAnchor>
  <xdr:twoCellAnchor>
    <xdr:from>
      <xdr:col>0</xdr:col>
      <xdr:colOff>0</xdr:colOff>
      <xdr:row>10</xdr:row>
      <xdr:rowOff>19050</xdr:rowOff>
    </xdr:from>
    <xdr:to>
      <xdr:col>1</xdr:col>
      <xdr:colOff>529641</xdr:colOff>
      <xdr:row>10</xdr:row>
      <xdr:rowOff>258859</xdr:rowOff>
    </xdr:to>
    <xdr:sp macro="" textlink="">
      <xdr:nvSpPr>
        <xdr:cNvPr id="24" name="Rectangle 23">
          <a:hlinkClick xmlns:r="http://schemas.openxmlformats.org/officeDocument/2006/relationships" r:id="rId5" tooltip="Heatmap View"/>
          <a:extLst>
            <a:ext uri="{FF2B5EF4-FFF2-40B4-BE49-F238E27FC236}">
              <a16:creationId xmlns:a16="http://schemas.microsoft.com/office/drawing/2014/main" id="{4EF14F12-052D-4EC7-AFD0-AB66223AC4DB}"/>
            </a:ext>
          </a:extLst>
        </xdr:cNvPr>
        <xdr:cNvSpPr/>
      </xdr:nvSpPr>
      <xdr:spPr>
        <a:xfrm>
          <a:off x="0" y="17970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clientData/>
  </xdr:twoCellAnchor>
  <xdr:twoCellAnchor>
    <xdr:from>
      <xdr:col>0</xdr:col>
      <xdr:colOff>0</xdr:colOff>
      <xdr:row>11</xdr:row>
      <xdr:rowOff>95250</xdr:rowOff>
    </xdr:from>
    <xdr:to>
      <xdr:col>1</xdr:col>
      <xdr:colOff>529641</xdr:colOff>
      <xdr:row>12</xdr:row>
      <xdr:rowOff>81059</xdr:rowOff>
    </xdr:to>
    <xdr:sp macro="" textlink="">
      <xdr:nvSpPr>
        <xdr:cNvPr id="25" name="Rectangle 24">
          <a:hlinkClick xmlns:r="http://schemas.openxmlformats.org/officeDocument/2006/relationships" r:id="rId6" tooltip="Heatmap View"/>
          <a:extLst>
            <a:ext uri="{FF2B5EF4-FFF2-40B4-BE49-F238E27FC236}">
              <a16:creationId xmlns:a16="http://schemas.microsoft.com/office/drawing/2014/main" id="{989A529C-A95C-4F3D-BA76-B37E216E8FFE}"/>
            </a:ext>
          </a:extLst>
        </xdr:cNvPr>
        <xdr:cNvSpPr/>
      </xdr:nvSpPr>
      <xdr:spPr>
        <a:xfrm>
          <a:off x="0" y="22161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5</xdr:col>
      <xdr:colOff>1447800</xdr:colOff>
      <xdr:row>15</xdr:row>
      <xdr:rowOff>127000</xdr:rowOff>
    </xdr:from>
    <xdr:to>
      <xdr:col>5</xdr:col>
      <xdr:colOff>2470150</xdr:colOff>
      <xdr:row>17</xdr:row>
      <xdr:rowOff>139700</xdr:rowOff>
    </xdr:to>
    <xdr:sp macro="[0]!Review" textlink="">
      <xdr:nvSpPr>
        <xdr:cNvPr id="6" name="Rectangle: Rounded Corners 5">
          <a:extLst>
            <a:ext uri="{FF2B5EF4-FFF2-40B4-BE49-F238E27FC236}">
              <a16:creationId xmlns:a16="http://schemas.microsoft.com/office/drawing/2014/main" id="{3E1F438B-DB44-4E0B-A04C-E0AFB39F1063}"/>
            </a:ext>
          </a:extLst>
        </xdr:cNvPr>
        <xdr:cNvSpPr/>
      </xdr:nvSpPr>
      <xdr:spPr>
        <a:xfrm>
          <a:off x="5772150" y="3181350"/>
          <a:ext cx="1022350" cy="355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000" b="1">
              <a:latin typeface="+mn-lt"/>
            </a:rPr>
            <a:t>Review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10</xdr:col>
      <xdr:colOff>596903</xdr:colOff>
      <xdr:row>11</xdr:row>
      <xdr:rowOff>82550</xdr:rowOff>
    </xdr:to>
    <xdr:grpSp>
      <xdr:nvGrpSpPr>
        <xdr:cNvPr id="2" name="Group 1">
          <a:extLst>
            <a:ext uri="{FF2B5EF4-FFF2-40B4-BE49-F238E27FC236}">
              <a16:creationId xmlns:a16="http://schemas.microsoft.com/office/drawing/2014/main" id="{ECCA609C-682F-4844-B119-DFA328EB2E0A}"/>
            </a:ext>
          </a:extLst>
        </xdr:cNvPr>
        <xdr:cNvGrpSpPr/>
      </xdr:nvGrpSpPr>
      <xdr:grpSpPr>
        <a:xfrm>
          <a:off x="19050" y="0"/>
          <a:ext cx="13897912" cy="2278903"/>
          <a:chOff x="0" y="0"/>
          <a:chExt cx="14653315" cy="2292590"/>
        </a:xfrm>
      </xdr:grpSpPr>
      <xdr:sp macro="" textlink="">
        <xdr:nvSpPr>
          <xdr:cNvPr id="3" name="Rectangle 2">
            <a:extLst>
              <a:ext uri="{FF2B5EF4-FFF2-40B4-BE49-F238E27FC236}">
                <a16:creationId xmlns:a16="http://schemas.microsoft.com/office/drawing/2014/main" id="{B07A090C-9656-F832-2489-8B8A52017ECE}"/>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251BAE88-A3B3-8E0C-D1DB-23BA83A0B708}"/>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7" name="Rectangle 6">
            <a:hlinkClick xmlns:r="http://schemas.openxmlformats.org/officeDocument/2006/relationships" r:id="rId2" tooltip="Resource View"/>
            <a:extLst>
              <a:ext uri="{FF2B5EF4-FFF2-40B4-BE49-F238E27FC236}">
                <a16:creationId xmlns:a16="http://schemas.microsoft.com/office/drawing/2014/main" id="{0949087A-9D06-C2A2-3A7F-2F62BA3DAFD3}"/>
              </a:ext>
            </a:extLst>
          </xdr:cNvPr>
          <xdr:cNvSpPr/>
        </xdr:nvSpPr>
        <xdr:spPr>
          <a:xfrm>
            <a:off x="0" y="10483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3" tooltip="Timeline View"/>
            <a:extLst>
              <a:ext uri="{FF2B5EF4-FFF2-40B4-BE49-F238E27FC236}">
                <a16:creationId xmlns:a16="http://schemas.microsoft.com/office/drawing/2014/main" id="{0027EF4C-0DAB-0253-2D9B-7A0105FC55F5}"/>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4" tooltip="Heatmap View"/>
            <a:extLst>
              <a:ext uri="{FF2B5EF4-FFF2-40B4-BE49-F238E27FC236}">
                <a16:creationId xmlns:a16="http://schemas.microsoft.com/office/drawing/2014/main" id="{FF815796-77C4-A5B7-F0F5-93264EAAB4E1}"/>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5" tooltip="Risks and Issues"/>
            <a:extLst>
              <a:ext uri="{FF2B5EF4-FFF2-40B4-BE49-F238E27FC236}">
                <a16:creationId xmlns:a16="http://schemas.microsoft.com/office/drawing/2014/main" id="{AE10BEBE-66D9-3268-7A08-7C3C0C67CCA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2</xdr:col>
      <xdr:colOff>768350</xdr:colOff>
      <xdr:row>0</xdr:row>
      <xdr:rowOff>44450</xdr:rowOff>
    </xdr:from>
    <xdr:to>
      <xdr:col>4</xdr:col>
      <xdr:colOff>1730375</xdr:colOff>
      <xdr:row>3</xdr:row>
      <xdr:rowOff>6236</xdr:rowOff>
    </xdr:to>
    <xdr:sp macro="" textlink="">
      <xdr:nvSpPr>
        <xdr:cNvPr id="11" name="Rectangle 10">
          <a:extLst>
            <a:ext uri="{FF2B5EF4-FFF2-40B4-BE49-F238E27FC236}">
              <a16:creationId xmlns:a16="http://schemas.microsoft.com/office/drawing/2014/main" id="{9944B8FC-1655-4183-B4F9-413DDB9A8D1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6350</xdr:colOff>
      <xdr:row>11</xdr:row>
      <xdr:rowOff>146050</xdr:rowOff>
    </xdr:from>
    <xdr:to>
      <xdr:col>1</xdr:col>
      <xdr:colOff>535991</xdr:colOff>
      <xdr:row>12</xdr:row>
      <xdr:rowOff>196448</xdr:rowOff>
    </xdr:to>
    <xdr:sp macro="" textlink="">
      <xdr:nvSpPr>
        <xdr:cNvPr id="12" name="Rectangle 11">
          <a:hlinkClick xmlns:r="http://schemas.openxmlformats.org/officeDocument/2006/relationships" r:id="rId6" tooltip="Risks and Issues"/>
          <a:extLst>
            <a:ext uri="{FF2B5EF4-FFF2-40B4-BE49-F238E27FC236}">
              <a16:creationId xmlns:a16="http://schemas.microsoft.com/office/drawing/2014/main" id="{47395EC7-6C2F-4DED-8DA1-D197AEC54708}"/>
            </a:ext>
          </a:extLst>
        </xdr:cNvPr>
        <xdr:cNvSpPr/>
      </xdr:nvSpPr>
      <xdr:spPr>
        <a:xfrm>
          <a:off x="6350" y="233680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6350</xdr:colOff>
      <xdr:row>13</xdr:row>
      <xdr:rowOff>88900</xdr:rowOff>
    </xdr:from>
    <xdr:to>
      <xdr:col>1</xdr:col>
      <xdr:colOff>535991</xdr:colOff>
      <xdr:row>14</xdr:row>
      <xdr:rowOff>151998</xdr:rowOff>
    </xdr:to>
    <xdr:sp macro="" textlink="">
      <xdr:nvSpPr>
        <xdr:cNvPr id="13" name="Rectangle 12">
          <a:hlinkClick xmlns:r="http://schemas.openxmlformats.org/officeDocument/2006/relationships" r:id="rId7" tooltip="Risks and Issues"/>
          <a:extLst>
            <a:ext uri="{FF2B5EF4-FFF2-40B4-BE49-F238E27FC236}">
              <a16:creationId xmlns:a16="http://schemas.microsoft.com/office/drawing/2014/main" id="{82EA4F96-4284-4DEC-BC5E-D5A6429B79A0}"/>
            </a:ext>
          </a:extLst>
        </xdr:cNvPr>
        <xdr:cNvSpPr/>
      </xdr:nvSpPr>
      <xdr:spPr>
        <a:xfrm>
          <a:off x="6350" y="27876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6350</xdr:colOff>
      <xdr:row>14</xdr:row>
      <xdr:rowOff>209550</xdr:rowOff>
    </xdr:from>
    <xdr:to>
      <xdr:col>1</xdr:col>
      <xdr:colOff>535991</xdr:colOff>
      <xdr:row>16</xdr:row>
      <xdr:rowOff>18648</xdr:rowOff>
    </xdr:to>
    <xdr:sp macro="" textlink="">
      <xdr:nvSpPr>
        <xdr:cNvPr id="14" name="Rectangle 13">
          <a:hlinkClick xmlns:r="http://schemas.openxmlformats.org/officeDocument/2006/relationships" r:id="rId8" tooltip="Risks and Issues"/>
          <a:extLst>
            <a:ext uri="{FF2B5EF4-FFF2-40B4-BE49-F238E27FC236}">
              <a16:creationId xmlns:a16="http://schemas.microsoft.com/office/drawing/2014/main" id="{227FE390-0607-4BAE-910A-50F127F1EED5}"/>
            </a:ext>
          </a:extLst>
        </xdr:cNvPr>
        <xdr:cNvSpPr/>
      </xdr:nvSpPr>
      <xdr:spPr>
        <a:xfrm>
          <a:off x="6350" y="316230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6350</xdr:colOff>
      <xdr:row>16</xdr:row>
      <xdr:rowOff>63500</xdr:rowOff>
    </xdr:from>
    <xdr:to>
      <xdr:col>1</xdr:col>
      <xdr:colOff>535991</xdr:colOff>
      <xdr:row>22</xdr:row>
      <xdr:rowOff>44048</xdr:rowOff>
    </xdr:to>
    <xdr:sp macro="" textlink="">
      <xdr:nvSpPr>
        <xdr:cNvPr id="15" name="Rectangle 14">
          <a:hlinkClick xmlns:r="http://schemas.openxmlformats.org/officeDocument/2006/relationships" r:id="rId9" tooltip="Risks and Issues"/>
          <a:extLst>
            <a:ext uri="{FF2B5EF4-FFF2-40B4-BE49-F238E27FC236}">
              <a16:creationId xmlns:a16="http://schemas.microsoft.com/office/drawing/2014/main" id="{4DC676C6-69F0-4A71-8A6D-B82D581A222F}"/>
            </a:ext>
          </a:extLst>
        </xdr:cNvPr>
        <xdr:cNvSpPr/>
      </xdr:nvSpPr>
      <xdr:spPr>
        <a:xfrm>
          <a:off x="6350" y="35242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6350</xdr:colOff>
      <xdr:row>22</xdr:row>
      <xdr:rowOff>114300</xdr:rowOff>
    </xdr:from>
    <xdr:to>
      <xdr:col>1</xdr:col>
      <xdr:colOff>535991</xdr:colOff>
      <xdr:row>24</xdr:row>
      <xdr:rowOff>5948</xdr:rowOff>
    </xdr:to>
    <xdr:sp macro="" textlink="">
      <xdr:nvSpPr>
        <xdr:cNvPr id="16" name="Rectangle 15">
          <a:hlinkClick xmlns:r="http://schemas.openxmlformats.org/officeDocument/2006/relationships" r:id="rId10" tooltip="Risks and Issues"/>
          <a:extLst>
            <a:ext uri="{FF2B5EF4-FFF2-40B4-BE49-F238E27FC236}">
              <a16:creationId xmlns:a16="http://schemas.microsoft.com/office/drawing/2014/main" id="{12FB09C5-A944-46B2-9956-BF127AAFC65A}"/>
            </a:ext>
          </a:extLst>
        </xdr:cNvPr>
        <xdr:cNvSpPr/>
      </xdr:nvSpPr>
      <xdr:spPr>
        <a:xfrm>
          <a:off x="6350" y="3829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4</xdr:col>
      <xdr:colOff>714375</xdr:colOff>
      <xdr:row>65</xdr:row>
      <xdr:rowOff>0</xdr:rowOff>
    </xdr:from>
    <xdr:to>
      <xdr:col>4</xdr:col>
      <xdr:colOff>1730375</xdr:colOff>
      <xdr:row>68</xdr:row>
      <xdr:rowOff>0</xdr:rowOff>
    </xdr:to>
    <xdr:sp macro="[0]!intro" textlink="">
      <xdr:nvSpPr>
        <xdr:cNvPr id="17" name="Arrow: Right 16">
          <a:extLst>
            <a:ext uri="{FF2B5EF4-FFF2-40B4-BE49-F238E27FC236}">
              <a16:creationId xmlns:a16="http://schemas.microsoft.com/office/drawing/2014/main" id="{CE37C5D2-E50C-424B-996C-8E459067DC1F}"/>
            </a:ext>
          </a:extLst>
        </xdr:cNvPr>
        <xdr:cNvSpPr/>
      </xdr:nvSpPr>
      <xdr:spPr>
        <a:xfrm>
          <a:off x="8048625" y="14490700"/>
          <a:ext cx="1016000" cy="55245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25400</xdr:colOff>
      <xdr:row>0</xdr:row>
      <xdr:rowOff>0</xdr:rowOff>
    </xdr:from>
    <xdr:to>
      <xdr:col>7</xdr:col>
      <xdr:colOff>2000997</xdr:colOff>
      <xdr:row>21</xdr:row>
      <xdr:rowOff>25400</xdr:rowOff>
    </xdr:to>
    <xdr:grpSp>
      <xdr:nvGrpSpPr>
        <xdr:cNvPr id="2" name="Group 1">
          <a:extLst>
            <a:ext uri="{FF2B5EF4-FFF2-40B4-BE49-F238E27FC236}">
              <a16:creationId xmlns:a16="http://schemas.microsoft.com/office/drawing/2014/main" id="{B9A3D348-3C4B-45EC-8A8F-74A8D0CEB4D7}"/>
            </a:ext>
          </a:extLst>
        </xdr:cNvPr>
        <xdr:cNvGrpSpPr/>
      </xdr:nvGrpSpPr>
      <xdr:grpSpPr>
        <a:xfrm>
          <a:off x="25400" y="0"/>
          <a:ext cx="13891185" cy="4037106"/>
          <a:chOff x="0" y="0"/>
          <a:chExt cx="14653315" cy="4189247"/>
        </a:xfrm>
      </xdr:grpSpPr>
      <xdr:sp macro="" textlink="">
        <xdr:nvSpPr>
          <xdr:cNvPr id="3" name="Rectangle 2">
            <a:extLst>
              <a:ext uri="{FF2B5EF4-FFF2-40B4-BE49-F238E27FC236}">
                <a16:creationId xmlns:a16="http://schemas.microsoft.com/office/drawing/2014/main" id="{1D8A16FC-BC8A-7239-EF16-EB2CB7A5AAC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E90B1C82-376F-6C6E-E218-88A07FBF06CF}"/>
              </a:ext>
            </a:extLst>
          </xdr:cNvPr>
          <xdr:cNvSpPr/>
        </xdr:nvSpPr>
        <xdr:spPr>
          <a:xfrm>
            <a:off x="0" y="381450"/>
            <a:ext cx="1258485" cy="3807797"/>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B89E8888-AD07-1F9E-6EB5-4840F5CF6B0A}"/>
              </a:ext>
            </a:extLst>
          </xdr:cNvPr>
          <xdr:cNvSpPr/>
        </xdr:nvSpPr>
        <xdr:spPr>
          <a:xfrm>
            <a:off x="0" y="439923"/>
            <a:ext cx="1231709"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C23679D9-373D-0974-D9A8-A2D9F8081D73}"/>
              </a:ext>
            </a:extLst>
          </xdr:cNvPr>
          <xdr:cNvSpPr/>
        </xdr:nvSpPr>
        <xdr:spPr>
          <a:xfrm>
            <a:off x="0" y="766149"/>
            <a:ext cx="1218320"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6B6BBE29-6EE1-081D-C53A-4AE02F288FA6}"/>
              </a:ext>
            </a:extLst>
          </xdr:cNvPr>
          <xdr:cNvSpPr/>
        </xdr:nvSpPr>
        <xdr:spPr>
          <a:xfrm>
            <a:off x="0" y="1045552"/>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F18FDFA5-B7BF-9879-5D80-7999A61A5637}"/>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4F61B0EF-3D32-0D1E-CCC5-CAA530E48B75}"/>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7A36A58E-512B-01A0-5ED6-F6E05F7866A3}"/>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165100</xdr:colOff>
      <xdr:row>0</xdr:row>
      <xdr:rowOff>44450</xdr:rowOff>
    </xdr:from>
    <xdr:to>
      <xdr:col>5</xdr:col>
      <xdr:colOff>1038972</xdr:colOff>
      <xdr:row>3</xdr:row>
      <xdr:rowOff>6236</xdr:rowOff>
    </xdr:to>
    <xdr:sp macro="" textlink="">
      <xdr:nvSpPr>
        <xdr:cNvPr id="11" name="Rectangle 10">
          <a:extLst>
            <a:ext uri="{FF2B5EF4-FFF2-40B4-BE49-F238E27FC236}">
              <a16:creationId xmlns:a16="http://schemas.microsoft.com/office/drawing/2014/main" id="{98897AAC-2C43-4572-A96F-34349488CA66}"/>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13</xdr:row>
      <xdr:rowOff>63500</xdr:rowOff>
    </xdr:from>
    <xdr:to>
      <xdr:col>1</xdr:col>
      <xdr:colOff>529641</xdr:colOff>
      <xdr:row>14</xdr:row>
      <xdr:rowOff>113898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3F2C95D4-FC74-4E62-8C6F-95E84A634D26}"/>
            </a:ext>
          </a:extLst>
        </xdr:cNvPr>
        <xdr:cNvSpPr/>
      </xdr:nvSpPr>
      <xdr:spPr>
        <a:xfrm>
          <a:off x="0" y="22669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15</xdr:row>
      <xdr:rowOff>6350</xdr:rowOff>
    </xdr:from>
    <xdr:to>
      <xdr:col>1</xdr:col>
      <xdr:colOff>529641</xdr:colOff>
      <xdr:row>16</xdr:row>
      <xdr:rowOff>69448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B3B795CE-F1DE-438B-81FB-B7940A68C874}"/>
            </a:ext>
          </a:extLst>
        </xdr:cNvPr>
        <xdr:cNvSpPr/>
      </xdr:nvSpPr>
      <xdr:spPr>
        <a:xfrm>
          <a:off x="0" y="25654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16</xdr:row>
      <xdr:rowOff>127000</xdr:rowOff>
    </xdr:from>
    <xdr:to>
      <xdr:col>1</xdr:col>
      <xdr:colOff>529641</xdr:colOff>
      <xdr:row>18</xdr:row>
      <xdr:rowOff>18648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3B8FFED7-280E-46B6-874A-482B93059DC9}"/>
            </a:ext>
          </a:extLst>
        </xdr:cNvPr>
        <xdr:cNvSpPr/>
      </xdr:nvSpPr>
      <xdr:spPr>
        <a:xfrm>
          <a:off x="0" y="28575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18</xdr:row>
      <xdr:rowOff>63500</xdr:rowOff>
    </xdr:from>
    <xdr:to>
      <xdr:col>1</xdr:col>
      <xdr:colOff>529641</xdr:colOff>
      <xdr:row>19</xdr:row>
      <xdr:rowOff>126598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39277495-461F-4591-997D-B1402EFC365D}"/>
            </a:ext>
          </a:extLst>
        </xdr:cNvPr>
        <xdr:cNvSpPr/>
      </xdr:nvSpPr>
      <xdr:spPr>
        <a:xfrm>
          <a:off x="0" y="31369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29882</xdr:colOff>
      <xdr:row>19</xdr:row>
      <xdr:rowOff>152400</xdr:rowOff>
    </xdr:from>
    <xdr:to>
      <xdr:col>1</xdr:col>
      <xdr:colOff>559523</xdr:colOff>
      <xdr:row>20</xdr:row>
      <xdr:rowOff>215497</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B614456-F2D8-4276-A166-DC18207F84B4}"/>
            </a:ext>
          </a:extLst>
        </xdr:cNvPr>
        <xdr:cNvSpPr/>
      </xdr:nvSpPr>
      <xdr:spPr>
        <a:xfrm>
          <a:off x="29882" y="3521635"/>
          <a:ext cx="1172112" cy="38433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4482353</xdr:colOff>
      <xdr:row>76</xdr:row>
      <xdr:rowOff>70971</xdr:rowOff>
    </xdr:from>
    <xdr:to>
      <xdr:col>5</xdr:col>
      <xdr:colOff>52294</xdr:colOff>
      <xdr:row>79</xdr:row>
      <xdr:rowOff>56031</xdr:rowOff>
    </xdr:to>
    <xdr:sp macro="[0]!Step1Next" textlink="">
      <xdr:nvSpPr>
        <xdr:cNvPr id="18" name="Arrow: Right 17">
          <a:extLst>
            <a:ext uri="{FF2B5EF4-FFF2-40B4-BE49-F238E27FC236}">
              <a16:creationId xmlns:a16="http://schemas.microsoft.com/office/drawing/2014/main" id="{70A771F3-A942-00A0-CAE7-6357A273AC4B}"/>
            </a:ext>
          </a:extLst>
        </xdr:cNvPr>
        <xdr:cNvSpPr/>
      </xdr:nvSpPr>
      <xdr:spPr>
        <a:xfrm>
          <a:off x="6895353" y="14578853"/>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1</xdr:col>
      <xdr:colOff>993590</xdr:colOff>
      <xdr:row>76</xdr:row>
      <xdr:rowOff>70972</xdr:rowOff>
    </xdr:from>
    <xdr:to>
      <xdr:col>3</xdr:col>
      <xdr:colOff>231589</xdr:colOff>
      <xdr:row>79</xdr:row>
      <xdr:rowOff>56031</xdr:rowOff>
    </xdr:to>
    <xdr:sp macro="[0]!Step1Back" textlink="">
      <xdr:nvSpPr>
        <xdr:cNvPr id="21" name="Arrow: Left 20">
          <a:hlinkClick xmlns:r="http://schemas.openxmlformats.org/officeDocument/2006/relationships" r:id="rId2"/>
          <a:extLst>
            <a:ext uri="{FF2B5EF4-FFF2-40B4-BE49-F238E27FC236}">
              <a16:creationId xmlns:a16="http://schemas.microsoft.com/office/drawing/2014/main" id="{F7E71A5B-9CB1-82AA-3521-D441905E1204}"/>
            </a:ext>
          </a:extLst>
        </xdr:cNvPr>
        <xdr:cNvSpPr/>
      </xdr:nvSpPr>
      <xdr:spPr>
        <a:xfrm>
          <a:off x="1636061" y="14578854"/>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2898322</xdr:colOff>
      <xdr:row>21</xdr:row>
      <xdr:rowOff>203199</xdr:rowOff>
    </xdr:to>
    <xdr:grpSp>
      <xdr:nvGrpSpPr>
        <xdr:cNvPr id="2" name="Group 1">
          <a:extLst>
            <a:ext uri="{FF2B5EF4-FFF2-40B4-BE49-F238E27FC236}">
              <a16:creationId xmlns:a16="http://schemas.microsoft.com/office/drawing/2014/main" id="{E5DEC21B-8F7F-4F1E-B93A-AEA4D42445BE}"/>
            </a:ext>
          </a:extLst>
        </xdr:cNvPr>
        <xdr:cNvGrpSpPr/>
      </xdr:nvGrpSpPr>
      <xdr:grpSpPr>
        <a:xfrm>
          <a:off x="0" y="0"/>
          <a:ext cx="13911036" cy="5500913"/>
          <a:chOff x="0" y="0"/>
          <a:chExt cx="14653315" cy="5795347"/>
        </a:xfrm>
      </xdr:grpSpPr>
      <xdr:sp macro="" textlink="">
        <xdr:nvSpPr>
          <xdr:cNvPr id="3" name="Rectangle 2">
            <a:extLst>
              <a:ext uri="{FF2B5EF4-FFF2-40B4-BE49-F238E27FC236}">
                <a16:creationId xmlns:a16="http://schemas.microsoft.com/office/drawing/2014/main" id="{3F69E73B-8E13-5EB8-23D3-C5137DB2F5B4}"/>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65EF072E-F752-AE37-24F1-25FF706A3D0C}"/>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5EEB1105-140F-F8C8-EBC0-D698D0AADD36}"/>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4C5828F8-FE7D-E470-2F0D-BF11CF302DB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695054C-8AD0-D548-F4A3-53F8E68E4E6C}"/>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20DCECB-90E1-1933-D3AB-6664CDC4F70A}"/>
              </a:ext>
            </a:extLst>
          </xdr:cNvPr>
          <xdr:cNvSpPr/>
        </xdr:nvSpPr>
        <xdr:spPr>
          <a:xfrm>
            <a:off x="0" y="1360067"/>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436C853-46AD-3DB2-031A-F9E4E9F420DD}"/>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A302097B-AD79-C0E6-A0DC-C382AD146074}"/>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654050</xdr:colOff>
      <xdr:row>0</xdr:row>
      <xdr:rowOff>44450</xdr:rowOff>
    </xdr:from>
    <xdr:to>
      <xdr:col>5</xdr:col>
      <xdr:colOff>111125</xdr:colOff>
      <xdr:row>3</xdr:row>
      <xdr:rowOff>6236</xdr:rowOff>
    </xdr:to>
    <xdr:sp macro="" textlink="">
      <xdr:nvSpPr>
        <xdr:cNvPr id="11" name="Rectangle 10">
          <a:extLst>
            <a:ext uri="{FF2B5EF4-FFF2-40B4-BE49-F238E27FC236}">
              <a16:creationId xmlns:a16="http://schemas.microsoft.com/office/drawing/2014/main" id="{578AD872-5B7D-43D5-BAA5-405E8E0508F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146050</xdr:rowOff>
    </xdr:from>
    <xdr:to>
      <xdr:col>1</xdr:col>
      <xdr:colOff>529641</xdr:colOff>
      <xdr:row>13</xdr:row>
      <xdr:rowOff>222250</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246C82A9-4682-490A-B383-F081DA5C4592}"/>
            </a:ext>
          </a:extLst>
        </xdr:cNvPr>
        <xdr:cNvSpPr/>
      </xdr:nvSpPr>
      <xdr:spPr>
        <a:xfrm>
          <a:off x="0" y="22669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13</xdr:row>
      <xdr:rowOff>317500</xdr:rowOff>
    </xdr:from>
    <xdr:to>
      <xdr:col>1</xdr:col>
      <xdr:colOff>529641</xdr:colOff>
      <xdr:row>13</xdr:row>
      <xdr:rowOff>603250</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32B3674A-C761-4030-9A23-1EEFFCBA9DC3}"/>
            </a:ext>
          </a:extLst>
        </xdr:cNvPr>
        <xdr:cNvSpPr/>
      </xdr:nvSpPr>
      <xdr:spPr>
        <a:xfrm>
          <a:off x="0" y="26289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13</xdr:row>
      <xdr:rowOff>654050</xdr:rowOff>
    </xdr:from>
    <xdr:to>
      <xdr:col>1</xdr:col>
      <xdr:colOff>529641</xdr:colOff>
      <xdr:row>13</xdr:row>
      <xdr:rowOff>977900</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7BD7EBC9-3A86-485E-8208-7F34CE649DFE}"/>
            </a:ext>
          </a:extLst>
        </xdr:cNvPr>
        <xdr:cNvSpPr/>
      </xdr:nvSpPr>
      <xdr:spPr>
        <a:xfrm>
          <a:off x="0" y="29654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990600</xdr:rowOff>
    </xdr:from>
    <xdr:to>
      <xdr:col>1</xdr:col>
      <xdr:colOff>529641</xdr:colOff>
      <xdr:row>15</xdr:row>
      <xdr:rowOff>57150</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1099AB54-4369-44FC-951C-620DCB774B22}"/>
            </a:ext>
          </a:extLst>
        </xdr:cNvPr>
        <xdr:cNvSpPr/>
      </xdr:nvSpPr>
      <xdr:spPr>
        <a:xfrm>
          <a:off x="0" y="33020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15</xdr:row>
      <xdr:rowOff>139700</xdr:rowOff>
    </xdr:from>
    <xdr:to>
      <xdr:col>1</xdr:col>
      <xdr:colOff>548691</xdr:colOff>
      <xdr:row>16</xdr:row>
      <xdr:rowOff>75798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B68A9B1-BD12-4EF1-BF23-139055F210E6}"/>
            </a:ext>
          </a:extLst>
        </xdr:cNvPr>
        <xdr:cNvSpPr/>
      </xdr:nvSpPr>
      <xdr:spPr>
        <a:xfrm>
          <a:off x="19050" y="36576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7</xdr:col>
      <xdr:colOff>2748643</xdr:colOff>
      <xdr:row>30</xdr:row>
      <xdr:rowOff>-1</xdr:rowOff>
    </xdr:from>
    <xdr:to>
      <xdr:col>8</xdr:col>
      <xdr:colOff>0</xdr:colOff>
      <xdr:row>34</xdr:row>
      <xdr:rowOff>0</xdr:rowOff>
    </xdr:to>
    <xdr:sp macro="[0]!Step2Next" textlink="">
      <xdr:nvSpPr>
        <xdr:cNvPr id="17" name="Arrow: Right 16">
          <a:extLst>
            <a:ext uri="{FF2B5EF4-FFF2-40B4-BE49-F238E27FC236}">
              <a16:creationId xmlns:a16="http://schemas.microsoft.com/office/drawing/2014/main" id="{B28814C3-5139-4C25-B286-6EC3D03A6D24}"/>
            </a:ext>
          </a:extLst>
        </xdr:cNvPr>
        <xdr:cNvSpPr/>
      </xdr:nvSpPr>
      <xdr:spPr>
        <a:xfrm>
          <a:off x="13761357" y="7737928"/>
          <a:ext cx="1016000" cy="725715"/>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546553</xdr:colOff>
      <xdr:row>30</xdr:row>
      <xdr:rowOff>0</xdr:rowOff>
    </xdr:from>
    <xdr:to>
      <xdr:col>3</xdr:col>
      <xdr:colOff>911010</xdr:colOff>
      <xdr:row>34</xdr:row>
      <xdr:rowOff>0</xdr:rowOff>
    </xdr:to>
    <xdr:sp macro="[0]!Step2Back" textlink="">
      <xdr:nvSpPr>
        <xdr:cNvPr id="18" name="Arrow: Left 17">
          <a:extLst>
            <a:ext uri="{FF2B5EF4-FFF2-40B4-BE49-F238E27FC236}">
              <a16:creationId xmlns:a16="http://schemas.microsoft.com/office/drawing/2014/main" id="{787D405F-DB47-484A-992A-20E3B7821F18}"/>
            </a:ext>
          </a:extLst>
        </xdr:cNvPr>
        <xdr:cNvSpPr/>
      </xdr:nvSpPr>
      <xdr:spPr>
        <a:xfrm>
          <a:off x="1834696" y="7737929"/>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77321</xdr:colOff>
      <xdr:row>17</xdr:row>
      <xdr:rowOff>132975</xdr:rowOff>
    </xdr:to>
    <xdr:grpSp>
      <xdr:nvGrpSpPr>
        <xdr:cNvPr id="2" name="Group 1">
          <a:extLst>
            <a:ext uri="{FF2B5EF4-FFF2-40B4-BE49-F238E27FC236}">
              <a16:creationId xmlns:a16="http://schemas.microsoft.com/office/drawing/2014/main" id="{26CEF573-B344-41D7-9BF7-6D996EA0F1FC}"/>
            </a:ext>
          </a:extLst>
        </xdr:cNvPr>
        <xdr:cNvGrpSpPr/>
      </xdr:nvGrpSpPr>
      <xdr:grpSpPr>
        <a:xfrm>
          <a:off x="0" y="0"/>
          <a:ext cx="13905380" cy="5541681"/>
          <a:chOff x="0" y="0"/>
          <a:chExt cx="14653315" cy="5795347"/>
        </a:xfrm>
      </xdr:grpSpPr>
      <xdr:sp macro="" textlink="">
        <xdr:nvSpPr>
          <xdr:cNvPr id="3" name="Rectangle 2">
            <a:extLst>
              <a:ext uri="{FF2B5EF4-FFF2-40B4-BE49-F238E27FC236}">
                <a16:creationId xmlns:a16="http://schemas.microsoft.com/office/drawing/2014/main" id="{CDC80AE0-E890-BA86-E15B-AF5B4E65492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B483C8C-B3F2-B270-6253-C73B9C0C20F2}"/>
              </a:ext>
            </a:extLst>
          </xdr:cNvPr>
          <xdr:cNvSpPr/>
        </xdr:nvSpPr>
        <xdr:spPr>
          <a:xfrm>
            <a:off x="0" y="381449"/>
            <a:ext cx="1198238"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6BF350B1-3279-30B3-5CB4-063B35D9720D}"/>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86706964-7A0D-9C30-E5D2-3CE55DC0019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7A4E290-0D3F-2647-9EF4-C5825B4BBDB0}"/>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6B5F6BD3-C787-68A4-D5C6-1D1039CDD38E}"/>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F756586-D3F7-03ED-8981-26EE5AD807CF}"/>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F9C5133-61FC-2AAE-82B9-AC2DB238137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585321</xdr:colOff>
      <xdr:row>0</xdr:row>
      <xdr:rowOff>44450</xdr:rowOff>
    </xdr:from>
    <xdr:to>
      <xdr:col>5</xdr:col>
      <xdr:colOff>1292225</xdr:colOff>
      <xdr:row>2</xdr:row>
      <xdr:rowOff>18936</xdr:rowOff>
    </xdr:to>
    <xdr:sp macro="" textlink="">
      <xdr:nvSpPr>
        <xdr:cNvPr id="11" name="Rectangle 10">
          <a:extLst>
            <a:ext uri="{FF2B5EF4-FFF2-40B4-BE49-F238E27FC236}">
              <a16:creationId xmlns:a16="http://schemas.microsoft.com/office/drawing/2014/main" id="{80ED67BB-2DD8-4E5D-ACAE-0317E2197CE1}"/>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9</xdr:row>
      <xdr:rowOff>298450</xdr:rowOff>
    </xdr:from>
    <xdr:to>
      <xdr:col>1</xdr:col>
      <xdr:colOff>529641</xdr:colOff>
      <xdr:row>10</xdr:row>
      <xdr:rowOff>215498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C04EB34-2891-43C4-9728-3CFACA55E895}"/>
            </a:ext>
          </a:extLst>
        </xdr:cNvPr>
        <xdr:cNvSpPr/>
      </xdr:nvSpPr>
      <xdr:spPr>
        <a:xfrm>
          <a:off x="0" y="2305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10</xdr:row>
      <xdr:rowOff>292100</xdr:rowOff>
    </xdr:from>
    <xdr:to>
      <xdr:col>1</xdr:col>
      <xdr:colOff>529641</xdr:colOff>
      <xdr:row>11</xdr:row>
      <xdr:rowOff>221848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463C20A3-593E-45FF-A73B-3F3EF9D0A0FE}"/>
            </a:ext>
          </a:extLst>
        </xdr:cNvPr>
        <xdr:cNvSpPr/>
      </xdr:nvSpPr>
      <xdr:spPr>
        <a:xfrm>
          <a:off x="0" y="26162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279400</xdr:rowOff>
    </xdr:from>
    <xdr:to>
      <xdr:col>1</xdr:col>
      <xdr:colOff>529641</xdr:colOff>
      <xdr:row>12</xdr:row>
      <xdr:rowOff>221848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16620DF-3D15-46F1-BA24-8C0B153440B2}"/>
            </a:ext>
          </a:extLst>
        </xdr:cNvPr>
        <xdr:cNvSpPr/>
      </xdr:nvSpPr>
      <xdr:spPr>
        <a:xfrm>
          <a:off x="0" y="2921000"/>
          <a:ext cx="1170991" cy="2599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12</xdr:row>
      <xdr:rowOff>266700</xdr:rowOff>
    </xdr:from>
    <xdr:to>
      <xdr:col>1</xdr:col>
      <xdr:colOff>529641</xdr:colOff>
      <xdr:row>13</xdr:row>
      <xdr:rowOff>196448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908A47BA-D44A-489E-B77B-7568E2E36B5C}"/>
            </a:ext>
          </a:extLst>
        </xdr:cNvPr>
        <xdr:cNvSpPr/>
      </xdr:nvSpPr>
      <xdr:spPr>
        <a:xfrm>
          <a:off x="0" y="32258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279400</xdr:rowOff>
    </xdr:from>
    <xdr:to>
      <xdr:col>1</xdr:col>
      <xdr:colOff>529641</xdr:colOff>
      <xdr:row>15</xdr:row>
      <xdr:rowOff>24998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05669AA-5F84-47B7-A29B-2A4DFCCED840}"/>
            </a:ext>
          </a:extLst>
        </xdr:cNvPr>
        <xdr:cNvSpPr/>
      </xdr:nvSpPr>
      <xdr:spPr>
        <a:xfrm>
          <a:off x="0" y="35560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editAs="absolute">
    <xdr:from>
      <xdr:col>0</xdr:col>
      <xdr:colOff>52294</xdr:colOff>
      <xdr:row>0</xdr:row>
      <xdr:rowOff>14941</xdr:rowOff>
    </xdr:from>
    <xdr:to>
      <xdr:col>9</xdr:col>
      <xdr:colOff>135965</xdr:colOff>
      <xdr:row>17</xdr:row>
      <xdr:rowOff>147916</xdr:rowOff>
    </xdr:to>
    <xdr:grpSp>
      <xdr:nvGrpSpPr>
        <xdr:cNvPr id="18" name="Group 17">
          <a:extLst>
            <a:ext uri="{FF2B5EF4-FFF2-40B4-BE49-F238E27FC236}">
              <a16:creationId xmlns:a16="http://schemas.microsoft.com/office/drawing/2014/main" id="{554B1858-0B22-8092-C26A-DE490D77F6AF}"/>
            </a:ext>
          </a:extLst>
        </xdr:cNvPr>
        <xdr:cNvGrpSpPr/>
      </xdr:nvGrpSpPr>
      <xdr:grpSpPr>
        <a:xfrm>
          <a:off x="52294" y="14941"/>
          <a:ext cx="13911730" cy="5541681"/>
          <a:chOff x="-6694" y="0"/>
          <a:chExt cx="14660009" cy="5795347"/>
        </a:xfrm>
      </xdr:grpSpPr>
      <xdr:sp macro="" textlink="">
        <xdr:nvSpPr>
          <xdr:cNvPr id="19" name="Rectangle 18">
            <a:extLst>
              <a:ext uri="{FF2B5EF4-FFF2-40B4-BE49-F238E27FC236}">
                <a16:creationId xmlns:a16="http://schemas.microsoft.com/office/drawing/2014/main" id="{709FB863-C13F-829B-C716-08AFB57FD2D3}"/>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912679EA-6A81-462B-EF83-8C9FE58C8A85}"/>
              </a:ext>
            </a:extLst>
          </xdr:cNvPr>
          <xdr:cNvSpPr/>
        </xdr:nvSpPr>
        <xdr:spPr>
          <a:xfrm>
            <a:off x="0" y="381449"/>
            <a:ext cx="1352202"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hlinkClick xmlns:r="http://schemas.openxmlformats.org/officeDocument/2006/relationships" r:id="rId1"/>
            <a:extLst>
              <a:ext uri="{FF2B5EF4-FFF2-40B4-BE49-F238E27FC236}">
                <a16:creationId xmlns:a16="http://schemas.microsoft.com/office/drawing/2014/main" id="{978539EC-4DB1-6B03-CB3B-2978D2C97506}"/>
              </a:ext>
            </a:extLst>
          </xdr:cNvPr>
          <xdr:cNvSpPr/>
        </xdr:nvSpPr>
        <xdr:spPr>
          <a:xfrm>
            <a:off x="-6694" y="483442"/>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22" name="Rectangle 21">
            <a:hlinkClick xmlns:r="http://schemas.openxmlformats.org/officeDocument/2006/relationships" r:id="rId2" tooltip="Gantt View"/>
            <a:extLst>
              <a:ext uri="{FF2B5EF4-FFF2-40B4-BE49-F238E27FC236}">
                <a16:creationId xmlns:a16="http://schemas.microsoft.com/office/drawing/2014/main" id="{C0DDF327-04CD-CA38-1BE2-D47F5CF29C2A}"/>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23" name="Rectangle 22">
            <a:hlinkClick xmlns:r="http://schemas.openxmlformats.org/officeDocument/2006/relationships" r:id="rId3" tooltip="Resource View"/>
            <a:extLst>
              <a:ext uri="{FF2B5EF4-FFF2-40B4-BE49-F238E27FC236}">
                <a16:creationId xmlns:a16="http://schemas.microsoft.com/office/drawing/2014/main" id="{9D3C17A1-C0F4-EFA6-E7FB-0562D421C1CA}"/>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4" name="Rectangle 23">
            <a:hlinkClick xmlns:r="http://schemas.openxmlformats.org/officeDocument/2006/relationships" r:id="rId4" tooltip="Timeline View"/>
            <a:extLst>
              <a:ext uri="{FF2B5EF4-FFF2-40B4-BE49-F238E27FC236}">
                <a16:creationId xmlns:a16="http://schemas.microsoft.com/office/drawing/2014/main" id="{9B7FA1A0-EFAE-03F1-2173-78A7AF33C3E3}"/>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5" name="Rectangle 24">
            <a:hlinkClick xmlns:r="http://schemas.openxmlformats.org/officeDocument/2006/relationships" r:id="rId5" tooltip="Heatmap View"/>
            <a:extLst>
              <a:ext uri="{FF2B5EF4-FFF2-40B4-BE49-F238E27FC236}">
                <a16:creationId xmlns:a16="http://schemas.microsoft.com/office/drawing/2014/main" id="{52218CC0-1635-8D9C-E72A-4FE66C350DC2}"/>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26" name="Rectangle 25">
            <a:hlinkClick xmlns:r="http://schemas.openxmlformats.org/officeDocument/2006/relationships" r:id="rId6" tooltip="Risks and Issues"/>
            <a:extLst>
              <a:ext uri="{FF2B5EF4-FFF2-40B4-BE49-F238E27FC236}">
                <a16:creationId xmlns:a16="http://schemas.microsoft.com/office/drawing/2014/main" id="{24FC9F2F-6092-EFD7-35B0-2CF9928CE2F8}"/>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xdr:from>
      <xdr:col>0</xdr:col>
      <xdr:colOff>0</xdr:colOff>
      <xdr:row>7</xdr:row>
      <xdr:rowOff>285750</xdr:rowOff>
    </xdr:from>
    <xdr:to>
      <xdr:col>1</xdr:col>
      <xdr:colOff>529641</xdr:colOff>
      <xdr:row>7</xdr:row>
      <xdr:rowOff>552450</xdr:rowOff>
    </xdr:to>
    <xdr:sp macro="" textlink="">
      <xdr:nvSpPr>
        <xdr:cNvPr id="27" name="Rectangle 26">
          <a:hlinkClick xmlns:r="http://schemas.openxmlformats.org/officeDocument/2006/relationships" r:id="rId7" tooltip="Risks and Issues"/>
          <a:extLst>
            <a:ext uri="{FF2B5EF4-FFF2-40B4-BE49-F238E27FC236}">
              <a16:creationId xmlns:a16="http://schemas.microsoft.com/office/drawing/2014/main" id="{F760D0D4-4844-48D6-9F10-D411D3E26368}"/>
            </a:ext>
          </a:extLst>
        </xdr:cNvPr>
        <xdr:cNvSpPr/>
      </xdr:nvSpPr>
      <xdr:spPr>
        <a:xfrm>
          <a:off x="0" y="22923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8</xdr:row>
      <xdr:rowOff>12700</xdr:rowOff>
    </xdr:from>
    <xdr:to>
      <xdr:col>1</xdr:col>
      <xdr:colOff>529641</xdr:colOff>
      <xdr:row>9</xdr:row>
      <xdr:rowOff>120650</xdr:rowOff>
    </xdr:to>
    <xdr:sp macro="" textlink="">
      <xdr:nvSpPr>
        <xdr:cNvPr id="28" name="Rectangle 27">
          <a:hlinkClick xmlns:r="http://schemas.openxmlformats.org/officeDocument/2006/relationships" r:id="rId8" tooltip="Risks and Issues"/>
          <a:extLst>
            <a:ext uri="{FF2B5EF4-FFF2-40B4-BE49-F238E27FC236}">
              <a16:creationId xmlns:a16="http://schemas.microsoft.com/office/drawing/2014/main" id="{71D53C98-CB8C-48A4-956E-6A91FA612632}"/>
            </a:ext>
          </a:extLst>
        </xdr:cNvPr>
        <xdr:cNvSpPr/>
      </xdr:nvSpPr>
      <xdr:spPr>
        <a:xfrm>
          <a:off x="0" y="26543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9</xdr:row>
      <xdr:rowOff>171450</xdr:rowOff>
    </xdr:from>
    <xdr:to>
      <xdr:col>1</xdr:col>
      <xdr:colOff>529641</xdr:colOff>
      <xdr:row>10</xdr:row>
      <xdr:rowOff>177800</xdr:rowOff>
    </xdr:to>
    <xdr:sp macro="" textlink="">
      <xdr:nvSpPr>
        <xdr:cNvPr id="29" name="Rectangle 28">
          <a:hlinkClick xmlns:r="http://schemas.openxmlformats.org/officeDocument/2006/relationships" r:id="rId9" tooltip="Risks and Issues"/>
          <a:extLst>
            <a:ext uri="{FF2B5EF4-FFF2-40B4-BE49-F238E27FC236}">
              <a16:creationId xmlns:a16="http://schemas.microsoft.com/office/drawing/2014/main" id="{8F2D9A12-DB08-481A-842B-21C0495F6CAD}"/>
            </a:ext>
          </a:extLst>
        </xdr:cNvPr>
        <xdr:cNvSpPr/>
      </xdr:nvSpPr>
      <xdr:spPr>
        <a:xfrm>
          <a:off x="0" y="29908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10</xdr:row>
      <xdr:rowOff>190500</xdr:rowOff>
    </xdr:from>
    <xdr:to>
      <xdr:col>1</xdr:col>
      <xdr:colOff>529641</xdr:colOff>
      <xdr:row>11</xdr:row>
      <xdr:rowOff>146050</xdr:rowOff>
    </xdr:to>
    <xdr:sp macro="" textlink="">
      <xdr:nvSpPr>
        <xdr:cNvPr id="30" name="Rectangle 29">
          <a:hlinkClick xmlns:r="http://schemas.openxmlformats.org/officeDocument/2006/relationships" r:id="rId10" tooltip="Risks and Issues"/>
          <a:extLst>
            <a:ext uri="{FF2B5EF4-FFF2-40B4-BE49-F238E27FC236}">
              <a16:creationId xmlns:a16="http://schemas.microsoft.com/office/drawing/2014/main" id="{029DCCC1-016F-4201-AC2E-E7EA9FA42B65}"/>
            </a:ext>
          </a:extLst>
        </xdr:cNvPr>
        <xdr:cNvSpPr/>
      </xdr:nvSpPr>
      <xdr:spPr>
        <a:xfrm>
          <a:off x="0" y="33274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11</xdr:row>
      <xdr:rowOff>228600</xdr:rowOff>
    </xdr:from>
    <xdr:to>
      <xdr:col>1</xdr:col>
      <xdr:colOff>548691</xdr:colOff>
      <xdr:row>12</xdr:row>
      <xdr:rowOff>164698</xdr:rowOff>
    </xdr:to>
    <xdr:sp macro="" textlink="">
      <xdr:nvSpPr>
        <xdr:cNvPr id="31" name="Rectangle 30">
          <a:hlinkClick xmlns:r="http://schemas.openxmlformats.org/officeDocument/2006/relationships" r:id="rId11" tooltip="Risks and Issues"/>
          <a:extLst>
            <a:ext uri="{FF2B5EF4-FFF2-40B4-BE49-F238E27FC236}">
              <a16:creationId xmlns:a16="http://schemas.microsoft.com/office/drawing/2014/main" id="{EF17EF18-81E8-4466-9443-10569B68517B}"/>
            </a:ext>
          </a:extLst>
        </xdr:cNvPr>
        <xdr:cNvSpPr/>
      </xdr:nvSpPr>
      <xdr:spPr>
        <a:xfrm>
          <a:off x="19050" y="36830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3115236</xdr:colOff>
      <xdr:row>120</xdr:row>
      <xdr:rowOff>22411</xdr:rowOff>
    </xdr:from>
    <xdr:to>
      <xdr:col>6</xdr:col>
      <xdr:colOff>0</xdr:colOff>
      <xdr:row>123</xdr:row>
      <xdr:rowOff>7471</xdr:rowOff>
    </xdr:to>
    <xdr:sp macro="[0]!Step3Next" textlink="">
      <xdr:nvSpPr>
        <xdr:cNvPr id="17" name="Arrow: Right 16">
          <a:extLst>
            <a:ext uri="{FF2B5EF4-FFF2-40B4-BE49-F238E27FC236}">
              <a16:creationId xmlns:a16="http://schemas.microsoft.com/office/drawing/2014/main" id="{4D7F884E-A550-42B1-9DD0-3D5B54DA3F10}"/>
            </a:ext>
          </a:extLst>
        </xdr:cNvPr>
        <xdr:cNvSpPr/>
      </xdr:nvSpPr>
      <xdr:spPr>
        <a:xfrm>
          <a:off x="10892118" y="31787352"/>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306294</xdr:colOff>
      <xdr:row>120</xdr:row>
      <xdr:rowOff>14941</xdr:rowOff>
    </xdr:from>
    <xdr:to>
      <xdr:col>3</xdr:col>
      <xdr:colOff>933822</xdr:colOff>
      <xdr:row>123</xdr:row>
      <xdr:rowOff>0</xdr:rowOff>
    </xdr:to>
    <xdr:sp macro="[0]!StartUp.Step3Back" textlink="">
      <xdr:nvSpPr>
        <xdr:cNvPr id="32" name="Arrow: Left 31">
          <a:extLst>
            <a:ext uri="{FF2B5EF4-FFF2-40B4-BE49-F238E27FC236}">
              <a16:creationId xmlns:a16="http://schemas.microsoft.com/office/drawing/2014/main" id="{9275AE0B-E5B7-4391-BCEF-93DAD10FD7A9}"/>
            </a:ext>
          </a:extLst>
        </xdr:cNvPr>
        <xdr:cNvSpPr/>
      </xdr:nvSpPr>
      <xdr:spPr>
        <a:xfrm>
          <a:off x="1919941" y="31779882"/>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59767</xdr:colOff>
      <xdr:row>22</xdr:row>
      <xdr:rowOff>298825</xdr:rowOff>
    </xdr:from>
    <xdr:to>
      <xdr:col>1</xdr:col>
      <xdr:colOff>298824</xdr:colOff>
      <xdr:row>24</xdr:row>
      <xdr:rowOff>52296</xdr:rowOff>
    </xdr:to>
    <xdr:sp macro="[0]!ADDROWS" textlink="">
      <xdr:nvSpPr>
        <xdr:cNvPr id="33" name="Rectangle: Rounded Corners 32">
          <a:extLst>
            <a:ext uri="{FF2B5EF4-FFF2-40B4-BE49-F238E27FC236}">
              <a16:creationId xmlns:a16="http://schemas.microsoft.com/office/drawing/2014/main" id="{8829D89E-99DD-FFC8-9E6F-44B9FA5FFAEC}"/>
            </a:ext>
          </a:extLst>
        </xdr:cNvPr>
        <xdr:cNvSpPr/>
      </xdr:nvSpPr>
      <xdr:spPr>
        <a:xfrm>
          <a:off x="59767" y="7194178"/>
          <a:ext cx="881528"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Add Rows</a:t>
          </a:r>
        </a:p>
      </xdr:txBody>
    </xdr:sp>
    <xdr:clientData/>
  </xdr:twoCellAnchor>
  <xdr:twoCellAnchor>
    <xdr:from>
      <xdr:col>1</xdr:col>
      <xdr:colOff>373528</xdr:colOff>
      <xdr:row>23</xdr:row>
      <xdr:rowOff>0</xdr:rowOff>
    </xdr:from>
    <xdr:to>
      <xdr:col>2</xdr:col>
      <xdr:colOff>261469</xdr:colOff>
      <xdr:row>24</xdr:row>
      <xdr:rowOff>37353</xdr:rowOff>
    </xdr:to>
    <xdr:sp macro="[0]!DeleteRow" textlink="">
      <xdr:nvSpPr>
        <xdr:cNvPr id="34" name="Rectangle: Rounded Corners 33">
          <a:extLst>
            <a:ext uri="{FF2B5EF4-FFF2-40B4-BE49-F238E27FC236}">
              <a16:creationId xmlns:a16="http://schemas.microsoft.com/office/drawing/2014/main" id="{3F413CEB-9D89-D08C-3EA4-58CAD59349AF}"/>
            </a:ext>
          </a:extLst>
        </xdr:cNvPr>
        <xdr:cNvSpPr/>
      </xdr:nvSpPr>
      <xdr:spPr>
        <a:xfrm>
          <a:off x="1015999" y="7201647"/>
          <a:ext cx="859117" cy="3585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Delete row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6</xdr:col>
      <xdr:colOff>35299</xdr:colOff>
      <xdr:row>3</xdr:row>
      <xdr:rowOff>6236</xdr:rowOff>
    </xdr:to>
    <xdr:sp macro="" textlink="">
      <xdr:nvSpPr>
        <xdr:cNvPr id="11" name="Rectangle 10">
          <a:extLst>
            <a:ext uri="{FF2B5EF4-FFF2-40B4-BE49-F238E27FC236}">
              <a16:creationId xmlns:a16="http://schemas.microsoft.com/office/drawing/2014/main" id="{24BA6824-5501-4FCC-BBFB-357E811029DB}"/>
            </a:ext>
          </a:extLst>
        </xdr:cNvPr>
        <xdr:cNvSpPr/>
      </xdr:nvSpPr>
      <xdr:spPr>
        <a:xfrm>
          <a:off x="2578100" y="44450"/>
          <a:ext cx="6486525" cy="342786"/>
        </a:xfrm>
        <a:prstGeom prst="rect">
          <a:avLst/>
        </a:prstGeom>
        <a:solidFill>
          <a:schemeClr val="tx2"/>
        </a:solid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110191</xdr:rowOff>
    </xdr:from>
    <xdr:to>
      <xdr:col>1</xdr:col>
      <xdr:colOff>529641</xdr:colOff>
      <xdr:row>20</xdr:row>
      <xdr:rowOff>44823</xdr:rowOff>
    </xdr:to>
    <xdr:sp macro="" textlink="">
      <xdr:nvSpPr>
        <xdr:cNvPr id="12" name="Rectangle 11">
          <a:hlinkClick xmlns:r="http://schemas.openxmlformats.org/officeDocument/2006/relationships" r:id="rId1" tooltip="Risks and Issues"/>
          <a:extLst>
            <a:ext uri="{FF2B5EF4-FFF2-40B4-BE49-F238E27FC236}">
              <a16:creationId xmlns:a16="http://schemas.microsoft.com/office/drawing/2014/main" id="{AE8B44FD-E928-4A1E-98CA-8914E2A61193}"/>
            </a:ext>
          </a:extLst>
        </xdr:cNvPr>
        <xdr:cNvSpPr/>
      </xdr:nvSpPr>
      <xdr:spPr>
        <a:xfrm>
          <a:off x="0"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14</xdr:row>
      <xdr:rowOff>37727</xdr:rowOff>
    </xdr:from>
    <xdr:to>
      <xdr:col>1</xdr:col>
      <xdr:colOff>529641</xdr:colOff>
      <xdr:row>15</xdr:row>
      <xdr:rowOff>79160</xdr:rowOff>
    </xdr:to>
    <xdr:sp macro="" textlink="">
      <xdr:nvSpPr>
        <xdr:cNvPr id="13" name="Rectangle 12">
          <a:hlinkClick xmlns:r="http://schemas.openxmlformats.org/officeDocument/2006/relationships" r:id="rId2" tooltip="Risks and Issues"/>
          <a:extLst>
            <a:ext uri="{FF2B5EF4-FFF2-40B4-BE49-F238E27FC236}">
              <a16:creationId xmlns:a16="http://schemas.microsoft.com/office/drawing/2014/main" id="{DAD7D8F1-C278-4B9E-B878-A6963CA41DF2}"/>
            </a:ext>
          </a:extLst>
        </xdr:cNvPr>
        <xdr:cNvSpPr/>
      </xdr:nvSpPr>
      <xdr:spPr>
        <a:xfrm>
          <a:off x="0" y="2667374"/>
          <a:ext cx="1172112" cy="2281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15</xdr:row>
      <xdr:rowOff>146797</xdr:rowOff>
    </xdr:from>
    <xdr:to>
      <xdr:col>1</xdr:col>
      <xdr:colOff>529641</xdr:colOff>
      <xdr:row>17</xdr:row>
      <xdr:rowOff>52295</xdr:rowOff>
    </xdr:to>
    <xdr:sp macro="" textlink="">
      <xdr:nvSpPr>
        <xdr:cNvPr id="14" name="Rectangle 13">
          <a:hlinkClick xmlns:r="http://schemas.openxmlformats.org/officeDocument/2006/relationships" r:id="rId3" tooltip="Risks and Issues"/>
          <a:extLst>
            <a:ext uri="{FF2B5EF4-FFF2-40B4-BE49-F238E27FC236}">
              <a16:creationId xmlns:a16="http://schemas.microsoft.com/office/drawing/2014/main" id="{32B09C8C-13C6-42EE-95BF-51E4A475AA3C}"/>
            </a:ext>
          </a:extLst>
        </xdr:cNvPr>
        <xdr:cNvSpPr/>
      </xdr:nvSpPr>
      <xdr:spPr>
        <a:xfrm>
          <a:off x="0" y="2963209"/>
          <a:ext cx="1172112" cy="27902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17</xdr:row>
      <xdr:rowOff>156883</xdr:rowOff>
    </xdr:from>
    <xdr:to>
      <xdr:col>1</xdr:col>
      <xdr:colOff>529641</xdr:colOff>
      <xdr:row>18</xdr:row>
      <xdr:rowOff>33216</xdr:rowOff>
    </xdr:to>
    <xdr:sp macro="" textlink="">
      <xdr:nvSpPr>
        <xdr:cNvPr id="15" name="Rectangle 14">
          <a:hlinkClick xmlns:r="http://schemas.openxmlformats.org/officeDocument/2006/relationships" r:id="rId4" tooltip="Risks and Issues"/>
          <a:extLst>
            <a:ext uri="{FF2B5EF4-FFF2-40B4-BE49-F238E27FC236}">
              <a16:creationId xmlns:a16="http://schemas.microsoft.com/office/drawing/2014/main" id="{C046ABCA-2466-408B-A79B-885987511259}"/>
            </a:ext>
          </a:extLst>
        </xdr:cNvPr>
        <xdr:cNvSpPr/>
      </xdr:nvSpPr>
      <xdr:spPr>
        <a:xfrm>
          <a:off x="0" y="3346824"/>
          <a:ext cx="1172112" cy="63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36</xdr:row>
      <xdr:rowOff>7470</xdr:rowOff>
    </xdr:from>
    <xdr:to>
      <xdr:col>1</xdr:col>
      <xdr:colOff>529641</xdr:colOff>
      <xdr:row>38</xdr:row>
      <xdr:rowOff>104588</xdr:rowOff>
    </xdr:to>
    <xdr:sp macro="" textlink="">
      <xdr:nvSpPr>
        <xdr:cNvPr id="16" name="Rectangle 15">
          <a:hlinkClick xmlns:r="http://schemas.openxmlformats.org/officeDocument/2006/relationships" r:id="rId5" tooltip="Risks and Issues"/>
          <a:extLst>
            <a:ext uri="{FF2B5EF4-FFF2-40B4-BE49-F238E27FC236}">
              <a16:creationId xmlns:a16="http://schemas.microsoft.com/office/drawing/2014/main" id="{C985A46A-3E28-4DA2-B6E5-AA3537DFD018}"/>
            </a:ext>
          </a:extLst>
        </xdr:cNvPr>
        <xdr:cNvSpPr/>
      </xdr:nvSpPr>
      <xdr:spPr>
        <a:xfrm>
          <a:off x="0"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22412</xdr:colOff>
      <xdr:row>12</xdr:row>
      <xdr:rowOff>110191</xdr:rowOff>
    </xdr:from>
    <xdr:to>
      <xdr:col>1</xdr:col>
      <xdr:colOff>552053</xdr:colOff>
      <xdr:row>20</xdr:row>
      <xdr:rowOff>44823</xdr:rowOff>
    </xdr:to>
    <xdr:sp macro="" textlink="">
      <xdr:nvSpPr>
        <xdr:cNvPr id="20" name="Rectangle 19">
          <a:hlinkClick xmlns:r="http://schemas.openxmlformats.org/officeDocument/2006/relationships" r:id="rId1" tooltip="Risks and Issues"/>
          <a:extLst>
            <a:ext uri="{FF2B5EF4-FFF2-40B4-BE49-F238E27FC236}">
              <a16:creationId xmlns:a16="http://schemas.microsoft.com/office/drawing/2014/main" id="{9A340492-87EB-A144-22DE-CE366659984D}"/>
            </a:ext>
          </a:extLst>
        </xdr:cNvPr>
        <xdr:cNvSpPr/>
      </xdr:nvSpPr>
      <xdr:spPr>
        <a:xfrm>
          <a:off x="22412"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22412</xdr:colOff>
      <xdr:row>36</xdr:row>
      <xdr:rowOff>7470</xdr:rowOff>
    </xdr:from>
    <xdr:to>
      <xdr:col>1</xdr:col>
      <xdr:colOff>552053</xdr:colOff>
      <xdr:row>38</xdr:row>
      <xdr:rowOff>104588</xdr:rowOff>
    </xdr:to>
    <xdr:sp macro="" textlink="">
      <xdr:nvSpPr>
        <xdr:cNvPr id="24" name="Rectangle 23">
          <a:hlinkClick xmlns:r="http://schemas.openxmlformats.org/officeDocument/2006/relationships" r:id="rId5" tooltip="Risks and Issues"/>
          <a:extLst>
            <a:ext uri="{FF2B5EF4-FFF2-40B4-BE49-F238E27FC236}">
              <a16:creationId xmlns:a16="http://schemas.microsoft.com/office/drawing/2014/main" id="{F664ED5E-44D5-6581-76F2-BECD35D72901}"/>
            </a:ext>
          </a:extLst>
        </xdr:cNvPr>
        <xdr:cNvSpPr/>
      </xdr:nvSpPr>
      <xdr:spPr>
        <a:xfrm>
          <a:off x="22412"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44824</xdr:colOff>
      <xdr:row>12</xdr:row>
      <xdr:rowOff>110191</xdr:rowOff>
    </xdr:from>
    <xdr:to>
      <xdr:col>1</xdr:col>
      <xdr:colOff>574465</xdr:colOff>
      <xdr:row>20</xdr:row>
      <xdr:rowOff>44823</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BFC7753D-2169-F21F-9B5C-0BB051C71CD7}"/>
            </a:ext>
          </a:extLst>
        </xdr:cNvPr>
        <xdr:cNvSpPr/>
      </xdr:nvSpPr>
      <xdr:spPr>
        <a:xfrm>
          <a:off x="44824"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5</xdr:col>
      <xdr:colOff>512112</xdr:colOff>
      <xdr:row>40</xdr:row>
      <xdr:rowOff>22411</xdr:rowOff>
    </xdr:from>
    <xdr:to>
      <xdr:col>6</xdr:col>
      <xdr:colOff>362700</xdr:colOff>
      <xdr:row>43</xdr:row>
      <xdr:rowOff>7471</xdr:rowOff>
    </xdr:to>
    <xdr:sp macro="[0]!Step4Next" textlink="">
      <xdr:nvSpPr>
        <xdr:cNvPr id="29" name="Arrow: Right 28">
          <a:extLst>
            <a:ext uri="{FF2B5EF4-FFF2-40B4-BE49-F238E27FC236}">
              <a16:creationId xmlns:a16="http://schemas.microsoft.com/office/drawing/2014/main" id="{5CFCEB32-608C-4453-859D-03FCEE740250}"/>
            </a:ext>
          </a:extLst>
        </xdr:cNvPr>
        <xdr:cNvSpPr/>
      </xdr:nvSpPr>
      <xdr:spPr>
        <a:xfrm>
          <a:off x="9850347" y="630517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168464</xdr:colOff>
      <xdr:row>41</xdr:row>
      <xdr:rowOff>0</xdr:rowOff>
    </xdr:from>
    <xdr:to>
      <xdr:col>3</xdr:col>
      <xdr:colOff>534521</xdr:colOff>
      <xdr:row>43</xdr:row>
      <xdr:rowOff>171823</xdr:rowOff>
    </xdr:to>
    <xdr:sp macro="[0]!Step4Back" textlink="">
      <xdr:nvSpPr>
        <xdr:cNvPr id="30" name="Arrow: Left 29">
          <a:extLst>
            <a:ext uri="{FF2B5EF4-FFF2-40B4-BE49-F238E27FC236}">
              <a16:creationId xmlns:a16="http://schemas.microsoft.com/office/drawing/2014/main" id="{CBF5E08A-DF6D-45D0-A3AF-C36C8D15406C}"/>
            </a:ext>
          </a:extLst>
        </xdr:cNvPr>
        <xdr:cNvSpPr/>
      </xdr:nvSpPr>
      <xdr:spPr>
        <a:xfrm>
          <a:off x="1453405" y="6469529"/>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515097</xdr:colOff>
      <xdr:row>18</xdr:row>
      <xdr:rowOff>421341</xdr:rowOff>
    </xdr:to>
    <xdr:grpSp>
      <xdr:nvGrpSpPr>
        <xdr:cNvPr id="2" name="Group 1">
          <a:extLst>
            <a:ext uri="{FF2B5EF4-FFF2-40B4-BE49-F238E27FC236}">
              <a16:creationId xmlns:a16="http://schemas.microsoft.com/office/drawing/2014/main" id="{4228F392-DAEF-4002-9BD0-4FB2CAD11109}"/>
            </a:ext>
          </a:extLst>
        </xdr:cNvPr>
        <xdr:cNvGrpSpPr/>
      </xdr:nvGrpSpPr>
      <xdr:grpSpPr>
        <a:xfrm>
          <a:off x="0" y="0"/>
          <a:ext cx="13909862" cy="5531223"/>
          <a:chOff x="0" y="0"/>
          <a:chExt cx="14653315" cy="5795347"/>
        </a:xfrm>
      </xdr:grpSpPr>
      <xdr:sp macro="" textlink="">
        <xdr:nvSpPr>
          <xdr:cNvPr id="3" name="Rectangle 2">
            <a:extLst>
              <a:ext uri="{FF2B5EF4-FFF2-40B4-BE49-F238E27FC236}">
                <a16:creationId xmlns:a16="http://schemas.microsoft.com/office/drawing/2014/main" id="{1D125D5A-94B2-DB8A-800A-ACA0310BF967}"/>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F36704DD-E6E9-359B-28A3-0C00E959B3B3}"/>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EC209480-5CE2-8ACB-6FA4-ABCD3F1DEF2A}"/>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69AC028-BB67-40A0-2EB0-739BA5EFC3DC}"/>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E3012910-6F14-F0D6-3C7F-80A6D5881D4D}"/>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0A176B31-6C1D-6846-0551-67377BAC490F}"/>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F459806F-49BD-E70E-4342-06F2DD325D7F}"/>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804951B-8E64-CD48-5DB8-1BEE3D44444E}"/>
              </a:ext>
            </a:extLst>
          </xdr:cNvPr>
          <xdr:cNvSpPr/>
        </xdr:nvSpPr>
        <xdr:spPr>
          <a:xfrm>
            <a:off x="0" y="204263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grpSp>
    <xdr:clientData/>
  </xdr:twoCellAnchor>
  <xdr:twoCellAnchor editAs="absolute">
    <xdr:from>
      <xdr:col>3</xdr:col>
      <xdr:colOff>1009650</xdr:colOff>
      <xdr:row>0</xdr:row>
      <xdr:rowOff>44450</xdr:rowOff>
    </xdr:from>
    <xdr:to>
      <xdr:col>6</xdr:col>
      <xdr:colOff>111125</xdr:colOff>
      <xdr:row>3</xdr:row>
      <xdr:rowOff>6236</xdr:rowOff>
    </xdr:to>
    <xdr:sp macro="" textlink="">
      <xdr:nvSpPr>
        <xdr:cNvPr id="11" name="Rectangle 10">
          <a:extLst>
            <a:ext uri="{FF2B5EF4-FFF2-40B4-BE49-F238E27FC236}">
              <a16:creationId xmlns:a16="http://schemas.microsoft.com/office/drawing/2014/main" id="{4979E967-2D51-48D6-947D-F7113CCE479C}"/>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118020</xdr:rowOff>
    </xdr:from>
    <xdr:to>
      <xdr:col>1</xdr:col>
      <xdr:colOff>529641</xdr:colOff>
      <xdr:row>10</xdr:row>
      <xdr:rowOff>357829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0621D603-3BCF-4FB5-AEC9-C5FC35FDDDFE}"/>
            </a:ext>
          </a:extLst>
        </xdr:cNvPr>
        <xdr:cNvSpPr/>
      </xdr:nvSpPr>
      <xdr:spPr>
        <a:xfrm>
          <a:off x="0" y="23214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0</xdr:colOff>
      <xdr:row>11</xdr:row>
      <xdr:rowOff>38100</xdr:rowOff>
    </xdr:from>
    <xdr:to>
      <xdr:col>1</xdr:col>
      <xdr:colOff>529641</xdr:colOff>
      <xdr:row>11</xdr:row>
      <xdr:rowOff>272648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75C7B71A-5E52-4242-B070-97C6EAED84B7}"/>
            </a:ext>
          </a:extLst>
        </xdr:cNvPr>
        <xdr:cNvSpPr/>
      </xdr:nvSpPr>
      <xdr:spPr>
        <a:xfrm>
          <a:off x="0" y="26225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330200</xdr:rowOff>
    </xdr:from>
    <xdr:to>
      <xdr:col>1</xdr:col>
      <xdr:colOff>529641</xdr:colOff>
      <xdr:row>12</xdr:row>
      <xdr:rowOff>348848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0338866-BD14-4335-A14C-77B99063BD1D}"/>
            </a:ext>
          </a:extLst>
        </xdr:cNvPr>
        <xdr:cNvSpPr/>
      </xdr:nvSpPr>
      <xdr:spPr>
        <a:xfrm>
          <a:off x="0" y="2914650"/>
          <a:ext cx="1170991" cy="3996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12700</xdr:rowOff>
    </xdr:from>
    <xdr:to>
      <xdr:col>1</xdr:col>
      <xdr:colOff>529641</xdr:colOff>
      <xdr:row>14</xdr:row>
      <xdr:rowOff>145648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72A277A9-05B9-4C7E-8976-9B996B577BB3}"/>
            </a:ext>
          </a:extLst>
        </xdr:cNvPr>
        <xdr:cNvSpPr/>
      </xdr:nvSpPr>
      <xdr:spPr>
        <a:xfrm>
          <a:off x="0" y="33591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44450</xdr:rowOff>
    </xdr:from>
    <xdr:to>
      <xdr:col>1</xdr:col>
      <xdr:colOff>529641</xdr:colOff>
      <xdr:row>16</xdr:row>
      <xdr:rowOff>253598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0267F9F-9413-4DE2-9E24-1002CAE8BEF2}"/>
            </a:ext>
          </a:extLst>
        </xdr:cNvPr>
        <xdr:cNvSpPr/>
      </xdr:nvSpPr>
      <xdr:spPr>
        <a:xfrm>
          <a:off x="0" y="3746500"/>
          <a:ext cx="1170991" cy="380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0</xdr:colOff>
      <xdr:row>43</xdr:row>
      <xdr:rowOff>0</xdr:rowOff>
    </xdr:from>
    <xdr:to>
      <xdr:col>3</xdr:col>
      <xdr:colOff>1009650</xdr:colOff>
      <xdr:row>45</xdr:row>
      <xdr:rowOff>0</xdr:rowOff>
    </xdr:to>
    <xdr:sp macro="[0]!Step5Back" textlink="">
      <xdr:nvSpPr>
        <xdr:cNvPr id="18" name="Arrow: Left 17">
          <a:extLst>
            <a:ext uri="{FF2B5EF4-FFF2-40B4-BE49-F238E27FC236}">
              <a16:creationId xmlns:a16="http://schemas.microsoft.com/office/drawing/2014/main" id="{1D898576-6722-5E7C-F74F-B10034FEF027}"/>
            </a:ext>
          </a:extLst>
        </xdr:cNvPr>
        <xdr:cNvSpPr/>
      </xdr:nvSpPr>
      <xdr:spPr>
        <a:xfrm>
          <a:off x="1568824" y="11056471"/>
          <a:ext cx="1009650" cy="5080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Back</a:t>
          </a:r>
        </a:p>
      </xdr:txBody>
    </xdr:sp>
    <xdr:clientData/>
  </xdr:twoCellAnchor>
  <xdr:twoCellAnchor>
    <xdr:from>
      <xdr:col>7</xdr:col>
      <xdr:colOff>1201644</xdr:colOff>
      <xdr:row>42</xdr:row>
      <xdr:rowOff>97118</xdr:rowOff>
    </xdr:from>
    <xdr:to>
      <xdr:col>8</xdr:col>
      <xdr:colOff>0</xdr:colOff>
      <xdr:row>44</xdr:row>
      <xdr:rowOff>164353</xdr:rowOff>
    </xdr:to>
    <xdr:sp macro="[0]!Step5Next" textlink="">
      <xdr:nvSpPr>
        <xdr:cNvPr id="20" name="Arrow: Right 19">
          <a:extLst>
            <a:ext uri="{FF2B5EF4-FFF2-40B4-BE49-F238E27FC236}">
              <a16:creationId xmlns:a16="http://schemas.microsoft.com/office/drawing/2014/main" id="{4D0CBF2F-BB9A-92B5-0872-5DE75D2DA12B}"/>
            </a:ext>
          </a:extLst>
        </xdr:cNvPr>
        <xdr:cNvSpPr/>
      </xdr:nvSpPr>
      <xdr:spPr>
        <a:xfrm>
          <a:off x="10801350" y="10966824"/>
          <a:ext cx="1009650" cy="508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Next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1073150</xdr:colOff>
      <xdr:row>31</xdr:row>
      <xdr:rowOff>112432</xdr:rowOff>
    </xdr:to>
    <xdr:grpSp>
      <xdr:nvGrpSpPr>
        <xdr:cNvPr id="2" name="Group 1">
          <a:extLst>
            <a:ext uri="{FF2B5EF4-FFF2-40B4-BE49-F238E27FC236}">
              <a16:creationId xmlns:a16="http://schemas.microsoft.com/office/drawing/2014/main" id="{DE199E98-7B0D-4ACE-B4A3-D98986E81833}"/>
            </a:ext>
          </a:extLst>
        </xdr:cNvPr>
        <xdr:cNvGrpSpPr/>
      </xdr:nvGrpSpPr>
      <xdr:grpSpPr>
        <a:xfrm>
          <a:off x="0" y="0"/>
          <a:ext cx="13915091" cy="5528608"/>
          <a:chOff x="0" y="0"/>
          <a:chExt cx="14653315" cy="5795347"/>
        </a:xfrm>
      </xdr:grpSpPr>
      <xdr:sp macro="" textlink="">
        <xdr:nvSpPr>
          <xdr:cNvPr id="3" name="Rectangle 2">
            <a:extLst>
              <a:ext uri="{FF2B5EF4-FFF2-40B4-BE49-F238E27FC236}">
                <a16:creationId xmlns:a16="http://schemas.microsoft.com/office/drawing/2014/main" id="{34DB7389-D366-8010-43C7-192BBE874F61}"/>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5326B31-E7B0-7410-8F8C-5E9601244FDF}"/>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C8FA657D-9CBC-C4C2-6D76-236E625B0AFB}"/>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9B6166C-9457-CC70-323C-4FE1D71F650E}"/>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6711214-77EA-DB47-104A-7856BF2BD76F}"/>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30D9D6C-2950-9ACF-C07A-607C999C5ED0}"/>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B65CD548-D233-4971-3C2B-4D07F4D9733D}"/>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8DF2BB85-7C01-BB29-47CA-954FB12C9509}"/>
              </a:ext>
            </a:extLst>
          </xdr:cNvPr>
          <xdr:cNvSpPr/>
        </xdr:nvSpPr>
        <xdr:spPr>
          <a:xfrm>
            <a:off x="0" y="2022558"/>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sp macro="" textlink="">
        <xdr:nvSpPr>
          <xdr:cNvPr id="17" name="Rectangle 16">
            <a:hlinkClick xmlns:r="http://schemas.openxmlformats.org/officeDocument/2006/relationships" r:id="rId1"/>
            <a:extLst>
              <a:ext uri="{FF2B5EF4-FFF2-40B4-BE49-F238E27FC236}">
                <a16:creationId xmlns:a16="http://schemas.microsoft.com/office/drawing/2014/main" id="{CC87A682-532F-737F-F934-04572B6CBDC9}"/>
              </a:ext>
            </a:extLst>
          </xdr:cNvPr>
          <xdr:cNvSpPr/>
        </xdr:nvSpPr>
        <xdr:spPr>
          <a:xfrm>
            <a:off x="0" y="473474"/>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18" name="Rectangle 17">
            <a:hlinkClick xmlns:r="http://schemas.openxmlformats.org/officeDocument/2006/relationships" r:id="rId2" tooltip="Gantt View"/>
            <a:extLst>
              <a:ext uri="{FF2B5EF4-FFF2-40B4-BE49-F238E27FC236}">
                <a16:creationId xmlns:a16="http://schemas.microsoft.com/office/drawing/2014/main" id="{3BE04980-35A2-72F4-B1B6-51AEC7776A22}"/>
              </a:ext>
            </a:extLst>
          </xdr:cNvPr>
          <xdr:cNvSpPr/>
        </xdr:nvSpPr>
        <xdr:spPr>
          <a:xfrm>
            <a:off x="0" y="791323"/>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19" name="Rectangle 18">
            <a:hlinkClick xmlns:r="http://schemas.openxmlformats.org/officeDocument/2006/relationships" r:id="rId3" tooltip="Resource View"/>
            <a:extLst>
              <a:ext uri="{FF2B5EF4-FFF2-40B4-BE49-F238E27FC236}">
                <a16:creationId xmlns:a16="http://schemas.microsoft.com/office/drawing/2014/main" id="{744C1B8E-B340-2EDF-6C09-CB987ED60A0A}"/>
              </a:ext>
            </a:extLst>
          </xdr:cNvPr>
          <xdr:cNvSpPr/>
        </xdr:nvSpPr>
        <xdr:spPr>
          <a:xfrm>
            <a:off x="0" y="1069045"/>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0" name="Rectangle 19">
            <a:hlinkClick xmlns:r="http://schemas.openxmlformats.org/officeDocument/2006/relationships" r:id="rId4" tooltip="Timeline View"/>
            <a:extLst>
              <a:ext uri="{FF2B5EF4-FFF2-40B4-BE49-F238E27FC236}">
                <a16:creationId xmlns:a16="http://schemas.microsoft.com/office/drawing/2014/main" id="{648D9D2B-F680-7BC0-42CB-723548FCE83A}"/>
              </a:ext>
            </a:extLst>
          </xdr:cNvPr>
          <xdr:cNvSpPr/>
        </xdr:nvSpPr>
        <xdr:spPr>
          <a:xfrm>
            <a:off x="0" y="1383560"/>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1" name="Rectangle 20">
            <a:hlinkClick xmlns:r="http://schemas.openxmlformats.org/officeDocument/2006/relationships" r:id="rId5" tooltip="Heatmap View"/>
            <a:extLst>
              <a:ext uri="{FF2B5EF4-FFF2-40B4-BE49-F238E27FC236}">
                <a16:creationId xmlns:a16="http://schemas.microsoft.com/office/drawing/2014/main" id="{1AE7C2E7-BCC2-7243-3649-5210E23D7E33}"/>
              </a:ext>
            </a:extLst>
          </xdr:cNvPr>
          <xdr:cNvSpPr/>
        </xdr:nvSpPr>
        <xdr:spPr>
          <a:xfrm>
            <a:off x="0" y="172484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grpSp>
    <xdr:clientData/>
  </xdr:twoCellAnchor>
  <xdr:twoCellAnchor editAs="absolute">
    <xdr:from>
      <xdr:col>3</xdr:col>
      <xdr:colOff>683932</xdr:colOff>
      <xdr:row>0</xdr:row>
      <xdr:rowOff>51921</xdr:rowOff>
    </xdr:from>
    <xdr:to>
      <xdr:col>7</xdr:col>
      <xdr:colOff>64807</xdr:colOff>
      <xdr:row>3</xdr:row>
      <xdr:rowOff>13707</xdr:rowOff>
    </xdr:to>
    <xdr:sp macro="" textlink="">
      <xdr:nvSpPr>
        <xdr:cNvPr id="11" name="Rectangle 10">
          <a:extLst>
            <a:ext uri="{FF2B5EF4-FFF2-40B4-BE49-F238E27FC236}">
              <a16:creationId xmlns:a16="http://schemas.microsoft.com/office/drawing/2014/main" id="{16F59CA1-E84A-4720-8866-849A81D26143}"/>
            </a:ext>
          </a:extLst>
        </xdr:cNvPr>
        <xdr:cNvSpPr/>
      </xdr:nvSpPr>
      <xdr:spPr>
        <a:xfrm>
          <a:off x="2611344" y="51921"/>
          <a:ext cx="649287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632370</xdr:rowOff>
    </xdr:from>
    <xdr:to>
      <xdr:col>1</xdr:col>
      <xdr:colOff>529641</xdr:colOff>
      <xdr:row>11</xdr:row>
      <xdr:rowOff>141929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D0BB0E5-812B-4CAB-8137-DCAE6C9D817F}"/>
            </a:ext>
          </a:extLst>
        </xdr:cNvPr>
        <xdr:cNvSpPr/>
      </xdr:nvSpPr>
      <xdr:spPr>
        <a:xfrm>
          <a:off x="0" y="2232570"/>
          <a:ext cx="1170991" cy="23345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19050</xdr:colOff>
      <xdr:row>12</xdr:row>
      <xdr:rowOff>48170</xdr:rowOff>
    </xdr:from>
    <xdr:to>
      <xdr:col>1</xdr:col>
      <xdr:colOff>548691</xdr:colOff>
      <xdr:row>13</xdr:row>
      <xdr:rowOff>33979</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1AB3283C-772A-45E3-BF3B-265794A65AFC}"/>
            </a:ext>
          </a:extLst>
        </xdr:cNvPr>
        <xdr:cNvSpPr/>
      </xdr:nvSpPr>
      <xdr:spPr>
        <a:xfrm>
          <a:off x="19050" y="25627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0</xdr:colOff>
      <xdr:row>13</xdr:row>
      <xdr:rowOff>158750</xdr:rowOff>
    </xdr:from>
    <xdr:to>
      <xdr:col>1</xdr:col>
      <xdr:colOff>529641</xdr:colOff>
      <xdr:row>14</xdr:row>
      <xdr:rowOff>82148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C995AA3-C97D-4BCB-AA21-113E4FC84DFD}"/>
            </a:ext>
          </a:extLst>
        </xdr:cNvPr>
        <xdr:cNvSpPr/>
      </xdr:nvSpPr>
      <xdr:spPr>
        <a:xfrm>
          <a:off x="0" y="292735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15</xdr:row>
      <xdr:rowOff>0</xdr:rowOff>
    </xdr:from>
    <xdr:to>
      <xdr:col>1</xdr:col>
      <xdr:colOff>529641</xdr:colOff>
      <xdr:row>16</xdr:row>
      <xdr:rowOff>63098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C5DAE614-9DBE-4B7F-9306-3C19CCAA641B}"/>
            </a:ext>
          </a:extLst>
        </xdr:cNvPr>
        <xdr:cNvSpPr/>
      </xdr:nvSpPr>
      <xdr:spPr>
        <a:xfrm>
          <a:off x="0" y="3321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17</xdr:row>
      <xdr:rowOff>82550</xdr:rowOff>
    </xdr:from>
    <xdr:to>
      <xdr:col>1</xdr:col>
      <xdr:colOff>529641</xdr:colOff>
      <xdr:row>17</xdr:row>
      <xdr:rowOff>317098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BB27E816-C9C7-41C6-983B-395D174E0AD4}"/>
            </a:ext>
          </a:extLst>
        </xdr:cNvPr>
        <xdr:cNvSpPr/>
      </xdr:nvSpPr>
      <xdr:spPr>
        <a:xfrm>
          <a:off x="0" y="36893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179294</xdr:colOff>
      <xdr:row>51</xdr:row>
      <xdr:rowOff>149411</xdr:rowOff>
    </xdr:from>
    <xdr:to>
      <xdr:col>6</xdr:col>
      <xdr:colOff>336177</xdr:colOff>
      <xdr:row>54</xdr:row>
      <xdr:rowOff>134471</xdr:rowOff>
    </xdr:to>
    <xdr:sp macro="[0]!CostNext" textlink="">
      <xdr:nvSpPr>
        <xdr:cNvPr id="22" name="Arrow: Right 21">
          <a:extLst>
            <a:ext uri="{FF2B5EF4-FFF2-40B4-BE49-F238E27FC236}">
              <a16:creationId xmlns:a16="http://schemas.microsoft.com/office/drawing/2014/main" id="{6BC73E1C-5639-4F4C-A3B5-8712C7E5C65D}"/>
            </a:ext>
          </a:extLst>
        </xdr:cNvPr>
        <xdr:cNvSpPr/>
      </xdr:nvSpPr>
      <xdr:spPr>
        <a:xfrm>
          <a:off x="7717118" y="1418664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317875</xdr:colOff>
      <xdr:row>52</xdr:row>
      <xdr:rowOff>0</xdr:rowOff>
    </xdr:from>
    <xdr:to>
      <xdr:col>3</xdr:col>
      <xdr:colOff>683932</xdr:colOff>
      <xdr:row>54</xdr:row>
      <xdr:rowOff>171824</xdr:rowOff>
    </xdr:to>
    <xdr:sp macro="[0]!CostBack" textlink="">
      <xdr:nvSpPr>
        <xdr:cNvPr id="23" name="Arrow: Left 22">
          <a:extLst>
            <a:ext uri="{FF2B5EF4-FFF2-40B4-BE49-F238E27FC236}">
              <a16:creationId xmlns:a16="http://schemas.microsoft.com/office/drawing/2014/main" id="{6E518387-1402-4DD4-AABC-BC23CAA71311}"/>
            </a:ext>
          </a:extLst>
        </xdr:cNvPr>
        <xdr:cNvSpPr/>
      </xdr:nvSpPr>
      <xdr:spPr>
        <a:xfrm>
          <a:off x="1602816" y="14224000"/>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5</xdr:col>
      <xdr:colOff>535455</xdr:colOff>
      <xdr:row>3</xdr:row>
      <xdr:rowOff>6236</xdr:rowOff>
    </xdr:to>
    <xdr:sp macro="" textlink="">
      <xdr:nvSpPr>
        <xdr:cNvPr id="11" name="Rectangle 10">
          <a:extLst>
            <a:ext uri="{FF2B5EF4-FFF2-40B4-BE49-F238E27FC236}">
              <a16:creationId xmlns:a16="http://schemas.microsoft.com/office/drawing/2014/main" id="{4705DB2D-3B49-47D9-BC1F-0D45EF3DADA2}"/>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15" name="Rectangle 14">
          <a:hlinkClick xmlns:r="http://schemas.openxmlformats.org/officeDocument/2006/relationships" r:id="rId1" tooltip="Risks and Issues"/>
          <a:extLst>
            <a:ext uri="{FF2B5EF4-FFF2-40B4-BE49-F238E27FC236}">
              <a16:creationId xmlns:a16="http://schemas.microsoft.com/office/drawing/2014/main" id="{B51F3124-CD2B-4DEA-9E3E-DC7EBF9CF5F2}"/>
            </a:ext>
          </a:extLst>
        </xdr:cNvPr>
        <xdr:cNvSpPr/>
      </xdr:nvSpPr>
      <xdr:spPr>
        <a:xfrm>
          <a:off x="0" y="3529854"/>
          <a:ext cx="1202764" cy="24279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16" name="Rectangle 15">
          <a:hlinkClick xmlns:r="http://schemas.openxmlformats.org/officeDocument/2006/relationships" r:id="rId2" tooltip="Risks and Issues"/>
          <a:extLst>
            <a:ext uri="{FF2B5EF4-FFF2-40B4-BE49-F238E27FC236}">
              <a16:creationId xmlns:a16="http://schemas.microsoft.com/office/drawing/2014/main" id="{C71E92BA-3B18-4BD5-B0F0-B849C6D894D6}"/>
            </a:ext>
          </a:extLst>
        </xdr:cNvPr>
        <xdr:cNvSpPr/>
      </xdr:nvSpPr>
      <xdr:spPr>
        <a:xfrm>
          <a:off x="0" y="3925047"/>
          <a:ext cx="1172112" cy="23492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90" name="Rectangle 89">
          <a:extLst>
            <a:ext uri="{FF2B5EF4-FFF2-40B4-BE49-F238E27FC236}">
              <a16:creationId xmlns:a16="http://schemas.microsoft.com/office/drawing/2014/main" id="{AC59B498-2807-499E-A0C6-1845AE93C087}"/>
            </a:ext>
          </a:extLst>
        </xdr:cNvPr>
        <xdr:cNvSpPr/>
      </xdr:nvSpPr>
      <xdr:spPr>
        <a:xfrm>
          <a:off x="36286" y="0"/>
          <a:ext cx="1750786" cy="6985000"/>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91" name="Rectangle 90">
          <a:extLst>
            <a:ext uri="{FF2B5EF4-FFF2-40B4-BE49-F238E27FC236}">
              <a16:creationId xmlns:a16="http://schemas.microsoft.com/office/drawing/2014/main" id="{73B1283A-58DE-45BF-8F1F-9A290BC0E113}"/>
            </a:ext>
          </a:extLst>
        </xdr:cNvPr>
        <xdr:cNvSpPr/>
      </xdr:nvSpPr>
      <xdr:spPr>
        <a:xfrm>
          <a:off x="644071" y="0"/>
          <a:ext cx="13900150"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92" name="Rectangle 91">
          <a:extLst>
            <a:ext uri="{FF2B5EF4-FFF2-40B4-BE49-F238E27FC236}">
              <a16:creationId xmlns:a16="http://schemas.microsoft.com/office/drawing/2014/main" id="{C1BC9685-F25E-49D3-9D92-75EEB482B5A7}"/>
            </a:ext>
          </a:extLst>
        </xdr:cNvPr>
        <xdr:cNvSpPr/>
      </xdr:nvSpPr>
      <xdr:spPr>
        <a:xfrm>
          <a:off x="644071" y="0"/>
          <a:ext cx="13900150"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3" name="Rectangle 92">
          <a:hlinkClick xmlns:r="http://schemas.openxmlformats.org/officeDocument/2006/relationships" r:id="rId3" tooltip="Risks and Issues"/>
          <a:extLst>
            <a:ext uri="{FF2B5EF4-FFF2-40B4-BE49-F238E27FC236}">
              <a16:creationId xmlns:a16="http://schemas.microsoft.com/office/drawing/2014/main" id="{AC0953C5-C731-443B-B91A-5CAF694A734B}"/>
            </a:ext>
          </a:extLst>
        </xdr:cNvPr>
        <xdr:cNvSpPr/>
      </xdr:nvSpPr>
      <xdr:spPr>
        <a:xfrm>
          <a:off x="154215" y="2448428"/>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94" name="Rectangle 93">
          <a:hlinkClick xmlns:r="http://schemas.openxmlformats.org/officeDocument/2006/relationships" r:id="rId4"/>
          <a:extLst>
            <a:ext uri="{FF2B5EF4-FFF2-40B4-BE49-F238E27FC236}">
              <a16:creationId xmlns:a16="http://schemas.microsoft.com/office/drawing/2014/main" id="{2AFF390F-11CF-43F1-8DFD-EF39DBEAAFF8}"/>
            </a:ext>
          </a:extLst>
        </xdr:cNvPr>
        <xdr:cNvSpPr/>
      </xdr:nvSpPr>
      <xdr:spPr>
        <a:xfrm>
          <a:off x="181429" y="861786"/>
          <a:ext cx="1295543" cy="241096"/>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95" name="Rectangle 94">
          <a:hlinkClick xmlns:r="http://schemas.openxmlformats.org/officeDocument/2006/relationships" r:id="rId5" tooltip="Gantt View"/>
          <a:extLst>
            <a:ext uri="{FF2B5EF4-FFF2-40B4-BE49-F238E27FC236}">
              <a16:creationId xmlns:a16="http://schemas.microsoft.com/office/drawing/2014/main" id="{D48306CD-EB99-470D-AAAD-B67C08A5D491}"/>
            </a:ext>
          </a:extLst>
        </xdr:cNvPr>
        <xdr:cNvSpPr/>
      </xdr:nvSpPr>
      <xdr:spPr>
        <a:xfrm>
          <a:off x="154215" y="1273862"/>
          <a:ext cx="1290436"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96" name="Rectangle 95">
          <a:hlinkClick xmlns:r="http://schemas.openxmlformats.org/officeDocument/2006/relationships" r:id="rId6" tooltip="Resource View"/>
          <a:extLst>
            <a:ext uri="{FF2B5EF4-FFF2-40B4-BE49-F238E27FC236}">
              <a16:creationId xmlns:a16="http://schemas.microsoft.com/office/drawing/2014/main" id="{45720E3F-EE44-4B35-B6C5-7DB666DCECD4}"/>
            </a:ext>
          </a:extLst>
        </xdr:cNvPr>
        <xdr:cNvSpPr/>
      </xdr:nvSpPr>
      <xdr:spPr>
        <a:xfrm>
          <a:off x="154215" y="1538802"/>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97" name="Rectangle 96">
          <a:hlinkClick xmlns:r="http://schemas.openxmlformats.org/officeDocument/2006/relationships" r:id="rId7" tooltip="Timeline View"/>
          <a:extLst>
            <a:ext uri="{FF2B5EF4-FFF2-40B4-BE49-F238E27FC236}">
              <a16:creationId xmlns:a16="http://schemas.microsoft.com/office/drawing/2014/main" id="{A4743EEA-6BAA-4E32-B407-E50A90D713B1}"/>
            </a:ext>
          </a:extLst>
        </xdr:cNvPr>
        <xdr:cNvSpPr/>
      </xdr:nvSpPr>
      <xdr:spPr>
        <a:xfrm>
          <a:off x="154215" y="1838841"/>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98" name="Rectangle 97">
          <a:hlinkClick xmlns:r="http://schemas.openxmlformats.org/officeDocument/2006/relationships" r:id="rId8" tooltip="Heatmap View"/>
          <a:extLst>
            <a:ext uri="{FF2B5EF4-FFF2-40B4-BE49-F238E27FC236}">
              <a16:creationId xmlns:a16="http://schemas.microsoft.com/office/drawing/2014/main" id="{94970175-B5D5-4BE5-AEE0-133E8EB1CD6F}"/>
            </a:ext>
          </a:extLst>
        </xdr:cNvPr>
        <xdr:cNvSpPr/>
      </xdr:nvSpPr>
      <xdr:spPr>
        <a:xfrm>
          <a:off x="154215" y="2164417"/>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99" name="Rectangle 98">
          <a:hlinkClick xmlns:r="http://schemas.openxmlformats.org/officeDocument/2006/relationships" r:id="rId2" tooltip="Risks and Issues"/>
          <a:extLst>
            <a:ext uri="{FF2B5EF4-FFF2-40B4-BE49-F238E27FC236}">
              <a16:creationId xmlns:a16="http://schemas.microsoft.com/office/drawing/2014/main" id="{58ADDEE1-EBB9-4A75-8162-437B83D25404}"/>
            </a:ext>
          </a:extLst>
        </xdr:cNvPr>
        <xdr:cNvSpPr/>
      </xdr:nvSpPr>
      <xdr:spPr>
        <a:xfrm>
          <a:off x="90714" y="4192333"/>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00" name="Rectangle 99">
          <a:hlinkClick xmlns:r="http://schemas.openxmlformats.org/officeDocument/2006/relationships" r:id="rId9" tooltip="Risks and Issues"/>
          <a:extLst>
            <a:ext uri="{FF2B5EF4-FFF2-40B4-BE49-F238E27FC236}">
              <a16:creationId xmlns:a16="http://schemas.microsoft.com/office/drawing/2014/main" id="{B10D1B5A-DCCC-49A0-AF34-6985F3F807AC}"/>
            </a:ext>
          </a:extLst>
        </xdr:cNvPr>
        <xdr:cNvSpPr/>
      </xdr:nvSpPr>
      <xdr:spPr>
        <a:xfrm>
          <a:off x="113126" y="2875643"/>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101" name="Rectangle 100">
          <a:hlinkClick xmlns:r="http://schemas.openxmlformats.org/officeDocument/2006/relationships" r:id="rId10" tooltip="Risks and Issues"/>
          <a:extLst>
            <a:ext uri="{FF2B5EF4-FFF2-40B4-BE49-F238E27FC236}">
              <a16:creationId xmlns:a16="http://schemas.microsoft.com/office/drawing/2014/main" id="{0D635A86-2B77-4F67-BADA-A6D10D6FE7DE}"/>
            </a:ext>
          </a:extLst>
        </xdr:cNvPr>
        <xdr:cNvSpPr/>
      </xdr:nvSpPr>
      <xdr:spPr>
        <a:xfrm>
          <a:off x="113126" y="33556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102" name="Rectangle 101">
          <a:hlinkClick xmlns:r="http://schemas.openxmlformats.org/officeDocument/2006/relationships" r:id="rId11" tooltip="Risks and Issues"/>
          <a:extLst>
            <a:ext uri="{FF2B5EF4-FFF2-40B4-BE49-F238E27FC236}">
              <a16:creationId xmlns:a16="http://schemas.microsoft.com/office/drawing/2014/main" id="{D9F8C6D2-BCD4-49A0-97C0-6919968379C8}"/>
            </a:ext>
          </a:extLst>
        </xdr:cNvPr>
        <xdr:cNvSpPr/>
      </xdr:nvSpPr>
      <xdr:spPr>
        <a:xfrm>
          <a:off x="113126" y="362867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103" name="Rectangle 102">
          <a:hlinkClick xmlns:r="http://schemas.openxmlformats.org/officeDocument/2006/relationships" r:id="rId1" tooltip="Risks and Issues"/>
          <a:extLst>
            <a:ext uri="{FF2B5EF4-FFF2-40B4-BE49-F238E27FC236}">
              <a16:creationId xmlns:a16="http://schemas.microsoft.com/office/drawing/2014/main" id="{BE6823BF-61BD-457A-97BB-D6E236146F6C}"/>
            </a:ext>
          </a:extLst>
        </xdr:cNvPr>
        <xdr:cNvSpPr/>
      </xdr:nvSpPr>
      <xdr:spPr>
        <a:xfrm>
          <a:off x="113126" y="39271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3" name="Arrow: Left 2">
          <a:extLst>
            <a:ext uri="{FF2B5EF4-FFF2-40B4-BE49-F238E27FC236}">
              <a16:creationId xmlns:a16="http://schemas.microsoft.com/office/drawing/2014/main" id="{600ADEA8-32C0-45E8-964D-1301AEB2BAAB}"/>
            </a:ext>
          </a:extLst>
        </xdr:cNvPr>
        <xdr:cNvSpPr/>
      </xdr:nvSpPr>
      <xdr:spPr>
        <a:xfrm>
          <a:off x="1932214" y="13652501"/>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 name="Rectangle 1">
          <a:hlinkClick xmlns:r="http://schemas.openxmlformats.org/officeDocument/2006/relationships" r:id="rId1" tooltip="Risks and Issues"/>
          <a:extLst>
            <a:ext uri="{FF2B5EF4-FFF2-40B4-BE49-F238E27FC236}">
              <a16:creationId xmlns:a16="http://schemas.microsoft.com/office/drawing/2014/main" id="{D05DD4B6-F962-4C7C-944D-2C41BC2A1448}"/>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5" name="Rectangle 4">
          <a:hlinkClick xmlns:r="http://schemas.openxmlformats.org/officeDocument/2006/relationships" r:id="rId2" tooltip="Risks and Issues"/>
          <a:extLst>
            <a:ext uri="{FF2B5EF4-FFF2-40B4-BE49-F238E27FC236}">
              <a16:creationId xmlns:a16="http://schemas.microsoft.com/office/drawing/2014/main" id="{B9E29BD4-8353-43A8-B1EE-5A67E9137487}"/>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 name="Rectangle 5">
          <a:extLst>
            <a:ext uri="{FF2B5EF4-FFF2-40B4-BE49-F238E27FC236}">
              <a16:creationId xmlns:a16="http://schemas.microsoft.com/office/drawing/2014/main" id="{496A5388-D2F8-427B-A867-46090E6EBDDC}"/>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7" name="Rectangle 6">
          <a:extLst>
            <a:ext uri="{FF2B5EF4-FFF2-40B4-BE49-F238E27FC236}">
              <a16:creationId xmlns:a16="http://schemas.microsoft.com/office/drawing/2014/main" id="{B1473936-D665-4F6E-B55A-10770D6CD331}"/>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8" name="Rectangle 7">
          <a:extLst>
            <a:ext uri="{FF2B5EF4-FFF2-40B4-BE49-F238E27FC236}">
              <a16:creationId xmlns:a16="http://schemas.microsoft.com/office/drawing/2014/main" id="{609F91CB-B655-4D18-9C7C-B3AFBD4425FE}"/>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 name="Rectangle 8">
          <a:hlinkClick xmlns:r="http://schemas.openxmlformats.org/officeDocument/2006/relationships" r:id="rId3" tooltip="Risks and Issues"/>
          <a:extLst>
            <a:ext uri="{FF2B5EF4-FFF2-40B4-BE49-F238E27FC236}">
              <a16:creationId xmlns:a16="http://schemas.microsoft.com/office/drawing/2014/main" id="{6C9197FA-642F-4BFA-BD61-61B749BAD29D}"/>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F3B09032-4F9F-4A6A-AB7B-DC7BC474F20D}"/>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12" name="Rectangle 11">
          <a:hlinkClick xmlns:r="http://schemas.openxmlformats.org/officeDocument/2006/relationships" r:id="rId5" tooltip="Gantt View"/>
          <a:extLst>
            <a:ext uri="{FF2B5EF4-FFF2-40B4-BE49-F238E27FC236}">
              <a16:creationId xmlns:a16="http://schemas.microsoft.com/office/drawing/2014/main" id="{9564232F-F509-4294-8892-48B769308681}"/>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13" name="Rectangle 12">
          <a:hlinkClick xmlns:r="http://schemas.openxmlformats.org/officeDocument/2006/relationships" r:id="rId6" tooltip="Resource View"/>
          <a:extLst>
            <a:ext uri="{FF2B5EF4-FFF2-40B4-BE49-F238E27FC236}">
              <a16:creationId xmlns:a16="http://schemas.microsoft.com/office/drawing/2014/main" id="{1B654BF8-4DA2-41CC-A96D-CB4701166FFB}"/>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14" name="Rectangle 13">
          <a:hlinkClick xmlns:r="http://schemas.openxmlformats.org/officeDocument/2006/relationships" r:id="rId7" tooltip="Timeline View"/>
          <a:extLst>
            <a:ext uri="{FF2B5EF4-FFF2-40B4-BE49-F238E27FC236}">
              <a16:creationId xmlns:a16="http://schemas.microsoft.com/office/drawing/2014/main" id="{9E4DE780-FF6E-4DCA-8ECD-AD33D4027565}"/>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17" name="Rectangle 16">
          <a:hlinkClick xmlns:r="http://schemas.openxmlformats.org/officeDocument/2006/relationships" r:id="rId8" tooltip="Heatmap View"/>
          <a:extLst>
            <a:ext uri="{FF2B5EF4-FFF2-40B4-BE49-F238E27FC236}">
              <a16:creationId xmlns:a16="http://schemas.microsoft.com/office/drawing/2014/main" id="{9B592DE2-7D50-449E-8445-D18BFB3C3320}"/>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18" name="Rectangle 17">
          <a:hlinkClick xmlns:r="http://schemas.openxmlformats.org/officeDocument/2006/relationships" r:id="rId2" tooltip="Risks and Issues"/>
          <a:extLst>
            <a:ext uri="{FF2B5EF4-FFF2-40B4-BE49-F238E27FC236}">
              <a16:creationId xmlns:a16="http://schemas.microsoft.com/office/drawing/2014/main" id="{66D588B8-F395-4B6F-91A3-CBEB2566D641}"/>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9" name="Rectangle 18">
          <a:hlinkClick xmlns:r="http://schemas.openxmlformats.org/officeDocument/2006/relationships" r:id="rId9" tooltip="Risks and Issues"/>
          <a:extLst>
            <a:ext uri="{FF2B5EF4-FFF2-40B4-BE49-F238E27FC236}">
              <a16:creationId xmlns:a16="http://schemas.microsoft.com/office/drawing/2014/main" id="{13137084-0D12-4A34-A399-DB9FB1ED0A7E}"/>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20" name="Rectangle 19">
          <a:hlinkClick xmlns:r="http://schemas.openxmlformats.org/officeDocument/2006/relationships" r:id="rId10" tooltip="Risks and Issues"/>
          <a:extLst>
            <a:ext uri="{FF2B5EF4-FFF2-40B4-BE49-F238E27FC236}">
              <a16:creationId xmlns:a16="http://schemas.microsoft.com/office/drawing/2014/main" id="{77ADAC2F-4673-4821-A677-103287F71E35}"/>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21" name="Rectangle 20">
          <a:hlinkClick xmlns:r="http://schemas.openxmlformats.org/officeDocument/2006/relationships" r:id="rId11" tooltip="Risks and Issues"/>
          <a:extLst>
            <a:ext uri="{FF2B5EF4-FFF2-40B4-BE49-F238E27FC236}">
              <a16:creationId xmlns:a16="http://schemas.microsoft.com/office/drawing/2014/main" id="{02A19F35-3342-43E7-AF4B-CD3073F5C22D}"/>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22" name="Rectangle 21">
          <a:hlinkClick xmlns:r="http://schemas.openxmlformats.org/officeDocument/2006/relationships" r:id="rId1" tooltip="Risks and Issues"/>
          <a:extLst>
            <a:ext uri="{FF2B5EF4-FFF2-40B4-BE49-F238E27FC236}">
              <a16:creationId xmlns:a16="http://schemas.microsoft.com/office/drawing/2014/main" id="{CE27A299-CEA4-455B-A982-6137A10868B9}"/>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 textlink="">
      <xdr:nvSpPr>
        <xdr:cNvPr id="23" name="Arrow: Left 22">
          <a:extLst>
            <a:ext uri="{FF2B5EF4-FFF2-40B4-BE49-F238E27FC236}">
              <a16:creationId xmlns:a16="http://schemas.microsoft.com/office/drawing/2014/main" id="{DC67EC48-1078-46ED-AC43-53289C5BFD00}"/>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6278A005-8463-486C-9678-E6532CB96522}"/>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26" name="Rectangle 25">
          <a:hlinkClick xmlns:r="http://schemas.openxmlformats.org/officeDocument/2006/relationships" r:id="rId2" tooltip="Risks and Issues"/>
          <a:extLst>
            <a:ext uri="{FF2B5EF4-FFF2-40B4-BE49-F238E27FC236}">
              <a16:creationId xmlns:a16="http://schemas.microsoft.com/office/drawing/2014/main" id="{7B360D36-02E6-41DA-B30F-5E0B5134B778}"/>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27" name="Rectangle 26">
          <a:extLst>
            <a:ext uri="{FF2B5EF4-FFF2-40B4-BE49-F238E27FC236}">
              <a16:creationId xmlns:a16="http://schemas.microsoft.com/office/drawing/2014/main" id="{F7063B6D-E8BC-4226-B70C-46BE79CDE9F8}"/>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28" name="Rectangle 27">
          <a:extLst>
            <a:ext uri="{FF2B5EF4-FFF2-40B4-BE49-F238E27FC236}">
              <a16:creationId xmlns:a16="http://schemas.microsoft.com/office/drawing/2014/main" id="{BA9FA54C-0490-4508-87CC-57B3C2638D4E}"/>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29" name="Rectangle 28">
          <a:extLst>
            <a:ext uri="{FF2B5EF4-FFF2-40B4-BE49-F238E27FC236}">
              <a16:creationId xmlns:a16="http://schemas.microsoft.com/office/drawing/2014/main" id="{96685B23-B6FE-49C9-8261-F19D6D637A89}"/>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30" name="Rectangle 29">
          <a:hlinkClick xmlns:r="http://schemas.openxmlformats.org/officeDocument/2006/relationships" r:id="rId3" tooltip="Risks and Issues"/>
          <a:extLst>
            <a:ext uri="{FF2B5EF4-FFF2-40B4-BE49-F238E27FC236}">
              <a16:creationId xmlns:a16="http://schemas.microsoft.com/office/drawing/2014/main" id="{B8F6681B-08A9-4B01-8194-79C70D82BFF5}"/>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4A00D64A-7F04-4402-97EE-0695BC7BDEF7}"/>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32" name="Rectangle 31">
          <a:hlinkClick xmlns:r="http://schemas.openxmlformats.org/officeDocument/2006/relationships" r:id="rId5" tooltip="Gantt View"/>
          <a:extLst>
            <a:ext uri="{FF2B5EF4-FFF2-40B4-BE49-F238E27FC236}">
              <a16:creationId xmlns:a16="http://schemas.microsoft.com/office/drawing/2014/main" id="{CAF83A10-8C08-4D7C-B5CB-C41E6DC44C40}"/>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33" name="Rectangle 32">
          <a:hlinkClick xmlns:r="http://schemas.openxmlformats.org/officeDocument/2006/relationships" r:id="rId6" tooltip="Resource View"/>
          <a:extLst>
            <a:ext uri="{FF2B5EF4-FFF2-40B4-BE49-F238E27FC236}">
              <a16:creationId xmlns:a16="http://schemas.microsoft.com/office/drawing/2014/main" id="{D1E2078A-5C21-45B8-98E4-6414B67C1B1C}"/>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34" name="Rectangle 33">
          <a:hlinkClick xmlns:r="http://schemas.openxmlformats.org/officeDocument/2006/relationships" r:id="rId7" tooltip="Timeline View"/>
          <a:extLst>
            <a:ext uri="{FF2B5EF4-FFF2-40B4-BE49-F238E27FC236}">
              <a16:creationId xmlns:a16="http://schemas.microsoft.com/office/drawing/2014/main" id="{9FC13EBE-E435-44C0-8AF6-745B257FBC09}"/>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35" name="Rectangle 34">
          <a:hlinkClick xmlns:r="http://schemas.openxmlformats.org/officeDocument/2006/relationships" r:id="rId8" tooltip="Heatmap View"/>
          <a:extLst>
            <a:ext uri="{FF2B5EF4-FFF2-40B4-BE49-F238E27FC236}">
              <a16:creationId xmlns:a16="http://schemas.microsoft.com/office/drawing/2014/main" id="{78D2353B-DC1B-4B06-A7C6-612C56458863}"/>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36" name="Rectangle 35">
          <a:hlinkClick xmlns:r="http://schemas.openxmlformats.org/officeDocument/2006/relationships" r:id="rId2" tooltip="Risks and Issues"/>
          <a:extLst>
            <a:ext uri="{FF2B5EF4-FFF2-40B4-BE49-F238E27FC236}">
              <a16:creationId xmlns:a16="http://schemas.microsoft.com/office/drawing/2014/main" id="{AD8EB59C-A158-4263-BF1C-6EE84B5BEF30}"/>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37" name="Rectangle 36">
          <a:hlinkClick xmlns:r="http://schemas.openxmlformats.org/officeDocument/2006/relationships" r:id="rId9" tooltip="Risks and Issues"/>
          <a:extLst>
            <a:ext uri="{FF2B5EF4-FFF2-40B4-BE49-F238E27FC236}">
              <a16:creationId xmlns:a16="http://schemas.microsoft.com/office/drawing/2014/main" id="{61E44CB8-2446-4A78-9CFA-08AAED0FE7CA}"/>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38" name="Rectangle 37">
          <a:hlinkClick xmlns:r="http://schemas.openxmlformats.org/officeDocument/2006/relationships" r:id="rId10" tooltip="Risks and Issues"/>
          <a:extLst>
            <a:ext uri="{FF2B5EF4-FFF2-40B4-BE49-F238E27FC236}">
              <a16:creationId xmlns:a16="http://schemas.microsoft.com/office/drawing/2014/main" id="{8CD47ADA-B927-4678-B683-4ED775171A4B}"/>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39" name="Rectangle 38">
          <a:hlinkClick xmlns:r="http://schemas.openxmlformats.org/officeDocument/2006/relationships" r:id="rId11" tooltip="Risks and Issues"/>
          <a:extLst>
            <a:ext uri="{FF2B5EF4-FFF2-40B4-BE49-F238E27FC236}">
              <a16:creationId xmlns:a16="http://schemas.microsoft.com/office/drawing/2014/main" id="{18B1620C-0BAA-48E5-9033-0AFE2B46BDE4}"/>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40" name="Rectangle 39">
          <a:hlinkClick xmlns:r="http://schemas.openxmlformats.org/officeDocument/2006/relationships" r:id="rId1" tooltip="Risks and Issues"/>
          <a:extLst>
            <a:ext uri="{FF2B5EF4-FFF2-40B4-BE49-F238E27FC236}">
              <a16:creationId xmlns:a16="http://schemas.microsoft.com/office/drawing/2014/main" id="{7B09B4EE-B837-44D4-8A41-9C82C3AE5AA5}"/>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41" name="Arrow: Left 40">
          <a:extLst>
            <a:ext uri="{FF2B5EF4-FFF2-40B4-BE49-F238E27FC236}">
              <a16:creationId xmlns:a16="http://schemas.microsoft.com/office/drawing/2014/main" id="{08B54AD5-2B84-4730-8203-B2513FA8CD8D}"/>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6</xdr:col>
      <xdr:colOff>3308350</xdr:colOff>
      <xdr:row>46</xdr:row>
      <xdr:rowOff>81643</xdr:rowOff>
    </xdr:from>
    <xdr:to>
      <xdr:col>7</xdr:col>
      <xdr:colOff>562429</xdr:colOff>
      <xdr:row>49</xdr:row>
      <xdr:rowOff>81643</xdr:rowOff>
    </xdr:to>
    <xdr:sp macro="[0]!Otherissues" textlink="">
      <xdr:nvSpPr>
        <xdr:cNvPr id="42" name="Rectangle: Rounded Corners 41">
          <a:extLst>
            <a:ext uri="{FF2B5EF4-FFF2-40B4-BE49-F238E27FC236}">
              <a16:creationId xmlns:a16="http://schemas.microsoft.com/office/drawing/2014/main" id="{63865747-290B-4D3B-BDE4-A01DA84D0F63}"/>
            </a:ext>
          </a:extLst>
        </xdr:cNvPr>
        <xdr:cNvSpPr/>
      </xdr:nvSpPr>
      <xdr:spPr>
        <a:xfrm>
          <a:off x="12742636" y="11420929"/>
          <a:ext cx="1182007" cy="5442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200" b="1"/>
            <a:t>Submit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43" name="Rectangle 42">
          <a:hlinkClick xmlns:r="http://schemas.openxmlformats.org/officeDocument/2006/relationships" r:id="rId1" tooltip="Risks and Issues"/>
          <a:extLst>
            <a:ext uri="{FF2B5EF4-FFF2-40B4-BE49-F238E27FC236}">
              <a16:creationId xmlns:a16="http://schemas.microsoft.com/office/drawing/2014/main" id="{6591D99F-8D1B-4AD1-A2B4-C5FE7F448F6D}"/>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44" name="Rectangle 43">
          <a:hlinkClick xmlns:r="http://schemas.openxmlformats.org/officeDocument/2006/relationships" r:id="rId2" tooltip="Risks and Issues"/>
          <a:extLst>
            <a:ext uri="{FF2B5EF4-FFF2-40B4-BE49-F238E27FC236}">
              <a16:creationId xmlns:a16="http://schemas.microsoft.com/office/drawing/2014/main" id="{AFA61313-167C-4415-A132-B91431403CBB}"/>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45" name="Rectangle 44">
          <a:extLst>
            <a:ext uri="{FF2B5EF4-FFF2-40B4-BE49-F238E27FC236}">
              <a16:creationId xmlns:a16="http://schemas.microsoft.com/office/drawing/2014/main" id="{3275BCBC-E3D8-4C22-8BE0-110866DF95D9}"/>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46" name="Rectangle 45">
          <a:extLst>
            <a:ext uri="{FF2B5EF4-FFF2-40B4-BE49-F238E27FC236}">
              <a16:creationId xmlns:a16="http://schemas.microsoft.com/office/drawing/2014/main" id="{8970D136-E2E9-4BCF-AF79-6BC03189AE07}"/>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47" name="Rectangle 46">
          <a:extLst>
            <a:ext uri="{FF2B5EF4-FFF2-40B4-BE49-F238E27FC236}">
              <a16:creationId xmlns:a16="http://schemas.microsoft.com/office/drawing/2014/main" id="{B680CC60-3996-41C3-9E65-F14E5E1753F6}"/>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48" name="Rectangle 47">
          <a:hlinkClick xmlns:r="http://schemas.openxmlformats.org/officeDocument/2006/relationships" r:id="rId3" tooltip="Risks and Issues"/>
          <a:extLst>
            <a:ext uri="{FF2B5EF4-FFF2-40B4-BE49-F238E27FC236}">
              <a16:creationId xmlns:a16="http://schemas.microsoft.com/office/drawing/2014/main" id="{4304DD9A-53C3-4EEF-865D-55769152685C}"/>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49" name="Rectangle 48">
          <a:hlinkClick xmlns:r="http://schemas.openxmlformats.org/officeDocument/2006/relationships" r:id="rId4"/>
          <a:extLst>
            <a:ext uri="{FF2B5EF4-FFF2-40B4-BE49-F238E27FC236}">
              <a16:creationId xmlns:a16="http://schemas.microsoft.com/office/drawing/2014/main" id="{A9F7BD8C-7E09-48D4-BC2F-26CBA73AE263}"/>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50" name="Rectangle 49">
          <a:hlinkClick xmlns:r="http://schemas.openxmlformats.org/officeDocument/2006/relationships" r:id="rId5" tooltip="Gantt View"/>
          <a:extLst>
            <a:ext uri="{FF2B5EF4-FFF2-40B4-BE49-F238E27FC236}">
              <a16:creationId xmlns:a16="http://schemas.microsoft.com/office/drawing/2014/main" id="{CBED4C21-F9B3-4F97-922D-056E2230CD07}"/>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51" name="Rectangle 50">
          <a:hlinkClick xmlns:r="http://schemas.openxmlformats.org/officeDocument/2006/relationships" r:id="rId6" tooltip="Resource View"/>
          <a:extLst>
            <a:ext uri="{FF2B5EF4-FFF2-40B4-BE49-F238E27FC236}">
              <a16:creationId xmlns:a16="http://schemas.microsoft.com/office/drawing/2014/main" id="{5840FC31-BBB2-47F5-AAA6-0C02E8D4C0AF}"/>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52" name="Rectangle 51">
          <a:hlinkClick xmlns:r="http://schemas.openxmlformats.org/officeDocument/2006/relationships" r:id="rId7" tooltip="Timeline View"/>
          <a:extLst>
            <a:ext uri="{FF2B5EF4-FFF2-40B4-BE49-F238E27FC236}">
              <a16:creationId xmlns:a16="http://schemas.microsoft.com/office/drawing/2014/main" id="{DC7BEA42-9CC9-47B2-9B8C-5E198609EDF0}"/>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53" name="Rectangle 52">
          <a:hlinkClick xmlns:r="http://schemas.openxmlformats.org/officeDocument/2006/relationships" r:id="rId8" tooltip="Heatmap View"/>
          <a:extLst>
            <a:ext uri="{FF2B5EF4-FFF2-40B4-BE49-F238E27FC236}">
              <a16:creationId xmlns:a16="http://schemas.microsoft.com/office/drawing/2014/main" id="{621578D0-9220-4997-8DEE-D0361B2AE739}"/>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54" name="Rectangle 53">
          <a:hlinkClick xmlns:r="http://schemas.openxmlformats.org/officeDocument/2006/relationships" r:id="rId2" tooltip="Risks and Issues"/>
          <a:extLst>
            <a:ext uri="{FF2B5EF4-FFF2-40B4-BE49-F238E27FC236}">
              <a16:creationId xmlns:a16="http://schemas.microsoft.com/office/drawing/2014/main" id="{F0E93D63-4D90-4D49-9360-0D674B98A0CD}"/>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55" name="Rectangle 54">
          <a:hlinkClick xmlns:r="http://schemas.openxmlformats.org/officeDocument/2006/relationships" r:id="rId9" tooltip="Risks and Issues"/>
          <a:extLst>
            <a:ext uri="{FF2B5EF4-FFF2-40B4-BE49-F238E27FC236}">
              <a16:creationId xmlns:a16="http://schemas.microsoft.com/office/drawing/2014/main" id="{737F114A-2D30-4CFF-BBF4-011EADAFD9D3}"/>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56" name="Rectangle 55">
          <a:hlinkClick xmlns:r="http://schemas.openxmlformats.org/officeDocument/2006/relationships" r:id="rId10" tooltip="Risks and Issues"/>
          <a:extLst>
            <a:ext uri="{FF2B5EF4-FFF2-40B4-BE49-F238E27FC236}">
              <a16:creationId xmlns:a16="http://schemas.microsoft.com/office/drawing/2014/main" id="{8E70007D-E6F9-4290-A815-D5094BB1A042}"/>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57" name="Rectangle 56">
          <a:hlinkClick xmlns:r="http://schemas.openxmlformats.org/officeDocument/2006/relationships" r:id="rId11" tooltip="Risks and Issues"/>
          <a:extLst>
            <a:ext uri="{FF2B5EF4-FFF2-40B4-BE49-F238E27FC236}">
              <a16:creationId xmlns:a16="http://schemas.microsoft.com/office/drawing/2014/main" id="{DE570E57-23CB-42BE-A09F-7A7D9D4729AC}"/>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58" name="Rectangle 57">
          <a:hlinkClick xmlns:r="http://schemas.openxmlformats.org/officeDocument/2006/relationships" r:id="rId1" tooltip="Risks and Issues"/>
          <a:extLst>
            <a:ext uri="{FF2B5EF4-FFF2-40B4-BE49-F238E27FC236}">
              <a16:creationId xmlns:a16="http://schemas.microsoft.com/office/drawing/2014/main" id="{75D71476-4C2F-44C0-A3C0-02FDB088A82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59" name="Arrow: Left 58">
          <a:extLst>
            <a:ext uri="{FF2B5EF4-FFF2-40B4-BE49-F238E27FC236}">
              <a16:creationId xmlns:a16="http://schemas.microsoft.com/office/drawing/2014/main" id="{D565919B-92D0-4FE4-AD5F-BD8A40A1EB6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61" name="Rectangle 60">
          <a:hlinkClick xmlns:r="http://schemas.openxmlformats.org/officeDocument/2006/relationships" r:id="rId1" tooltip="Risks and Issues"/>
          <a:extLst>
            <a:ext uri="{FF2B5EF4-FFF2-40B4-BE49-F238E27FC236}">
              <a16:creationId xmlns:a16="http://schemas.microsoft.com/office/drawing/2014/main" id="{ECC2A8EB-0DAF-4FB0-9B5F-199C3F4D3CC0}"/>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62" name="Rectangle 61">
          <a:hlinkClick xmlns:r="http://schemas.openxmlformats.org/officeDocument/2006/relationships" r:id="rId2" tooltip="Risks and Issues"/>
          <a:extLst>
            <a:ext uri="{FF2B5EF4-FFF2-40B4-BE49-F238E27FC236}">
              <a16:creationId xmlns:a16="http://schemas.microsoft.com/office/drawing/2014/main" id="{1C308464-1B38-4B08-86B5-6D93F2033E1C}"/>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3" name="Rectangle 62">
          <a:extLst>
            <a:ext uri="{FF2B5EF4-FFF2-40B4-BE49-F238E27FC236}">
              <a16:creationId xmlns:a16="http://schemas.microsoft.com/office/drawing/2014/main" id="{F2A942FF-C02F-4230-BFA9-E9E5F5FBED80}"/>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64" name="Rectangle 63">
          <a:extLst>
            <a:ext uri="{FF2B5EF4-FFF2-40B4-BE49-F238E27FC236}">
              <a16:creationId xmlns:a16="http://schemas.microsoft.com/office/drawing/2014/main" id="{4B1A0DBF-96F4-4FFB-8DFF-484A103B5262}"/>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65" name="Rectangle 64">
          <a:extLst>
            <a:ext uri="{FF2B5EF4-FFF2-40B4-BE49-F238E27FC236}">
              <a16:creationId xmlns:a16="http://schemas.microsoft.com/office/drawing/2014/main" id="{A558E08A-E76C-4226-AABE-35A50B8726DA}"/>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66" name="Rectangle 65">
          <a:hlinkClick xmlns:r="http://schemas.openxmlformats.org/officeDocument/2006/relationships" r:id="rId3" tooltip="Risks and Issues"/>
          <a:extLst>
            <a:ext uri="{FF2B5EF4-FFF2-40B4-BE49-F238E27FC236}">
              <a16:creationId xmlns:a16="http://schemas.microsoft.com/office/drawing/2014/main" id="{239A3746-2C2E-46FA-87D5-6E4863BD4188}"/>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C0301D7A-F216-43EB-8092-8BB6510384F2}"/>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68" name="Rectangle 67">
          <a:hlinkClick xmlns:r="http://schemas.openxmlformats.org/officeDocument/2006/relationships" r:id="rId5" tooltip="Gantt View"/>
          <a:extLst>
            <a:ext uri="{FF2B5EF4-FFF2-40B4-BE49-F238E27FC236}">
              <a16:creationId xmlns:a16="http://schemas.microsoft.com/office/drawing/2014/main" id="{1A855F58-E754-4328-8641-EC23106722AE}"/>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69" name="Rectangle 68">
          <a:hlinkClick xmlns:r="http://schemas.openxmlformats.org/officeDocument/2006/relationships" r:id="rId6" tooltip="Resource View"/>
          <a:extLst>
            <a:ext uri="{FF2B5EF4-FFF2-40B4-BE49-F238E27FC236}">
              <a16:creationId xmlns:a16="http://schemas.microsoft.com/office/drawing/2014/main" id="{D58FAEB3-133F-4A44-8240-7318A9C0FE71}"/>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70" name="Rectangle 69">
          <a:hlinkClick xmlns:r="http://schemas.openxmlformats.org/officeDocument/2006/relationships" r:id="rId7" tooltip="Timeline View"/>
          <a:extLst>
            <a:ext uri="{FF2B5EF4-FFF2-40B4-BE49-F238E27FC236}">
              <a16:creationId xmlns:a16="http://schemas.microsoft.com/office/drawing/2014/main" id="{D0BC0072-1911-46FC-9DCA-800C7EDAAE1C}"/>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71" name="Rectangle 70">
          <a:hlinkClick xmlns:r="http://schemas.openxmlformats.org/officeDocument/2006/relationships" r:id="rId8" tooltip="Heatmap View"/>
          <a:extLst>
            <a:ext uri="{FF2B5EF4-FFF2-40B4-BE49-F238E27FC236}">
              <a16:creationId xmlns:a16="http://schemas.microsoft.com/office/drawing/2014/main" id="{E175E534-4C68-4E45-9830-1485472D426B}"/>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72" name="Rectangle 71">
          <a:hlinkClick xmlns:r="http://schemas.openxmlformats.org/officeDocument/2006/relationships" r:id="rId2" tooltip="Risks and Issues"/>
          <a:extLst>
            <a:ext uri="{FF2B5EF4-FFF2-40B4-BE49-F238E27FC236}">
              <a16:creationId xmlns:a16="http://schemas.microsoft.com/office/drawing/2014/main" id="{C22ACFC1-27D1-430D-85FC-C8EB4318B4EA}"/>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73" name="Rectangle 72">
          <a:hlinkClick xmlns:r="http://schemas.openxmlformats.org/officeDocument/2006/relationships" r:id="rId9" tooltip="Risks and Issues"/>
          <a:extLst>
            <a:ext uri="{FF2B5EF4-FFF2-40B4-BE49-F238E27FC236}">
              <a16:creationId xmlns:a16="http://schemas.microsoft.com/office/drawing/2014/main" id="{908E3AE2-282F-4F12-A568-9A0E6B7CD1ED}"/>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74" name="Rectangle 73">
          <a:hlinkClick xmlns:r="http://schemas.openxmlformats.org/officeDocument/2006/relationships" r:id="rId10" tooltip="Risks and Issues"/>
          <a:extLst>
            <a:ext uri="{FF2B5EF4-FFF2-40B4-BE49-F238E27FC236}">
              <a16:creationId xmlns:a16="http://schemas.microsoft.com/office/drawing/2014/main" id="{4420DF61-E96E-424F-98A9-36776AAC384A}"/>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75" name="Rectangle 74">
          <a:hlinkClick xmlns:r="http://schemas.openxmlformats.org/officeDocument/2006/relationships" r:id="rId11" tooltip="Risks and Issues"/>
          <a:extLst>
            <a:ext uri="{FF2B5EF4-FFF2-40B4-BE49-F238E27FC236}">
              <a16:creationId xmlns:a16="http://schemas.microsoft.com/office/drawing/2014/main" id="{53D27014-C5BC-4B09-88C3-73F7E61EBCD6}"/>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76" name="Rectangle 75">
          <a:hlinkClick xmlns:r="http://schemas.openxmlformats.org/officeDocument/2006/relationships" r:id="rId1" tooltip="Risks and Issues"/>
          <a:extLst>
            <a:ext uri="{FF2B5EF4-FFF2-40B4-BE49-F238E27FC236}">
              <a16:creationId xmlns:a16="http://schemas.microsoft.com/office/drawing/2014/main" id="{9FE3DB60-4705-45B2-AA9C-F4D7014FD71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77" name="Arrow: Left 76">
          <a:extLst>
            <a:ext uri="{FF2B5EF4-FFF2-40B4-BE49-F238E27FC236}">
              <a16:creationId xmlns:a16="http://schemas.microsoft.com/office/drawing/2014/main" id="{B2A8A1AB-7105-4C43-B642-9C9CD431264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342900</xdr:colOff>
      <xdr:row>9</xdr:row>
      <xdr:rowOff>2362199</xdr:rowOff>
    </xdr:to>
    <xdr:grpSp>
      <xdr:nvGrpSpPr>
        <xdr:cNvPr id="2" name="Group 1">
          <a:extLst>
            <a:ext uri="{FF2B5EF4-FFF2-40B4-BE49-F238E27FC236}">
              <a16:creationId xmlns:a16="http://schemas.microsoft.com/office/drawing/2014/main" id="{C67C910A-4438-461C-8C05-5E56846F35EF}"/>
            </a:ext>
          </a:extLst>
        </xdr:cNvPr>
        <xdr:cNvGrpSpPr/>
      </xdr:nvGrpSpPr>
      <xdr:grpSpPr>
        <a:xfrm>
          <a:off x="0" y="0"/>
          <a:ext cx="13900150" cy="5499099"/>
          <a:chOff x="0" y="0"/>
          <a:chExt cx="14653315" cy="5795347"/>
        </a:xfrm>
      </xdr:grpSpPr>
      <xdr:sp macro="" textlink="">
        <xdr:nvSpPr>
          <xdr:cNvPr id="3" name="Rectangle 2">
            <a:extLst>
              <a:ext uri="{FF2B5EF4-FFF2-40B4-BE49-F238E27FC236}">
                <a16:creationId xmlns:a16="http://schemas.microsoft.com/office/drawing/2014/main" id="{6AAEB06E-9503-2D4D-9AAF-4E5C3D641056}"/>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C2FDC8D5-02B8-7DDB-AC09-0D9D913B42E5}"/>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077E443F-9BEB-526A-8F7F-F8DF054E23F4}"/>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6A3A0593-480E-A7DE-55A8-219C4BF2FABB}"/>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A072DC1-D455-C0D2-F1F8-F971CB714655}"/>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C7115D90-44D6-2B26-1AB7-28EB28E760E7}"/>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Assesment</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70863026-F814-1BAF-49E3-A378D1637ED0}"/>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grpSp>
    <xdr:clientData/>
  </xdr:twoCellAnchor>
  <xdr:twoCellAnchor>
    <xdr:from>
      <xdr:col>0</xdr:col>
      <xdr:colOff>0</xdr:colOff>
      <xdr:row>6</xdr:row>
      <xdr:rowOff>698500</xdr:rowOff>
    </xdr:from>
    <xdr:to>
      <xdr:col>1</xdr:col>
      <xdr:colOff>561391</xdr:colOff>
      <xdr:row>6</xdr:row>
      <xdr:rowOff>938309</xdr:rowOff>
    </xdr:to>
    <xdr:sp macro="" textlink="">
      <xdr:nvSpPr>
        <xdr:cNvPr id="12" name="Rectangle 11">
          <a:hlinkClick xmlns:r="http://schemas.openxmlformats.org/officeDocument/2006/relationships" r:id="rId6" tooltip="Heatmap View"/>
          <a:extLst>
            <a:ext uri="{FF2B5EF4-FFF2-40B4-BE49-F238E27FC236}">
              <a16:creationId xmlns:a16="http://schemas.microsoft.com/office/drawing/2014/main" id="{0717A4F9-3A54-45E8-A403-F43E4547A997}"/>
            </a:ext>
          </a:extLst>
        </xdr:cNvPr>
        <xdr:cNvSpPr/>
      </xdr:nvSpPr>
      <xdr:spPr>
        <a:xfrm>
          <a:off x="0" y="20256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4</xdr:col>
      <xdr:colOff>0</xdr:colOff>
      <xdr:row>26</xdr:row>
      <xdr:rowOff>0</xdr:rowOff>
    </xdr:from>
    <xdr:to>
      <xdr:col>4</xdr:col>
      <xdr:colOff>914400</xdr:colOff>
      <xdr:row>27</xdr:row>
      <xdr:rowOff>171450</xdr:rowOff>
    </xdr:to>
    <xdr:sp macro="[0]!Reviewed" textlink="">
      <xdr:nvSpPr>
        <xdr:cNvPr id="11" name="Rectangle: Rounded Corners 10">
          <a:extLst>
            <a:ext uri="{FF2B5EF4-FFF2-40B4-BE49-F238E27FC236}">
              <a16:creationId xmlns:a16="http://schemas.microsoft.com/office/drawing/2014/main" id="{872061D5-55F0-40E3-950C-912E8EF2A1B8}"/>
            </a:ext>
          </a:extLst>
        </xdr:cNvPr>
        <xdr:cNvSpPr/>
      </xdr:nvSpPr>
      <xdr:spPr>
        <a:xfrm>
          <a:off x="2438400" y="7156450"/>
          <a:ext cx="914400" cy="355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000" b="1">
              <a:latin typeface="+mn-lt"/>
            </a:rPr>
            <a:t>Reviewed</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L5"/>
  <sheetViews>
    <sheetView workbookViewId="0">
      <selection activeCell="K5" sqref="K5:L5"/>
    </sheetView>
  </sheetViews>
  <sheetFormatPr defaultRowHeight="14.5" x14ac:dyDescent="0.35"/>
  <cols>
    <col min="4" max="4" width="30.453125" bestFit="1" customWidth="1"/>
    <col min="8" max="8" width="7.81640625" bestFit="1" customWidth="1"/>
    <col min="10" max="10" width="41" customWidth="1"/>
  </cols>
  <sheetData>
    <row r="1" spans="1:12" x14ac:dyDescent="0.35">
      <c r="A1" s="12"/>
      <c r="B1" s="12" t="s">
        <v>232</v>
      </c>
      <c r="C1" s="12"/>
      <c r="D1" s="12" t="s">
        <v>251</v>
      </c>
      <c r="F1" s="12" t="s">
        <v>306</v>
      </c>
      <c r="H1" t="s">
        <v>518</v>
      </c>
      <c r="J1" s="12" t="s">
        <v>349</v>
      </c>
      <c r="K1" s="78" t="s">
        <v>373</v>
      </c>
      <c r="L1" s="77"/>
    </row>
    <row r="2" spans="1:12" x14ac:dyDescent="0.35">
      <c r="A2" t="s">
        <v>155</v>
      </c>
      <c r="B2" t="s">
        <v>298</v>
      </c>
      <c r="D2" t="s">
        <v>252</v>
      </c>
      <c r="F2" t="s">
        <v>307</v>
      </c>
      <c r="H2" t="s">
        <v>303</v>
      </c>
      <c r="J2" t="s">
        <v>347</v>
      </c>
      <c r="K2" s="155" t="s">
        <v>503</v>
      </c>
      <c r="L2" s="155"/>
    </row>
    <row r="3" spans="1:12" ht="123.5" customHeight="1" x14ac:dyDescent="0.35">
      <c r="A3" t="s">
        <v>156</v>
      </c>
      <c r="B3" t="s">
        <v>299</v>
      </c>
      <c r="D3" t="s">
        <v>253</v>
      </c>
      <c r="F3" t="s">
        <v>308</v>
      </c>
      <c r="H3" t="s">
        <v>345</v>
      </c>
      <c r="J3" s="154" t="s">
        <v>511</v>
      </c>
      <c r="K3" s="76" t="s">
        <v>378</v>
      </c>
      <c r="L3" s="77"/>
    </row>
    <row r="4" spans="1:12" x14ac:dyDescent="0.35">
      <c r="A4" t="s">
        <v>157</v>
      </c>
      <c r="J4" t="s">
        <v>348</v>
      </c>
      <c r="K4" s="76" t="s">
        <v>379</v>
      </c>
      <c r="L4" s="77"/>
    </row>
    <row r="5" spans="1:12" x14ac:dyDescent="0.35">
      <c r="K5" s="155" t="s">
        <v>377</v>
      </c>
      <c r="L5" s="155"/>
    </row>
  </sheetData>
  <mergeCells count="2">
    <mergeCell ref="K2:L2"/>
    <mergeCell ref="K5:L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in"/>
  <dimension ref="A1:S36"/>
  <sheetViews>
    <sheetView showGridLines="0" showRowColHeaders="0" workbookViewId="0">
      <selection activeCell="F4" sqref="F4"/>
    </sheetView>
  </sheetViews>
  <sheetFormatPr defaultColWidth="0" defaultRowHeight="14.5" zeroHeight="1" x14ac:dyDescent="0.35"/>
  <cols>
    <col min="1" max="3" width="9.1796875" style="6" customWidth="1"/>
    <col min="4" max="4" width="19.453125" style="6" customWidth="1"/>
    <col min="5" max="5" width="14.81640625" style="6" customWidth="1"/>
    <col min="6" max="6" width="91" style="6" customWidth="1"/>
    <col min="7" max="10" width="9.1796875" style="6" customWidth="1"/>
    <col min="11" max="11" width="11.81640625" style="6" customWidth="1"/>
    <col min="12" max="12" width="5.81640625" style="6" customWidth="1"/>
    <col min="13" max="13" width="51.7265625" style="6" customWidth="1"/>
    <col min="14" max="14" width="12.26953125" style="6" customWidth="1"/>
    <col min="15" max="15" width="12.81640625" style="6" customWidth="1"/>
    <col min="16" max="16" width="9.1796875" style="6" customWidth="1"/>
    <col min="17" max="19" width="0" style="6" hidden="1" customWidth="1"/>
    <col min="20" max="16384" width="9.1796875" style="6" hidden="1"/>
  </cols>
  <sheetData>
    <row r="1" spans="3:18" x14ac:dyDescent="0.35">
      <c r="P1" s="6">
        <v>2</v>
      </c>
    </row>
    <row r="2" spans="3:18" ht="10" customHeight="1" x14ac:dyDescent="0.35"/>
    <row r="3" spans="3:18" ht="5.5" customHeight="1" x14ac:dyDescent="0.35"/>
    <row r="4" spans="3:18" ht="7.5" customHeight="1" x14ac:dyDescent="0.35">
      <c r="C4" s="13"/>
      <c r="D4" s="13"/>
      <c r="E4" s="13"/>
      <c r="F4" s="13"/>
      <c r="G4" s="13"/>
      <c r="H4" s="13"/>
      <c r="I4" s="13"/>
      <c r="J4" s="13"/>
      <c r="K4" s="13"/>
      <c r="L4" s="13"/>
      <c r="M4" s="13"/>
      <c r="N4" s="13"/>
      <c r="O4" s="13"/>
      <c r="P4" s="13"/>
      <c r="Q4" s="13"/>
      <c r="R4" s="13"/>
    </row>
    <row r="5" spans="3:18" x14ac:dyDescent="0.35">
      <c r="C5" s="13"/>
      <c r="D5" s="13"/>
      <c r="E5" s="14"/>
      <c r="F5" s="13"/>
      <c r="G5" s="13"/>
      <c r="H5" s="13"/>
      <c r="I5" s="13"/>
      <c r="J5" s="13"/>
      <c r="K5" s="13"/>
      <c r="L5" s="13"/>
      <c r="M5" s="13"/>
      <c r="N5" s="13"/>
      <c r="O5" s="13"/>
      <c r="P5" s="13"/>
      <c r="Q5" s="13"/>
      <c r="R5" s="13"/>
    </row>
    <row r="6" spans="3:18" x14ac:dyDescent="0.35">
      <c r="C6" s="13"/>
      <c r="D6" s="13"/>
      <c r="E6" s="14"/>
      <c r="F6" s="13"/>
      <c r="G6" s="13"/>
      <c r="H6" s="13"/>
      <c r="I6" s="13"/>
      <c r="J6" s="13"/>
      <c r="K6" s="13"/>
      <c r="L6" s="13"/>
      <c r="M6" s="13"/>
      <c r="N6" s="13"/>
      <c r="O6" s="13"/>
      <c r="P6" s="13"/>
      <c r="Q6" s="13"/>
      <c r="R6" s="13"/>
    </row>
    <row r="7" spans="3:18" x14ac:dyDescent="0.35">
      <c r="C7" s="13"/>
      <c r="D7" s="13"/>
      <c r="E7" s="14"/>
      <c r="F7" s="13"/>
      <c r="G7" s="13"/>
      <c r="H7" s="13"/>
      <c r="I7" s="13"/>
      <c r="J7" s="13"/>
      <c r="K7" s="13"/>
      <c r="L7" s="13"/>
      <c r="M7" s="13"/>
      <c r="N7" s="13"/>
      <c r="O7" s="13"/>
      <c r="P7" s="13">
        <v>1</v>
      </c>
      <c r="Q7" s="13"/>
      <c r="R7" s="13"/>
    </row>
    <row r="8" spans="3:18" x14ac:dyDescent="0.35">
      <c r="C8" s="13"/>
      <c r="D8" s="13"/>
      <c r="E8" s="14"/>
      <c r="F8" s="13"/>
      <c r="G8" s="13"/>
      <c r="H8" s="13"/>
      <c r="I8" s="13"/>
      <c r="J8" s="13"/>
      <c r="K8" s="13"/>
      <c r="L8" s="13"/>
      <c r="M8" s="13"/>
      <c r="N8" s="13"/>
      <c r="O8" s="13"/>
      <c r="P8" s="13"/>
      <c r="Q8" s="13"/>
      <c r="R8" s="13"/>
    </row>
    <row r="9" spans="3:18" x14ac:dyDescent="0.35">
      <c r="C9" s="13"/>
      <c r="D9" s="13"/>
      <c r="E9" s="13"/>
      <c r="F9" s="13"/>
      <c r="G9" s="13"/>
      <c r="H9" s="13"/>
      <c r="I9" s="13"/>
      <c r="J9" s="13"/>
      <c r="K9" s="13"/>
      <c r="L9" s="13"/>
      <c r="M9" s="13"/>
      <c r="N9" s="13"/>
      <c r="O9" s="13"/>
      <c r="P9" s="13"/>
      <c r="Q9" s="13"/>
      <c r="R9" s="13"/>
    </row>
    <row r="10" spans="3:18" ht="30" customHeight="1" x14ac:dyDescent="0.35">
      <c r="C10" s="13"/>
      <c r="D10" s="45" t="s">
        <v>358</v>
      </c>
      <c r="E10" s="46"/>
      <c r="F10" s="46" t="s">
        <v>502</v>
      </c>
      <c r="G10" s="13"/>
      <c r="H10" s="13"/>
      <c r="I10" s="13"/>
      <c r="J10" s="13"/>
      <c r="K10" s="13"/>
      <c r="L10" s="13"/>
      <c r="M10" s="13"/>
      <c r="N10" s="13"/>
      <c r="O10" s="13"/>
      <c r="P10" s="13"/>
      <c r="Q10" s="13"/>
      <c r="R10" s="13"/>
    </row>
    <row r="11" spans="3:18" ht="27" customHeight="1" x14ac:dyDescent="0.35">
      <c r="C11" s="13"/>
      <c r="D11" s="45" t="s">
        <v>390</v>
      </c>
      <c r="E11" s="90">
        <v>45383</v>
      </c>
      <c r="F11" s="13"/>
      <c r="G11" s="13"/>
      <c r="H11" s="13"/>
      <c r="I11" s="13"/>
      <c r="J11" s="13"/>
      <c r="K11" s="13"/>
      <c r="L11" s="13"/>
      <c r="M11" s="13"/>
      <c r="N11" s="13"/>
      <c r="O11" s="13"/>
      <c r="P11" s="13"/>
      <c r="Q11" s="13"/>
      <c r="R11" s="13"/>
    </row>
    <row r="12" spans="3:18" ht="20.149999999999999" customHeight="1" x14ac:dyDescent="0.35">
      <c r="C12" s="13"/>
      <c r="D12" s="13"/>
      <c r="E12" s="13"/>
      <c r="F12" s="13"/>
      <c r="G12" s="13"/>
      <c r="H12" s="13"/>
      <c r="I12" s="13"/>
      <c r="J12" s="13"/>
      <c r="K12" s="13"/>
      <c r="L12" s="13"/>
      <c r="M12" s="13"/>
      <c r="N12" s="13"/>
      <c r="O12" s="13"/>
      <c r="P12" s="13"/>
      <c r="Q12" s="13"/>
      <c r="R12" s="13"/>
    </row>
    <row r="13" spans="3:18" ht="20.149999999999999" customHeight="1" x14ac:dyDescent="0.35">
      <c r="C13" s="13"/>
      <c r="D13" s="156" t="s">
        <v>399</v>
      </c>
      <c r="E13" s="92" t="s">
        <v>506</v>
      </c>
      <c r="F13" s="13"/>
      <c r="G13" s="13"/>
      <c r="H13" s="13"/>
      <c r="I13" s="13"/>
      <c r="J13" s="13"/>
      <c r="K13" s="13"/>
      <c r="L13" s="13"/>
      <c r="M13" s="13"/>
      <c r="N13" s="13"/>
      <c r="O13" s="13"/>
      <c r="P13" s="13"/>
      <c r="Q13" s="13"/>
    </row>
    <row r="14" spans="3:18" ht="20.149999999999999" customHeight="1" x14ac:dyDescent="0.35">
      <c r="C14" s="13"/>
      <c r="D14" s="157"/>
      <c r="E14" s="91"/>
      <c r="F14" s="13"/>
      <c r="G14" s="13"/>
      <c r="H14" s="13"/>
      <c r="I14" s="13"/>
      <c r="J14" s="13"/>
      <c r="K14" s="13"/>
      <c r="L14" s="13"/>
      <c r="M14" s="13"/>
      <c r="N14" s="13"/>
      <c r="O14" s="13"/>
      <c r="P14" s="13"/>
      <c r="Q14" s="13"/>
    </row>
    <row r="15" spans="3:18" ht="13.75" customHeight="1" x14ac:dyDescent="0.35">
      <c r="C15" s="13"/>
      <c r="D15" s="13"/>
      <c r="E15" s="13"/>
      <c r="F15" s="13"/>
      <c r="G15" s="13"/>
      <c r="H15" s="13"/>
      <c r="I15" s="13"/>
      <c r="J15" s="13"/>
      <c r="K15" s="13"/>
      <c r="L15" s="13"/>
      <c r="M15" s="13"/>
      <c r="N15" s="13"/>
      <c r="O15" s="13"/>
      <c r="P15" s="13"/>
      <c r="Q15" s="13"/>
    </row>
    <row r="16" spans="3:18" ht="13.75" customHeight="1" x14ac:dyDescent="0.35">
      <c r="C16" s="13"/>
      <c r="D16" s="13"/>
      <c r="E16" s="13"/>
      <c r="F16" s="13"/>
      <c r="G16" s="13"/>
      <c r="H16" s="13"/>
      <c r="I16" s="13"/>
      <c r="J16" s="13"/>
      <c r="K16" s="13"/>
      <c r="L16" s="13"/>
      <c r="M16" s="13"/>
      <c r="N16" s="13"/>
      <c r="O16" s="13"/>
      <c r="P16" s="13"/>
      <c r="Q16" s="13"/>
    </row>
    <row r="17" spans="1:18" ht="13.75" customHeight="1" x14ac:dyDescent="0.35">
      <c r="C17" s="13"/>
      <c r="D17" s="156" t="s">
        <v>398</v>
      </c>
      <c r="E17" s="158"/>
      <c r="F17" s="13"/>
      <c r="G17" s="13"/>
      <c r="H17" s="13"/>
      <c r="I17" s="13"/>
      <c r="J17" s="13"/>
      <c r="K17" s="13"/>
      <c r="L17" s="13"/>
      <c r="M17" s="13"/>
      <c r="N17" s="13"/>
      <c r="O17" s="13"/>
      <c r="P17" s="13"/>
      <c r="Q17" s="13"/>
    </row>
    <row r="18" spans="1:18" ht="13.75" customHeight="1" x14ac:dyDescent="0.35">
      <c r="C18" s="13"/>
      <c r="D18" s="157"/>
      <c r="E18" s="159"/>
      <c r="F18" s="13"/>
      <c r="G18" s="13"/>
      <c r="H18" s="13"/>
      <c r="I18" s="13"/>
      <c r="J18" s="13"/>
      <c r="K18" s="13"/>
      <c r="L18" s="13"/>
      <c r="M18" s="13"/>
      <c r="N18" s="13"/>
      <c r="O18" s="13"/>
      <c r="P18" s="13"/>
      <c r="Q18" s="13"/>
    </row>
    <row r="19" spans="1:18" ht="13.75" customHeight="1" x14ac:dyDescent="0.35">
      <c r="C19" s="13"/>
      <c r="D19" s="13"/>
      <c r="E19" s="13"/>
      <c r="F19" s="13"/>
      <c r="G19" s="13"/>
      <c r="H19" s="13"/>
      <c r="I19" s="13"/>
      <c r="J19" s="13"/>
      <c r="K19" s="13"/>
      <c r="L19" s="13"/>
      <c r="M19" s="13"/>
      <c r="N19" s="13"/>
      <c r="O19" s="13"/>
      <c r="P19" s="13"/>
      <c r="Q19" s="13"/>
    </row>
    <row r="20" spans="1:18" ht="13.75" customHeight="1" x14ac:dyDescent="0.35">
      <c r="C20" s="13"/>
      <c r="D20" s="13"/>
      <c r="E20" s="13"/>
      <c r="F20" s="13"/>
      <c r="G20" s="13"/>
      <c r="H20" s="13"/>
      <c r="I20" s="13"/>
      <c r="J20" s="13"/>
      <c r="K20" s="13"/>
      <c r="L20" s="13"/>
      <c r="M20" s="13"/>
      <c r="N20" s="13"/>
      <c r="O20" s="13"/>
      <c r="P20" s="13"/>
      <c r="Q20" s="13"/>
    </row>
    <row r="21" spans="1:18" ht="13.75" customHeight="1" x14ac:dyDescent="0.35">
      <c r="C21" s="13"/>
      <c r="D21" s="13"/>
      <c r="E21" s="13"/>
      <c r="F21" s="13"/>
      <c r="G21" s="13"/>
      <c r="H21" s="13"/>
      <c r="I21" s="13"/>
      <c r="J21" s="13"/>
      <c r="K21" s="13"/>
      <c r="L21" s="13"/>
      <c r="M21" s="13"/>
      <c r="N21" s="13"/>
      <c r="O21" s="13"/>
      <c r="P21" s="13"/>
      <c r="Q21" s="13"/>
      <c r="R21" s="13"/>
    </row>
    <row r="22" spans="1:18" ht="13.75" customHeight="1" x14ac:dyDescent="0.35">
      <c r="C22" s="13"/>
      <c r="D22" s="13"/>
      <c r="E22" s="13"/>
      <c r="F22" s="13"/>
      <c r="G22" s="13"/>
      <c r="H22" s="13"/>
      <c r="I22" s="13"/>
      <c r="J22" s="13"/>
      <c r="K22" s="13"/>
      <c r="L22" s="13"/>
      <c r="M22" s="13"/>
      <c r="N22" s="13"/>
      <c r="O22" s="13"/>
      <c r="P22" s="13"/>
      <c r="Q22" s="13"/>
      <c r="R22" s="13"/>
    </row>
    <row r="23" spans="1:18" ht="13.75" customHeight="1" x14ac:dyDescent="0.35">
      <c r="C23" s="13"/>
      <c r="D23" s="13"/>
      <c r="E23" s="13"/>
      <c r="F23" s="13"/>
      <c r="G23" s="13"/>
      <c r="H23" s="13"/>
      <c r="I23" s="13"/>
      <c r="J23" s="13"/>
      <c r="K23" s="13"/>
      <c r="L23" s="13"/>
      <c r="M23" s="13"/>
      <c r="N23" s="13"/>
      <c r="O23" s="13"/>
      <c r="P23" s="13"/>
      <c r="Q23" s="13"/>
      <c r="R23" s="13"/>
    </row>
    <row r="24" spans="1:18" ht="13.75" customHeight="1" x14ac:dyDescent="0.35">
      <c r="C24" s="13"/>
      <c r="D24" s="13"/>
      <c r="E24" s="13"/>
      <c r="F24" s="13"/>
      <c r="G24" s="13"/>
      <c r="H24" s="13"/>
      <c r="I24" s="13"/>
      <c r="J24" s="13"/>
      <c r="K24" s="13"/>
      <c r="L24" s="13"/>
      <c r="M24" s="13"/>
      <c r="N24" s="13"/>
      <c r="O24" s="13"/>
      <c r="P24" s="13"/>
      <c r="Q24" s="13"/>
      <c r="R24" s="13"/>
    </row>
    <row r="25" spans="1:18" x14ac:dyDescent="0.35">
      <c r="C25" s="13"/>
      <c r="D25" s="13"/>
      <c r="E25" s="13"/>
      <c r="F25" s="13"/>
      <c r="G25" s="13"/>
      <c r="H25" s="13"/>
      <c r="I25" s="13"/>
      <c r="J25" s="13"/>
      <c r="K25" s="13"/>
      <c r="L25" s="13"/>
      <c r="M25" s="13"/>
      <c r="N25" s="13"/>
      <c r="O25" s="13"/>
      <c r="P25" s="13"/>
      <c r="Q25" s="13"/>
      <c r="R25" s="13"/>
    </row>
    <row r="26" spans="1:18" x14ac:dyDescent="0.35">
      <c r="C26" s="13"/>
      <c r="D26" s="13"/>
      <c r="E26" s="13"/>
      <c r="F26" s="13"/>
      <c r="G26" s="13"/>
      <c r="H26" s="13"/>
      <c r="I26" s="13"/>
      <c r="J26" s="13"/>
      <c r="K26" s="13"/>
      <c r="L26" s="13"/>
      <c r="M26" s="13"/>
      <c r="N26" s="13"/>
      <c r="O26" s="13"/>
      <c r="P26" s="13"/>
      <c r="Q26" s="13"/>
      <c r="R26" s="13"/>
    </row>
    <row r="27" spans="1:18" x14ac:dyDescent="0.35">
      <c r="C27" s="13"/>
      <c r="D27" s="13"/>
      <c r="E27" s="13"/>
      <c r="F27" s="13"/>
      <c r="G27" s="13"/>
      <c r="H27" s="13"/>
      <c r="I27" s="13"/>
      <c r="J27" s="13"/>
      <c r="K27" s="13"/>
      <c r="L27" s="13"/>
      <c r="M27" s="13"/>
      <c r="N27" s="13"/>
      <c r="O27" s="13"/>
      <c r="P27" s="13"/>
      <c r="Q27" s="13"/>
      <c r="R27" s="13"/>
    </row>
    <row r="28" spans="1:18" x14ac:dyDescent="0.35">
      <c r="C28" s="13"/>
      <c r="D28" s="13"/>
      <c r="E28" s="13"/>
      <c r="F28" s="13"/>
      <c r="G28" s="13"/>
      <c r="H28" s="13"/>
      <c r="I28" s="13"/>
      <c r="J28" s="13"/>
      <c r="K28" s="13"/>
      <c r="L28" s="13"/>
      <c r="M28" s="13"/>
      <c r="N28" s="13"/>
      <c r="O28" s="13"/>
      <c r="P28" s="13"/>
      <c r="Q28" s="13"/>
      <c r="R28" s="13"/>
    </row>
    <row r="29" spans="1:18" x14ac:dyDescent="0.35">
      <c r="C29" s="13"/>
      <c r="D29" s="13"/>
      <c r="E29" s="13"/>
      <c r="F29" s="13"/>
      <c r="G29" s="13"/>
      <c r="H29" s="13"/>
      <c r="I29" s="13"/>
      <c r="J29" s="13"/>
      <c r="K29" s="13"/>
      <c r="L29" s="13"/>
      <c r="M29" s="13"/>
      <c r="N29" s="13"/>
      <c r="O29" s="13"/>
      <c r="P29" s="13"/>
      <c r="Q29" s="13"/>
      <c r="R29" s="13"/>
    </row>
    <row r="30" spans="1:18" x14ac:dyDescent="0.35">
      <c r="C30" s="13"/>
      <c r="D30" s="13"/>
      <c r="E30" s="13"/>
      <c r="F30" s="13"/>
      <c r="G30" s="13"/>
      <c r="H30" s="13"/>
      <c r="I30" s="13"/>
      <c r="J30" s="13"/>
      <c r="K30" s="13"/>
      <c r="L30" s="13"/>
      <c r="M30" s="13"/>
      <c r="N30" s="13"/>
      <c r="O30" s="13"/>
      <c r="P30" s="13"/>
      <c r="Q30" s="13"/>
      <c r="R30" s="13"/>
    </row>
    <row r="31" spans="1:18" x14ac:dyDescent="0.35">
      <c r="C31" s="13"/>
      <c r="D31" s="13"/>
      <c r="E31" s="13"/>
      <c r="F31" s="13"/>
      <c r="G31" s="13"/>
      <c r="H31" s="13"/>
      <c r="I31" s="13"/>
      <c r="J31" s="13"/>
      <c r="K31" s="13"/>
      <c r="L31" s="13"/>
      <c r="M31" s="13"/>
      <c r="N31" s="13"/>
      <c r="O31" s="13"/>
      <c r="P31" s="13"/>
      <c r="Q31" s="13"/>
      <c r="R31" s="13"/>
    </row>
    <row r="32" spans="1:18" x14ac:dyDescent="0.35">
      <c r="A32" s="13"/>
      <c r="B32" s="13"/>
      <c r="C32" s="13"/>
      <c r="D32" s="13"/>
      <c r="E32" s="13"/>
      <c r="F32" s="13"/>
      <c r="G32" s="13"/>
      <c r="H32" s="13"/>
      <c r="I32" s="13"/>
      <c r="J32" s="13"/>
      <c r="K32" s="13"/>
      <c r="L32" s="13"/>
      <c r="M32" s="13"/>
      <c r="N32" s="13"/>
      <c r="O32" s="13"/>
      <c r="P32" s="13"/>
      <c r="Q32" s="13"/>
      <c r="R32" s="13"/>
    </row>
    <row r="33" spans="3:14" hidden="1" x14ac:dyDescent="0.35">
      <c r="C33" s="13"/>
      <c r="D33" s="13"/>
      <c r="E33" s="13"/>
      <c r="F33" s="13"/>
      <c r="G33" s="13"/>
      <c r="H33" s="13"/>
      <c r="I33" s="13"/>
      <c r="J33" s="13"/>
      <c r="K33" s="13"/>
      <c r="L33" s="13"/>
      <c r="M33" s="13"/>
      <c r="N33" s="13"/>
    </row>
    <row r="34" spans="3:14" hidden="1" x14ac:dyDescent="0.35">
      <c r="L34" s="13"/>
      <c r="M34" s="13"/>
      <c r="N34" s="13"/>
    </row>
    <row r="35" spans="3:14" hidden="1" x14ac:dyDescent="0.35">
      <c r="L35" s="13"/>
      <c r="M35" s="13"/>
      <c r="N35" s="13"/>
    </row>
    <row r="36" spans="3:14" hidden="1" x14ac:dyDescent="0.35">
      <c r="L36" s="13"/>
      <c r="M36" s="13"/>
      <c r="N36" s="13"/>
    </row>
  </sheetData>
  <mergeCells count="3">
    <mergeCell ref="D13:D14"/>
    <mergeCell ref="D17:D18"/>
    <mergeCell ref="E17:E18"/>
  </mergeCells>
  <conditionalFormatting sqref="E14">
    <cfRule type="expression" dxfId="25" priority="5">
      <formula>$P$7&lt;=1</formula>
    </cfRule>
    <cfRule type="expression" dxfId="24" priority="6">
      <formula>$P$7&gt;1</formula>
    </cfRule>
  </conditionalFormatting>
  <conditionalFormatting sqref="E17:E18">
    <cfRule type="expression" dxfId="23" priority="1">
      <formula>$P$1&lt;=1</formula>
    </cfRule>
    <cfRule type="expression" dxfId="22" priority="2">
      <formula>$P$1&gt;1</formula>
    </cfRule>
  </conditionalFormatting>
  <dataValidations disablePrompts="1" count="1">
    <dataValidation type="list" allowBlank="1" showInputMessage="1" showErrorMessage="1" sqref="N13" xr:uid="{00000000-0002-0000-0100-000000000000}">
      <formula1>"High,Medium,Low"</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3"/>
  <sheetViews>
    <sheetView zoomScale="85" workbookViewId="0">
      <selection activeCell="C4" sqref="C4"/>
    </sheetView>
  </sheetViews>
  <sheetFormatPr defaultColWidth="0" defaultRowHeight="14.5" customHeight="1" x14ac:dyDescent="0.35"/>
  <cols>
    <col min="1" max="1" width="9.1796875" style="16" customWidth="1"/>
    <col min="2" max="2" width="16.7265625" style="16" customWidth="1"/>
    <col min="3" max="3" width="41.1796875" style="16" customWidth="1"/>
    <col min="4" max="4" width="37.81640625" style="16" customWidth="1"/>
    <col min="5" max="5" width="28" style="16" customWidth="1"/>
    <col min="6" max="6" width="21" style="16" bestFit="1"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7" width="9.1796875" style="16" customWidth="1"/>
    <col min="18" max="19" width="0" style="16" hidden="1" customWidth="1"/>
    <col min="20" max="16384" width="9.1796875" style="16" hidden="1"/>
  </cols>
  <sheetData>
    <row r="1" spans="3:6" x14ac:dyDescent="0.35"/>
    <row r="2" spans="3:6" ht="10" customHeight="1" x14ac:dyDescent="0.35"/>
    <row r="3" spans="3:6" ht="5.5" customHeight="1" x14ac:dyDescent="0.35"/>
    <row r="4" spans="3:6" ht="7.5" customHeight="1" x14ac:dyDescent="0.35"/>
    <row r="5" spans="3:6" ht="15" thickBot="1" x14ac:dyDescent="0.4">
      <c r="E5" s="17"/>
      <c r="F5" s="17"/>
    </row>
    <row r="6" spans="3:6" ht="20.149999999999999" customHeight="1" thickBot="1" x14ac:dyDescent="0.4">
      <c r="C6" s="72" t="s">
        <v>519</v>
      </c>
      <c r="D6" s="165" t="s">
        <v>543</v>
      </c>
      <c r="E6" s="166"/>
      <c r="F6" s="17"/>
    </row>
    <row r="7" spans="3:6" ht="20.149999999999999" customHeight="1" thickBot="1" x14ac:dyDescent="0.4">
      <c r="C7" s="73" t="s">
        <v>301</v>
      </c>
      <c r="D7" s="165" t="s">
        <v>544</v>
      </c>
      <c r="E7" s="166"/>
      <c r="F7" s="17"/>
    </row>
    <row r="8" spans="3:6" ht="20.149999999999999" customHeight="1" thickBot="1" x14ac:dyDescent="0.4">
      <c r="C8" s="73" t="s">
        <v>344</v>
      </c>
      <c r="D8" s="165" t="s">
        <v>407</v>
      </c>
      <c r="E8" s="166"/>
      <c r="F8" s="17"/>
    </row>
    <row r="9" spans="3:6" ht="20.149999999999999" customHeight="1" thickBot="1" x14ac:dyDescent="0.4">
      <c r="C9" s="73" t="s">
        <v>302</v>
      </c>
      <c r="D9" s="165" t="s">
        <v>408</v>
      </c>
      <c r="E9" s="166"/>
    </row>
    <row r="10" spans="3:6" ht="20.149999999999999" customHeight="1" thickBot="1" x14ac:dyDescent="0.4">
      <c r="C10" s="73" t="s">
        <v>368</v>
      </c>
      <c r="D10" s="165" t="s">
        <v>157</v>
      </c>
      <c r="E10" s="166"/>
    </row>
    <row r="11" spans="3:6" ht="20.149999999999999" customHeight="1" thickBot="1" x14ac:dyDescent="0.4">
      <c r="C11" s="73" t="s">
        <v>367</v>
      </c>
      <c r="D11" s="165" t="s">
        <v>424</v>
      </c>
      <c r="E11" s="166"/>
    </row>
    <row r="12" spans="3:6" ht="20.149999999999999" customHeight="1" thickBot="1" x14ac:dyDescent="0.4">
      <c r="C12" s="73" t="s">
        <v>369</v>
      </c>
      <c r="D12" s="165" t="s">
        <v>424</v>
      </c>
      <c r="E12" s="166"/>
    </row>
    <row r="13" spans="3:6" ht="20.149999999999999" customHeight="1" thickBot="1" x14ac:dyDescent="0.4">
      <c r="C13" s="73" t="s">
        <v>410</v>
      </c>
      <c r="D13" s="167" t="s">
        <v>409</v>
      </c>
      <c r="E13" s="166"/>
    </row>
    <row r="14" spans="3:6" ht="20.149999999999999" customHeight="1" thickBot="1" x14ac:dyDescent="0.4">
      <c r="C14" s="73" t="s">
        <v>360</v>
      </c>
      <c r="D14" s="123" t="s">
        <v>411</v>
      </c>
      <c r="E14" s="123" t="s">
        <v>412</v>
      </c>
    </row>
    <row r="15" spans="3:6" ht="20.149999999999999" customHeight="1" thickBot="1" x14ac:dyDescent="0.4">
      <c r="C15" s="73" t="s">
        <v>370</v>
      </c>
      <c r="D15" s="168" t="s">
        <v>413</v>
      </c>
      <c r="E15" s="166"/>
    </row>
    <row r="16" spans="3:6" ht="30" customHeight="1" thickBot="1" x14ac:dyDescent="0.4">
      <c r="C16" s="74" t="s">
        <v>304</v>
      </c>
      <c r="D16" s="165" t="s">
        <v>414</v>
      </c>
      <c r="E16" s="166"/>
    </row>
    <row r="17" spans="3:5" ht="20.149999999999999" customHeight="1" thickBot="1" x14ac:dyDescent="0.4">
      <c r="C17" s="73" t="s">
        <v>343</v>
      </c>
      <c r="D17" s="165" t="s">
        <v>425</v>
      </c>
      <c r="E17" s="166"/>
    </row>
    <row r="18" spans="3:5" ht="20.149999999999999" customHeight="1" thickBot="1" x14ac:dyDescent="0.4">
      <c r="C18" s="113"/>
      <c r="D18" s="114"/>
      <c r="E18" s="114"/>
    </row>
    <row r="19" spans="3:5" ht="20.149999999999999" customHeight="1" thickBot="1" x14ac:dyDescent="0.4">
      <c r="C19" s="57" t="s">
        <v>362</v>
      </c>
      <c r="D19" s="124" t="s">
        <v>156</v>
      </c>
      <c r="E19" s="114"/>
    </row>
    <row r="20" spans="3:5" ht="20.149999999999999" customHeight="1" thickBot="1" x14ac:dyDescent="0.4">
      <c r="C20" s="48" t="s">
        <v>361</v>
      </c>
      <c r="D20" s="125" t="s">
        <v>155</v>
      </c>
      <c r="E20" s="114"/>
    </row>
    <row r="21" spans="3:5" ht="20.149999999999999" customHeight="1" thickBot="1" x14ac:dyDescent="0.4">
      <c r="C21" s="82" t="s">
        <v>397</v>
      </c>
      <c r="D21" s="126" t="s">
        <v>155</v>
      </c>
      <c r="E21" s="114"/>
    </row>
    <row r="22" spans="3:5" ht="20.149999999999999" customHeight="1" thickBot="1" x14ac:dyDescent="0.4">
      <c r="C22" s="83" t="s">
        <v>384</v>
      </c>
      <c r="D22" s="127" t="s">
        <v>157</v>
      </c>
      <c r="E22" s="114"/>
    </row>
    <row r="23" spans="3:5" ht="13.75" customHeight="1" thickBot="1" x14ac:dyDescent="0.4"/>
    <row r="24" spans="3:5" ht="13.75" customHeight="1" thickBot="1" x14ac:dyDescent="0.4">
      <c r="C24" s="57" t="s">
        <v>130</v>
      </c>
      <c r="D24" s="56" t="s">
        <v>131</v>
      </c>
      <c r="E24" s="56" t="s">
        <v>132</v>
      </c>
    </row>
    <row r="25" spans="3:5" ht="13.75" customHeight="1" thickBot="1" x14ac:dyDescent="0.4">
      <c r="C25" s="48" t="s">
        <v>521</v>
      </c>
      <c r="D25" s="49" t="s">
        <v>523</v>
      </c>
      <c r="E25" s="49" t="s">
        <v>521</v>
      </c>
    </row>
    <row r="26" spans="3:5" ht="13.75" customHeight="1" thickBot="1" x14ac:dyDescent="0.4">
      <c r="C26" s="48" t="s">
        <v>522</v>
      </c>
      <c r="D26" s="49" t="s">
        <v>522</v>
      </c>
      <c r="E26" s="49" t="s">
        <v>524</v>
      </c>
    </row>
    <row r="27" spans="3:5" ht="13.75" customHeight="1" thickBot="1" x14ac:dyDescent="0.4">
      <c r="C27" s="143" t="s">
        <v>426</v>
      </c>
      <c r="D27" s="128" t="s">
        <v>426</v>
      </c>
      <c r="E27" s="128" t="s">
        <v>426</v>
      </c>
    </row>
    <row r="28" spans="3:5" ht="13.75" customHeight="1" x14ac:dyDescent="0.35"/>
    <row r="29" spans="3:5" ht="13.75" customHeight="1" thickBot="1" x14ac:dyDescent="0.4">
      <c r="C29" s="20" t="s">
        <v>382</v>
      </c>
    </row>
    <row r="30" spans="3:5" ht="13.75" customHeight="1" thickBot="1" x14ac:dyDescent="0.4">
      <c r="C30" s="160" t="s">
        <v>485</v>
      </c>
      <c r="D30" s="161"/>
      <c r="E30" s="162"/>
    </row>
    <row r="31" spans="3:5" ht="13.75" customHeight="1" thickBot="1" x14ac:dyDescent="0.4">
      <c r="C31" s="160" t="s">
        <v>486</v>
      </c>
      <c r="D31" s="161"/>
      <c r="E31" s="162"/>
    </row>
    <row r="32" spans="3:5" ht="13.75" customHeight="1" thickBot="1" x14ac:dyDescent="0.4">
      <c r="C32" s="160" t="s">
        <v>418</v>
      </c>
      <c r="D32" s="161"/>
      <c r="E32" s="162"/>
    </row>
    <row r="33" spans="3:5" ht="13.75" customHeight="1" thickBot="1" x14ac:dyDescent="0.4">
      <c r="C33" s="160" t="s">
        <v>487</v>
      </c>
      <c r="D33" s="161"/>
      <c r="E33" s="162"/>
    </row>
    <row r="34" spans="3:5" ht="13.75" customHeight="1" thickBot="1" x14ac:dyDescent="0.4">
      <c r="C34" s="160" t="s">
        <v>416</v>
      </c>
      <c r="D34" s="161"/>
      <c r="E34" s="162"/>
    </row>
    <row r="35" spans="3:5" ht="13.75" customHeight="1" thickBot="1" x14ac:dyDescent="0.4">
      <c r="C35" s="160" t="s">
        <v>488</v>
      </c>
      <c r="D35" s="161"/>
      <c r="E35" s="162"/>
    </row>
    <row r="36" spans="3:5" ht="13.75" customHeight="1" thickBot="1" x14ac:dyDescent="0.4">
      <c r="C36" s="160" t="s">
        <v>489</v>
      </c>
      <c r="D36" s="161"/>
      <c r="E36" s="162"/>
    </row>
    <row r="37" spans="3:5" ht="13.75" customHeight="1" thickBot="1" x14ac:dyDescent="0.4">
      <c r="C37" s="160" t="s">
        <v>417</v>
      </c>
      <c r="D37" s="161"/>
      <c r="E37" s="162"/>
    </row>
    <row r="38" spans="3:5" ht="13.75" customHeight="1" x14ac:dyDescent="0.35"/>
    <row r="39" spans="3:5" x14ac:dyDescent="0.35">
      <c r="C39" s="115" t="s">
        <v>214</v>
      </c>
    </row>
    <row r="40" spans="3:5" x14ac:dyDescent="0.35">
      <c r="C40" s="116"/>
    </row>
    <row r="41" spans="3:5" x14ac:dyDescent="0.35">
      <c r="C41" s="118" t="s">
        <v>217</v>
      </c>
      <c r="D41" s="117"/>
    </row>
    <row r="42" spans="3:5" x14ac:dyDescent="0.35">
      <c r="C42" s="118"/>
      <c r="D42" s="117"/>
    </row>
    <row r="43" spans="3:5" x14ac:dyDescent="0.35">
      <c r="C43" s="115" t="s">
        <v>133</v>
      </c>
      <c r="D43" s="117"/>
    </row>
    <row r="44" spans="3:5" x14ac:dyDescent="0.35">
      <c r="C44" s="118" t="s">
        <v>216</v>
      </c>
      <c r="D44" s="117"/>
    </row>
    <row r="45" spans="3:5" x14ac:dyDescent="0.35">
      <c r="C45" s="118" t="s">
        <v>215</v>
      </c>
      <c r="D45" s="117"/>
    </row>
    <row r="46" spans="3:5" x14ac:dyDescent="0.35">
      <c r="C46" s="115"/>
      <c r="D46" s="117"/>
    </row>
    <row r="47" spans="3:5" ht="14.5" customHeight="1" x14ac:dyDescent="0.35">
      <c r="C47" s="115" t="s">
        <v>134</v>
      </c>
    </row>
    <row r="48" spans="3:5" ht="32.5" customHeight="1" x14ac:dyDescent="0.35">
      <c r="C48" s="164" t="s">
        <v>419</v>
      </c>
      <c r="D48" s="164"/>
      <c r="E48" s="164"/>
    </row>
    <row r="50" spans="3:5" ht="14.5" customHeight="1" x14ac:dyDescent="0.35">
      <c r="C50" s="79" t="s">
        <v>135</v>
      </c>
    </row>
    <row r="52" spans="3:5" ht="143.5" customHeight="1" x14ac:dyDescent="0.35">
      <c r="C52" s="163" t="s">
        <v>520</v>
      </c>
      <c r="D52" s="163"/>
      <c r="E52" s="163"/>
    </row>
    <row r="53" spans="3:5" ht="14.5" customHeight="1" x14ac:dyDescent="0.35">
      <c r="C53" s="113" t="s">
        <v>136</v>
      </c>
    </row>
    <row r="55" spans="3:5" ht="33" customHeight="1" x14ac:dyDescent="0.35">
      <c r="C55" s="163" t="s">
        <v>137</v>
      </c>
      <c r="D55" s="163"/>
      <c r="E55" s="163"/>
    </row>
    <row r="56" spans="3:5" ht="14.5" customHeight="1" x14ac:dyDescent="0.35">
      <c r="C56" s="119"/>
    </row>
    <row r="57" spans="3:5" ht="33" customHeight="1" x14ac:dyDescent="0.35">
      <c r="C57" s="163" t="s">
        <v>138</v>
      </c>
      <c r="D57" s="163"/>
      <c r="E57" s="163"/>
    </row>
    <row r="58" spans="3:5" ht="14.5" customHeight="1" x14ac:dyDescent="0.35">
      <c r="C58" s="119"/>
    </row>
    <row r="59" spans="3:5" ht="33" customHeight="1" x14ac:dyDescent="0.35">
      <c r="C59" s="163" t="s">
        <v>139</v>
      </c>
      <c r="D59" s="163"/>
      <c r="E59" s="163"/>
    </row>
    <row r="60" spans="3:5" ht="14.5" customHeight="1" x14ac:dyDescent="0.35">
      <c r="C60" s="119"/>
    </row>
    <row r="61" spans="3:5" ht="33" customHeight="1" x14ac:dyDescent="0.35">
      <c r="C61" s="163" t="s">
        <v>140</v>
      </c>
      <c r="D61" s="163"/>
      <c r="E61" s="163"/>
    </row>
    <row r="62" spans="3:5" ht="14.5" customHeight="1" x14ac:dyDescent="0.35">
      <c r="C62" s="119"/>
    </row>
    <row r="63" spans="3:5" ht="66" customHeight="1" x14ac:dyDescent="0.35">
      <c r="C63" s="163" t="s">
        <v>141</v>
      </c>
      <c r="D63" s="163"/>
      <c r="E63" s="163"/>
    </row>
  </sheetData>
  <sheetProtection selectLockedCells="1"/>
  <mergeCells count="26">
    <mergeCell ref="D16:E16"/>
    <mergeCell ref="D17:E17"/>
    <mergeCell ref="D11:E11"/>
    <mergeCell ref="D12:E12"/>
    <mergeCell ref="D13:E13"/>
    <mergeCell ref="D15:E15"/>
    <mergeCell ref="D6:E6"/>
    <mergeCell ref="D7:E7"/>
    <mergeCell ref="D8:E8"/>
    <mergeCell ref="D9:E9"/>
    <mergeCell ref="D10:E10"/>
    <mergeCell ref="C61:E61"/>
    <mergeCell ref="C63:E63"/>
    <mergeCell ref="C48:E48"/>
    <mergeCell ref="C52:E52"/>
    <mergeCell ref="C55:E55"/>
    <mergeCell ref="C57:E57"/>
    <mergeCell ref="C59:E59"/>
    <mergeCell ref="C37:E37"/>
    <mergeCell ref="C30:E30"/>
    <mergeCell ref="C32:E32"/>
    <mergeCell ref="C36:E36"/>
    <mergeCell ref="C31:E31"/>
    <mergeCell ref="C33:E33"/>
    <mergeCell ref="C34:E34"/>
    <mergeCell ref="C35:E35"/>
  </mergeCells>
  <conditionalFormatting sqref="D19">
    <cfRule type="cellIs" dxfId="21" priority="2" operator="equal">
      <formula>$H$20</formula>
    </cfRule>
  </conditionalFormatting>
  <conditionalFormatting sqref="D19 D21:D22">
    <cfRule type="cellIs" dxfId="20" priority="1" operator="equal">
      <formula>$H$19</formula>
    </cfRule>
  </conditionalFormatting>
  <dataValidations count="1">
    <dataValidation type="list" allowBlank="1" showInputMessage="1" showErrorMessage="1" sqref="O13" xr:uid="{00000000-0002-0000-02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Mapping!$A$2:$A$3</xm:f>
          </x14:formula1>
          <xm:sqref>D19:D21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S75"/>
  <sheetViews>
    <sheetView topLeftCell="A21" zoomScale="85" zoomScaleNormal="85" workbookViewId="0">
      <selection activeCell="G28" sqref="G28"/>
    </sheetView>
  </sheetViews>
  <sheetFormatPr defaultColWidth="9.1796875" defaultRowHeight="14.5" customHeight="1" x14ac:dyDescent="0.35"/>
  <cols>
    <col min="1" max="1" width="9.1796875" style="16" customWidth="1"/>
    <col min="2" max="2" width="14.453125" style="16" customWidth="1"/>
    <col min="3" max="3" width="11" style="16" customWidth="1"/>
    <col min="4" max="4" width="67.7265625" style="16" customWidth="1"/>
    <col min="5" max="5" width="12.54296875" style="16" customWidth="1"/>
    <col min="6" max="6" width="46.54296875" style="16" customWidth="1"/>
    <col min="7" max="7" width="9.1796875" style="16" customWidth="1"/>
    <col min="8" max="8" width="52.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3:6" x14ac:dyDescent="0.35"/>
    <row r="2" spans="3:6" ht="10" customHeight="1" x14ac:dyDescent="0.35"/>
    <row r="3" spans="3:6" ht="5.5" customHeight="1" x14ac:dyDescent="0.35"/>
    <row r="4" spans="3:6" ht="7.5" customHeight="1" x14ac:dyDescent="0.35"/>
    <row r="5" spans="3:6" x14ac:dyDescent="0.35">
      <c r="E5" s="17"/>
      <c r="F5" s="17"/>
    </row>
    <row r="6" spans="3:6" x14ac:dyDescent="0.35">
      <c r="E6" s="17"/>
      <c r="F6" s="17"/>
    </row>
    <row r="7" spans="3:6" x14ac:dyDescent="0.35">
      <c r="E7" s="17"/>
      <c r="F7" s="17"/>
    </row>
    <row r="8" spans="3:6" ht="15" customHeight="1" x14ac:dyDescent="0.35">
      <c r="C8" s="190" t="s">
        <v>142</v>
      </c>
      <c r="D8" s="191"/>
      <c r="E8" s="191"/>
      <c r="F8" s="191"/>
    </row>
    <row r="9" spans="3:6" ht="15" customHeight="1" x14ac:dyDescent="0.35">
      <c r="C9" s="55"/>
      <c r="D9" s="55"/>
      <c r="E9" s="15"/>
      <c r="F9"/>
    </row>
    <row r="10" spans="3:6" ht="15" customHeight="1" x14ac:dyDescent="0.35">
      <c r="C10" s="58" t="s">
        <v>213</v>
      </c>
      <c r="D10" s="55"/>
      <c r="E10" s="55"/>
      <c r="F10" s="55"/>
    </row>
    <row r="11" spans="3:6" ht="15" customHeight="1" thickBot="1" x14ac:dyDescent="0.4">
      <c r="C11" s="55"/>
      <c r="D11" s="55"/>
      <c r="E11" s="55"/>
      <c r="F11" s="55"/>
    </row>
    <row r="12" spans="3:6" ht="15" customHeight="1" thickBot="1" x14ac:dyDescent="0.4">
      <c r="C12" s="59" t="s">
        <v>143</v>
      </c>
      <c r="D12" s="184" t="s">
        <v>144</v>
      </c>
      <c r="E12" s="185"/>
      <c r="F12" s="188"/>
    </row>
    <row r="13" spans="3:6" ht="15" customHeight="1" thickBot="1" x14ac:dyDescent="0.4">
      <c r="C13" s="60" t="s">
        <v>145</v>
      </c>
      <c r="D13" s="184" t="s">
        <v>146</v>
      </c>
      <c r="E13" s="185" t="s">
        <v>146</v>
      </c>
      <c r="F13" s="188" t="s">
        <v>146</v>
      </c>
    </row>
    <row r="14" spans="3:6" ht="15" customHeight="1" thickBot="1" x14ac:dyDescent="0.4">
      <c r="C14" s="60" t="s">
        <v>147</v>
      </c>
      <c r="D14" s="184" t="s">
        <v>400</v>
      </c>
      <c r="E14" s="185" t="s">
        <v>148</v>
      </c>
      <c r="F14" s="188" t="s">
        <v>148</v>
      </c>
    </row>
    <row r="15" spans="3:6" ht="15" customHeight="1" thickBot="1" x14ac:dyDescent="0.4">
      <c r="C15" s="60" t="s">
        <v>149</v>
      </c>
      <c r="D15" s="184" t="s">
        <v>150</v>
      </c>
      <c r="E15" s="185" t="s">
        <v>150</v>
      </c>
      <c r="F15" s="188" t="s">
        <v>150</v>
      </c>
    </row>
    <row r="16" spans="3:6" ht="15" customHeight="1" x14ac:dyDescent="0.35">
      <c r="C16" s="55"/>
      <c r="D16" s="55"/>
      <c r="E16" s="55"/>
      <c r="F16" s="55"/>
    </row>
    <row r="17" spans="3:19" ht="15" customHeight="1" x14ac:dyDescent="0.35">
      <c r="C17" s="61" t="s">
        <v>151</v>
      </c>
      <c r="D17" s="55"/>
      <c r="E17" s="55"/>
      <c r="F17" s="55"/>
    </row>
    <row r="18" spans="3:19" ht="15" customHeight="1" thickBot="1" x14ac:dyDescent="0.4">
      <c r="C18" s="55"/>
      <c r="D18" s="55"/>
      <c r="E18" s="55"/>
      <c r="F18" s="55"/>
    </row>
    <row r="19" spans="3:19" ht="15" customHeight="1" thickBot="1" x14ac:dyDescent="0.4">
      <c r="C19" s="186" t="s">
        <v>152</v>
      </c>
      <c r="D19" s="187"/>
      <c r="E19" s="62" t="s">
        <v>153</v>
      </c>
      <c r="F19" s="63" t="s">
        <v>154</v>
      </c>
      <c r="I19" s="18"/>
      <c r="J19" s="18"/>
      <c r="K19" s="18"/>
      <c r="L19" s="18"/>
      <c r="M19" s="18"/>
      <c r="N19" s="18"/>
      <c r="O19" s="18"/>
      <c r="P19" s="18"/>
      <c r="Q19" s="18"/>
      <c r="R19" s="18"/>
      <c r="S19" s="18"/>
    </row>
    <row r="20" spans="3:19" ht="25" customHeight="1" thickBot="1" x14ac:dyDescent="0.4">
      <c r="C20" s="184" t="s">
        <v>392</v>
      </c>
      <c r="D20" s="185"/>
      <c r="E20" s="106" t="s">
        <v>155</v>
      </c>
      <c r="F20" s="47" t="s">
        <v>420</v>
      </c>
    </row>
    <row r="21" spans="3:19" ht="25" customHeight="1" thickBot="1" x14ac:dyDescent="0.4">
      <c r="C21" s="184" t="s">
        <v>393</v>
      </c>
      <c r="D21" s="185"/>
      <c r="E21" s="106" t="s">
        <v>155</v>
      </c>
      <c r="F21" s="47" t="s">
        <v>421</v>
      </c>
    </row>
    <row r="22" spans="3:19" ht="25" customHeight="1" thickBot="1" x14ac:dyDescent="0.4">
      <c r="C22" s="184" t="s">
        <v>394</v>
      </c>
      <c r="D22" s="185"/>
      <c r="E22" s="106" t="s">
        <v>155</v>
      </c>
      <c r="F22" s="47" t="s">
        <v>422</v>
      </c>
    </row>
    <row r="23" spans="3:19" ht="25" customHeight="1" thickBot="1" x14ac:dyDescent="0.4">
      <c r="C23" s="184" t="s">
        <v>395</v>
      </c>
      <c r="D23" s="185"/>
      <c r="E23" s="106" t="s">
        <v>155</v>
      </c>
      <c r="F23" s="47" t="s">
        <v>507</v>
      </c>
    </row>
    <row r="24" spans="3:19" ht="25" customHeight="1" thickBot="1" x14ac:dyDescent="0.4">
      <c r="C24" s="184" t="s">
        <v>396</v>
      </c>
      <c r="D24" s="185"/>
      <c r="E24" s="106" t="s">
        <v>155</v>
      </c>
      <c r="F24" s="47" t="s">
        <v>525</v>
      </c>
    </row>
    <row r="25" spans="3:19" ht="15" customHeight="1" thickBot="1" x14ac:dyDescent="0.4">
      <c r="C25" s="55"/>
      <c r="D25" s="55"/>
      <c r="E25" s="55"/>
      <c r="F25" s="55"/>
    </row>
    <row r="26" spans="3:19" ht="45.65" customHeight="1" thickBot="1" x14ac:dyDescent="0.4">
      <c r="C26" s="63" t="s">
        <v>158</v>
      </c>
      <c r="D26" s="184" t="str">
        <f>IF(COUNTIF($E$20:$E$24,"")=5,"",IF(COUNTIF($E$20:$E$24,"Yes")=5,"Contract exists between the parties","Contract does not exists between the parties"))</f>
        <v>Contract exists between the parties</v>
      </c>
      <c r="E26" s="185"/>
      <c r="F26" s="188"/>
    </row>
    <row r="27" spans="3:19" x14ac:dyDescent="0.35">
      <c r="C27" s="55"/>
      <c r="D27" s="55"/>
      <c r="E27" s="55"/>
      <c r="F27" s="55"/>
    </row>
    <row r="28" spans="3:19" x14ac:dyDescent="0.35">
      <c r="C28" s="55"/>
      <c r="D28" s="55"/>
      <c r="E28" s="55"/>
      <c r="F28" s="55"/>
    </row>
    <row r="29" spans="3:19" x14ac:dyDescent="0.35">
      <c r="C29" s="64" t="s">
        <v>159</v>
      </c>
      <c r="D29" s="55"/>
      <c r="E29" s="55"/>
      <c r="F29" s="55"/>
    </row>
    <row r="30" spans="3:19" x14ac:dyDescent="0.35">
      <c r="C30" s="55"/>
      <c r="D30" s="55"/>
      <c r="E30" s="55"/>
      <c r="F30" s="55"/>
    </row>
    <row r="31" spans="3:19" x14ac:dyDescent="0.35">
      <c r="C31" s="65" t="s">
        <v>160</v>
      </c>
      <c r="D31" s="55"/>
      <c r="E31" s="55"/>
      <c r="F31" s="55"/>
    </row>
    <row r="32" spans="3:19" x14ac:dyDescent="0.35">
      <c r="C32" s="65" t="s">
        <v>161</v>
      </c>
      <c r="D32" s="55"/>
      <c r="E32" s="55"/>
      <c r="F32" s="55"/>
    </row>
    <row r="33" spans="3:6" x14ac:dyDescent="0.35">
      <c r="C33" s="65" t="s">
        <v>162</v>
      </c>
      <c r="D33" s="55"/>
      <c r="E33" s="55"/>
      <c r="F33" s="55"/>
    </row>
    <row r="34" spans="3:6" x14ac:dyDescent="0.35">
      <c r="C34" s="65" t="s">
        <v>163</v>
      </c>
      <c r="D34" s="55"/>
      <c r="E34" s="55"/>
      <c r="F34" s="55"/>
    </row>
    <row r="35" spans="3:6" x14ac:dyDescent="0.35">
      <c r="C35" s="55"/>
      <c r="D35" s="55"/>
      <c r="E35" s="55"/>
      <c r="F35" s="55"/>
    </row>
    <row r="36" spans="3:6" x14ac:dyDescent="0.35">
      <c r="C36" s="15" t="s">
        <v>164</v>
      </c>
      <c r="D36" s="55"/>
      <c r="E36" s="55"/>
      <c r="F36" s="55"/>
    </row>
    <row r="37" spans="3:6" ht="14.5" customHeight="1" x14ac:dyDescent="0.35">
      <c r="C37" s="65" t="s">
        <v>165</v>
      </c>
      <c r="D37" s="55"/>
      <c r="E37" s="55"/>
      <c r="F37" s="55"/>
    </row>
    <row r="38" spans="3:6" ht="14.5" customHeight="1" thickBot="1" x14ac:dyDescent="0.4">
      <c r="C38" s="55"/>
      <c r="D38" s="55"/>
      <c r="E38" s="55"/>
      <c r="F38" s="55"/>
    </row>
    <row r="39" spans="3:6" ht="31.5" customHeight="1" thickBot="1" x14ac:dyDescent="0.4">
      <c r="C39" s="175" t="s">
        <v>166</v>
      </c>
      <c r="D39" s="177"/>
      <c r="E39" s="176"/>
      <c r="F39" s="47" t="s">
        <v>155</v>
      </c>
    </row>
    <row r="40" spans="3:6" ht="14.5" customHeight="1" thickBot="1" x14ac:dyDescent="0.4">
      <c r="C40" s="55"/>
      <c r="D40" s="55"/>
      <c r="E40" s="55"/>
      <c r="F40" s="55"/>
    </row>
    <row r="41" spans="3:6" ht="14.5" customHeight="1" thickBot="1" x14ac:dyDescent="0.4">
      <c r="C41" s="178" t="s">
        <v>218</v>
      </c>
      <c r="D41" s="179"/>
      <c r="E41" s="179"/>
      <c r="F41" s="180"/>
    </row>
    <row r="42" spans="3:6" ht="14.5" customHeight="1" thickBot="1" x14ac:dyDescent="0.4">
      <c r="C42" s="55"/>
      <c r="D42" s="55"/>
      <c r="E42" s="55"/>
      <c r="F42" s="55"/>
    </row>
    <row r="43" spans="3:6" ht="25" customHeight="1" thickBot="1" x14ac:dyDescent="0.4">
      <c r="C43" s="175" t="s">
        <v>167</v>
      </c>
      <c r="D43" s="177"/>
      <c r="E43" s="176" t="s">
        <v>156</v>
      </c>
      <c r="F43" s="47" t="s">
        <v>156</v>
      </c>
    </row>
    <row r="44" spans="3:6" ht="25" customHeight="1" thickBot="1" x14ac:dyDescent="0.4">
      <c r="C44" s="175" t="s">
        <v>168</v>
      </c>
      <c r="D44" s="177"/>
      <c r="E44" s="176" t="s">
        <v>156</v>
      </c>
      <c r="F44" s="47" t="s">
        <v>156</v>
      </c>
    </row>
    <row r="45" spans="3:6" ht="25" customHeight="1" thickBot="1" x14ac:dyDescent="0.4">
      <c r="C45" s="175" t="s">
        <v>219</v>
      </c>
      <c r="D45" s="177"/>
      <c r="E45" s="176" t="s">
        <v>156</v>
      </c>
      <c r="F45" s="47" t="s">
        <v>156</v>
      </c>
    </row>
    <row r="46" spans="3:6" ht="14.5" customHeight="1" thickBot="1" x14ac:dyDescent="0.4">
      <c r="C46" s="55"/>
      <c r="D46" s="55"/>
      <c r="E46" s="55"/>
      <c r="F46" s="55"/>
    </row>
    <row r="47" spans="3:6" ht="14.5" customHeight="1" thickBot="1" x14ac:dyDescent="0.4">
      <c r="C47" s="178" t="s">
        <v>220</v>
      </c>
      <c r="D47" s="179"/>
      <c r="E47" s="179"/>
      <c r="F47" s="180"/>
    </row>
    <row r="48" spans="3:6" ht="14.5" customHeight="1" thickBot="1" x14ac:dyDescent="0.4">
      <c r="C48" s="66"/>
      <c r="D48" s="55"/>
      <c r="E48" s="55"/>
      <c r="F48" s="55"/>
    </row>
    <row r="49" spans="3:6" ht="14.5" customHeight="1" thickBot="1" x14ac:dyDescent="0.4">
      <c r="C49" s="178" t="s">
        <v>169</v>
      </c>
      <c r="D49" s="179"/>
      <c r="E49" s="179"/>
      <c r="F49" s="180"/>
    </row>
    <row r="50" spans="3:6" ht="72" customHeight="1" thickBot="1" x14ac:dyDescent="0.4">
      <c r="C50" s="181" t="s">
        <v>427</v>
      </c>
      <c r="D50" s="182"/>
      <c r="E50" s="182"/>
      <c r="F50" s="183"/>
    </row>
    <row r="51" spans="3:6" ht="20.5" customHeight="1" thickBot="1" x14ac:dyDescent="0.4">
      <c r="C51" s="178" t="s">
        <v>363</v>
      </c>
      <c r="D51" s="179"/>
      <c r="E51" s="179"/>
      <c r="F51" s="180"/>
    </row>
    <row r="52" spans="3:6" ht="65.150000000000006" customHeight="1" thickBot="1" x14ac:dyDescent="0.4">
      <c r="C52" s="181" t="s">
        <v>526</v>
      </c>
      <c r="D52" s="182"/>
      <c r="E52" s="182"/>
      <c r="F52" s="183"/>
    </row>
    <row r="53" spans="3:6" ht="34.5" customHeight="1" thickBot="1" x14ac:dyDescent="0.4">
      <c r="C53" s="189" t="s">
        <v>212</v>
      </c>
      <c r="D53" s="189"/>
      <c r="E53" s="189"/>
      <c r="F53" s="55"/>
    </row>
    <row r="54" spans="3:6" ht="28" customHeight="1" thickBot="1" x14ac:dyDescent="0.4">
      <c r="C54" s="175" t="s">
        <v>208</v>
      </c>
      <c r="D54" s="176"/>
      <c r="E54" s="47" t="s">
        <v>155</v>
      </c>
      <c r="F54" s="55"/>
    </row>
    <row r="55" spans="3:6" ht="13.5" hidden="1" customHeight="1" thickBot="1" x14ac:dyDescent="0.4">
      <c r="C55" s="169" t="s">
        <v>169</v>
      </c>
      <c r="D55" s="170"/>
      <c r="E55" s="171"/>
      <c r="F55" s="55"/>
    </row>
    <row r="56" spans="3:6" ht="54" hidden="1" customHeight="1" thickBot="1" x14ac:dyDescent="0.4">
      <c r="C56" s="172"/>
      <c r="D56" s="173"/>
      <c r="E56" s="174"/>
      <c r="F56" s="55"/>
    </row>
    <row r="57" spans="3:6" ht="20.149999999999999" customHeight="1" thickBot="1" x14ac:dyDescent="0.4">
      <c r="C57" s="55"/>
      <c r="D57" s="55"/>
      <c r="E57" s="55"/>
      <c r="F57" s="55"/>
    </row>
    <row r="58" spans="3:6" ht="20.149999999999999" customHeight="1" thickBot="1" x14ac:dyDescent="0.4">
      <c r="C58" s="175" t="s">
        <v>209</v>
      </c>
      <c r="D58" s="176"/>
      <c r="E58" s="47" t="s">
        <v>156</v>
      </c>
      <c r="F58" s="55"/>
    </row>
    <row r="59" spans="3:6" ht="20.149999999999999" customHeight="1" x14ac:dyDescent="0.35">
      <c r="C59" s="55"/>
      <c r="D59" s="55"/>
      <c r="E59" s="55"/>
      <c r="F59" s="55"/>
    </row>
    <row r="60" spans="3:6" ht="20.149999999999999" hidden="1" customHeight="1" thickBot="1" x14ac:dyDescent="0.4">
      <c r="C60" s="55"/>
      <c r="D60" s="55"/>
      <c r="E60" s="55"/>
      <c r="F60" s="55"/>
    </row>
    <row r="61" spans="3:6" ht="20.149999999999999" hidden="1" customHeight="1" thickBot="1" x14ac:dyDescent="0.4">
      <c r="C61" s="175" t="s">
        <v>210</v>
      </c>
      <c r="D61" s="176"/>
      <c r="E61" s="47"/>
      <c r="F61" s="55"/>
    </row>
    <row r="62" spans="3:6" ht="20.149999999999999" hidden="1" customHeight="1" x14ac:dyDescent="0.35">
      <c r="C62" s="55"/>
      <c r="D62" s="55"/>
      <c r="E62" s="55"/>
      <c r="F62" s="55"/>
    </row>
    <row r="63" spans="3:6" ht="20.149999999999999" customHeight="1" thickBot="1" x14ac:dyDescent="0.4">
      <c r="C63" s="55"/>
      <c r="D63" s="55"/>
      <c r="E63" s="55"/>
      <c r="F63" s="55"/>
    </row>
    <row r="64" spans="3:6" ht="20.149999999999999" customHeight="1" thickBot="1" x14ac:dyDescent="0.4">
      <c r="C64" s="175" t="s">
        <v>211</v>
      </c>
      <c r="D64" s="176"/>
      <c r="E64" s="47" t="s">
        <v>155</v>
      </c>
      <c r="F64" s="55"/>
    </row>
    <row r="65" spans="3:6" ht="20.149999999999999" hidden="1" customHeight="1" x14ac:dyDescent="0.35">
      <c r="C65" s="55"/>
      <c r="D65" s="55"/>
      <c r="E65" s="67"/>
      <c r="F65" s="55"/>
    </row>
    <row r="66" spans="3:6" ht="14.5" hidden="1" customHeight="1" x14ac:dyDescent="0.35">
      <c r="C66" s="55"/>
      <c r="D66" s="55"/>
      <c r="E66" s="55"/>
      <c r="F66" s="55"/>
    </row>
    <row r="67" spans="3:6" ht="14.5" hidden="1" customHeight="1" x14ac:dyDescent="0.35">
      <c r="C67" s="55"/>
      <c r="D67" s="55"/>
      <c r="E67" s="55"/>
      <c r="F67" s="55"/>
    </row>
    <row r="68" spans="3:6" ht="9.65" hidden="1" customHeight="1" thickBot="1" x14ac:dyDescent="0.4">
      <c r="C68" s="55"/>
      <c r="D68" s="55"/>
      <c r="E68" s="55"/>
      <c r="F68" s="55"/>
    </row>
    <row r="69" spans="3:6" ht="34" hidden="1" customHeight="1" thickBot="1" x14ac:dyDescent="0.4">
      <c r="C69" s="175" t="s">
        <v>346</v>
      </c>
      <c r="D69" s="176"/>
      <c r="E69" s="47"/>
      <c r="F69" s="55"/>
    </row>
    <row r="70" spans="3:6" ht="17.149999999999999" hidden="1" customHeight="1" thickBot="1" x14ac:dyDescent="0.4">
      <c r="C70" s="55"/>
      <c r="D70" s="55"/>
      <c r="E70" s="55"/>
      <c r="F70" s="55"/>
    </row>
    <row r="71" spans="3:6" ht="20.149999999999999" customHeight="1" thickBot="1" x14ac:dyDescent="0.4">
      <c r="C71" s="169" t="s">
        <v>169</v>
      </c>
      <c r="D71" s="170"/>
      <c r="E71" s="171"/>
      <c r="F71" s="55"/>
    </row>
    <row r="72" spans="3:6" ht="62.5" customHeight="1" thickBot="1" x14ac:dyDescent="0.4">
      <c r="C72" s="172" t="s">
        <v>508</v>
      </c>
      <c r="D72" s="173"/>
      <c r="E72" s="174"/>
      <c r="F72" s="55"/>
    </row>
    <row r="73" spans="3:6" ht="14.5" hidden="1" customHeight="1" thickBot="1" x14ac:dyDescent="0.4">
      <c r="C73" s="55"/>
      <c r="D73" s="55"/>
      <c r="E73" s="55"/>
      <c r="F73" s="55"/>
    </row>
    <row r="74" spans="3:6" ht="14.5" customHeight="1" thickBot="1" x14ac:dyDescent="0.4">
      <c r="C74" s="169" t="s">
        <v>364</v>
      </c>
      <c r="D74" s="170"/>
      <c r="E74" s="171"/>
      <c r="F74" s="55"/>
    </row>
    <row r="75" spans="3:6" ht="66.650000000000006" customHeight="1" thickBot="1" x14ac:dyDescent="0.4">
      <c r="C75" s="172" t="s">
        <v>509</v>
      </c>
      <c r="D75" s="173"/>
      <c r="E75" s="174"/>
      <c r="F75" s="55"/>
    </row>
  </sheetData>
  <sheetProtection selectLockedCells="1"/>
  <mergeCells count="34">
    <mergeCell ref="C8:F8"/>
    <mergeCell ref="D12:F12"/>
    <mergeCell ref="D13:F13"/>
    <mergeCell ref="D14:F14"/>
    <mergeCell ref="D15:F15"/>
    <mergeCell ref="C20:D20"/>
    <mergeCell ref="C19:D19"/>
    <mergeCell ref="C54:D54"/>
    <mergeCell ref="C21:D21"/>
    <mergeCell ref="C22:D22"/>
    <mergeCell ref="C23:D23"/>
    <mergeCell ref="C24:D24"/>
    <mergeCell ref="D26:F26"/>
    <mergeCell ref="C39:E39"/>
    <mergeCell ref="C41:F41"/>
    <mergeCell ref="C43:E43"/>
    <mergeCell ref="C44:E44"/>
    <mergeCell ref="C53:E53"/>
    <mergeCell ref="C47:F47"/>
    <mergeCell ref="C49:F49"/>
    <mergeCell ref="C50:F50"/>
    <mergeCell ref="C56:E56"/>
    <mergeCell ref="C69:D69"/>
    <mergeCell ref="C71:E71"/>
    <mergeCell ref="C72:E72"/>
    <mergeCell ref="C45:E45"/>
    <mergeCell ref="C55:E55"/>
    <mergeCell ref="C51:F51"/>
    <mergeCell ref="C52:F52"/>
    <mergeCell ref="C74:E74"/>
    <mergeCell ref="C75:E75"/>
    <mergeCell ref="C58:D58"/>
    <mergeCell ref="C61:D61"/>
    <mergeCell ref="C64:D64"/>
  </mergeCells>
  <conditionalFormatting sqref="E20:F24 D26:F26 F39 F43:F45 C50:F50 E54 C75:E75 C52:F52">
    <cfRule type="cellIs" dxfId="19" priority="1" operator="equal">
      <formula>$B$5</formula>
    </cfRule>
  </conditionalFormatting>
  <dataValidations count="2">
    <dataValidation type="list" allowBlank="1" showInputMessage="1" showErrorMessage="1" sqref="O13" xr:uid="{00000000-0002-0000-0300-000000000000}">
      <formula1>"High,Medium,Low"</formula1>
    </dataValidation>
    <dataValidation type="list" allowBlank="1" showInputMessage="1" showErrorMessage="1" sqref="E59 E62:E65" xr:uid="{00000000-0002-0000-03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Mapping!$A$2:$A$4</xm:f>
          </x14:formula1>
          <xm:sqref>E58 E69:E70 E61 E43:F45</xm:sqref>
        </x14:dataValidation>
        <x14:dataValidation type="list" allowBlank="1" showInputMessage="1" showErrorMessage="1" xr:uid="{00000000-0002-0000-0300-000003000000}">
          <x14:formula1>
            <xm:f>Mapping!$A$2:$A$3</xm:f>
          </x14:formula1>
          <xm:sqref>F39 E20:E24</xm:sqref>
        </x14:dataValidation>
        <x14:dataValidation type="list" allowBlank="1" showInputMessage="1" showErrorMessage="1" xr:uid="{00000000-0002-0000-0300-000004000000}">
          <x14:formula1>
            <xm:f>Mapping!$A$2</xm:f>
          </x14:formula1>
          <xm:sqref>E54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1:I32"/>
  <sheetViews>
    <sheetView zoomScale="70" zoomScaleNormal="70" workbookViewId="0">
      <selection activeCell="H6" sqref="H6"/>
    </sheetView>
  </sheetViews>
  <sheetFormatPr defaultColWidth="9.1796875" defaultRowHeight="14.5" customHeight="1" x14ac:dyDescent="0.35"/>
  <cols>
    <col min="1" max="3" width="9.1796875" style="16" customWidth="1"/>
    <col min="4" max="4" width="91.453125" style="16" customWidth="1"/>
    <col min="5" max="6" width="9.1796875" style="16" customWidth="1"/>
    <col min="7" max="7" width="20.1796875" style="16" bestFit="1" customWidth="1"/>
    <col min="8" max="8" width="53.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9" x14ac:dyDescent="0.35"/>
    <row r="2" spans="4:9" ht="10" customHeight="1" x14ac:dyDescent="0.35"/>
    <row r="3" spans="4:9" ht="5.5" customHeight="1" x14ac:dyDescent="0.35"/>
    <row r="4" spans="4:9" ht="7.5" customHeight="1" x14ac:dyDescent="0.35"/>
    <row r="5" spans="4:9" x14ac:dyDescent="0.35">
      <c r="E5" s="17"/>
      <c r="F5" s="17"/>
    </row>
    <row r="6" spans="4:9" ht="15" thickBot="1" x14ac:dyDescent="0.4">
      <c r="E6" s="17"/>
      <c r="F6" s="17"/>
    </row>
    <row r="7" spans="4:9" ht="15" thickBot="1" x14ac:dyDescent="0.4">
      <c r="D7" s="195" t="s">
        <v>170</v>
      </c>
      <c r="E7" s="196"/>
      <c r="F7" s="196"/>
      <c r="G7" s="196"/>
      <c r="H7" s="197"/>
    </row>
    <row r="8" spans="4:9" ht="25" customHeight="1" thickBot="1" x14ac:dyDescent="0.4">
      <c r="D8" s="172" t="s">
        <v>171</v>
      </c>
      <c r="E8" s="173"/>
      <c r="F8" s="173"/>
      <c r="G8" s="173"/>
      <c r="H8" s="174"/>
    </row>
    <row r="9" spans="4:9" ht="15" customHeight="1" x14ac:dyDescent="0.35"/>
    <row r="10" spans="4:9" ht="15" customHeight="1" x14ac:dyDescent="0.35">
      <c r="D10" s="20" t="s">
        <v>172</v>
      </c>
    </row>
    <row r="11" spans="4:9" ht="15" customHeight="1" x14ac:dyDescent="0.35">
      <c r="D11" s="16" t="s">
        <v>173</v>
      </c>
    </row>
    <row r="12" spans="4:9" ht="25" customHeight="1" thickBot="1" x14ac:dyDescent="0.4">
      <c r="D12" s="23" t="s">
        <v>221</v>
      </c>
      <c r="I12" s="99"/>
    </row>
    <row r="13" spans="4:9" ht="15" customHeight="1" thickBot="1" x14ac:dyDescent="0.4">
      <c r="D13" s="172" t="s">
        <v>174</v>
      </c>
      <c r="E13" s="173"/>
      <c r="F13" s="173"/>
      <c r="G13" s="173"/>
      <c r="H13" s="174"/>
    </row>
    <row r="14" spans="4:9" s="21" customFormat="1" ht="80.150000000000006" customHeight="1" thickBot="1" x14ac:dyDescent="0.4">
      <c r="D14" s="198" t="s">
        <v>222</v>
      </c>
      <c r="E14" s="199"/>
      <c r="F14" s="199"/>
      <c r="G14" s="199"/>
      <c r="H14" s="200"/>
    </row>
    <row r="15" spans="4:9" ht="15" customHeight="1" thickBot="1" x14ac:dyDescent="0.4"/>
    <row r="16" spans="4:9" ht="25" customHeight="1" thickBot="1" x14ac:dyDescent="0.4">
      <c r="D16" s="195" t="s">
        <v>223</v>
      </c>
      <c r="E16" s="196"/>
      <c r="F16" s="196"/>
      <c r="G16" s="196"/>
      <c r="H16" s="197"/>
    </row>
    <row r="17" spans="4:8" ht="25" customHeight="1" thickBot="1" x14ac:dyDescent="0.4">
      <c r="D17" s="172" t="s">
        <v>176</v>
      </c>
      <c r="E17" s="173"/>
      <c r="F17" s="173"/>
      <c r="G17" s="173"/>
      <c r="H17" s="174"/>
    </row>
    <row r="18" spans="4:8" ht="25" customHeight="1" thickBot="1" x14ac:dyDescent="0.4">
      <c r="D18" s="172" t="s">
        <v>177</v>
      </c>
      <c r="E18" s="173"/>
      <c r="F18" s="173"/>
      <c r="G18" s="173"/>
      <c r="H18" s="174"/>
    </row>
    <row r="19" spans="4:8" ht="25" customHeight="1" thickBot="1" x14ac:dyDescent="0.4">
      <c r="D19" s="172" t="s">
        <v>178</v>
      </c>
      <c r="E19" s="173"/>
      <c r="F19" s="173"/>
      <c r="G19" s="173"/>
      <c r="H19" s="174"/>
    </row>
    <row r="20" spans="4:8" ht="15" customHeight="1" x14ac:dyDescent="0.35"/>
    <row r="21" spans="4:8" ht="15" customHeight="1" thickBot="1" x14ac:dyDescent="0.4">
      <c r="D21" s="20" t="s">
        <v>179</v>
      </c>
    </row>
    <row r="22" spans="4:8" ht="22" customHeight="1" thickBot="1" x14ac:dyDescent="0.4">
      <c r="D22" s="68" t="s">
        <v>180</v>
      </c>
      <c r="E22" s="68" t="s">
        <v>174</v>
      </c>
      <c r="F22" s="68" t="s">
        <v>175</v>
      </c>
      <c r="G22" s="68" t="s">
        <v>181</v>
      </c>
      <c r="H22" s="68" t="s">
        <v>182</v>
      </c>
    </row>
    <row r="23" spans="4:8" ht="111.5" customHeight="1" thickBot="1" x14ac:dyDescent="0.4">
      <c r="D23" s="108" t="s">
        <v>428</v>
      </c>
      <c r="E23" s="47" t="s">
        <v>155</v>
      </c>
      <c r="F23" s="47" t="s">
        <v>155</v>
      </c>
      <c r="G23" s="109" t="str">
        <f t="shared" ref="G23:G26" si="0">IF(OR(E23="",F23=""),"",IF(AND(E23="Yes",F23="Yes"),"Yes",IF(AND(E23="No",F23="No"),"No","Error")))</f>
        <v>Yes</v>
      </c>
      <c r="H23" s="47" t="s">
        <v>511</v>
      </c>
    </row>
    <row r="24" spans="4:8" ht="98" customHeight="1" thickBot="1" x14ac:dyDescent="0.4">
      <c r="D24" s="108" t="s">
        <v>429</v>
      </c>
      <c r="E24" s="47" t="s">
        <v>155</v>
      </c>
      <c r="F24" s="47" t="s">
        <v>155</v>
      </c>
      <c r="G24" s="109" t="str">
        <f t="shared" si="0"/>
        <v>Yes</v>
      </c>
      <c r="H24" s="47" t="s">
        <v>510</v>
      </c>
    </row>
    <row r="25" spans="4:8" ht="88" customHeight="1" thickBot="1" x14ac:dyDescent="0.4">
      <c r="D25" s="108" t="s">
        <v>415</v>
      </c>
      <c r="E25" s="47" t="s">
        <v>156</v>
      </c>
      <c r="F25" s="47" t="s">
        <v>156</v>
      </c>
      <c r="G25" s="109" t="str">
        <f t="shared" si="0"/>
        <v>No</v>
      </c>
      <c r="H25" s="47" t="s">
        <v>430</v>
      </c>
    </row>
    <row r="26" spans="4:8" ht="40" customHeight="1" thickBot="1" x14ac:dyDescent="0.4">
      <c r="D26" s="108"/>
      <c r="E26" s="47"/>
      <c r="F26" s="47"/>
      <c r="G26" s="109" t="str">
        <f t="shared" si="0"/>
        <v/>
      </c>
      <c r="H26" s="47"/>
    </row>
    <row r="27" spans="4:8" ht="15" thickBot="1" x14ac:dyDescent="0.4"/>
    <row r="28" spans="4:8" ht="15" thickBot="1" x14ac:dyDescent="0.4">
      <c r="D28" s="201" t="s">
        <v>169</v>
      </c>
      <c r="E28" s="202"/>
      <c r="F28" s="202"/>
      <c r="G28" s="202"/>
      <c r="H28" s="203"/>
    </row>
    <row r="29" spans="4:8" ht="80.5" customHeight="1" thickBot="1" x14ac:dyDescent="0.4">
      <c r="D29" s="192" t="s">
        <v>527</v>
      </c>
      <c r="E29" s="193"/>
      <c r="F29" s="193"/>
      <c r="G29" s="193"/>
      <c r="H29" s="194"/>
    </row>
    <row r="30" spans="4:8" x14ac:dyDescent="0.35"/>
    <row r="31" spans="4:8" x14ac:dyDescent="0.35"/>
    <row r="32" spans="4:8" x14ac:dyDescent="0.35"/>
  </sheetData>
  <sheetProtection selectLockedCells="1"/>
  <mergeCells count="10">
    <mergeCell ref="D29:H29"/>
    <mergeCell ref="D16:H16"/>
    <mergeCell ref="D14:H14"/>
    <mergeCell ref="D13:H13"/>
    <mergeCell ref="D7:H7"/>
    <mergeCell ref="D8:H8"/>
    <mergeCell ref="D28:H28"/>
    <mergeCell ref="D17:H17"/>
    <mergeCell ref="D18:H18"/>
    <mergeCell ref="D19:H19"/>
  </mergeCells>
  <conditionalFormatting sqref="G23:G26">
    <cfRule type="containsText" dxfId="18" priority="3" operator="containsText" text="Error">
      <formula>NOT(ISERROR(SEARCH("Error",G23)))</formula>
    </cfRule>
  </conditionalFormatting>
  <conditionalFormatting sqref="H23:H26 D23:F26">
    <cfRule type="cellIs" dxfId="17" priority="2" operator="equal">
      <formula>$C$5</formula>
    </cfRule>
  </conditionalFormatting>
  <conditionalFormatting sqref="D29:H29">
    <cfRule type="cellIs" dxfId="16" priority="1" operator="equal">
      <formula>$C$5</formula>
    </cfRule>
  </conditionalFormatting>
  <dataValidations count="1">
    <dataValidation type="list" allowBlank="1" showInputMessage="1" showErrorMessage="1" sqref="O13" xr:uid="{00000000-0002-0000-04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Mapping!$A$2:$A$4</xm:f>
          </x14:formula1>
          <xm:sqref>E23:G26</xm:sqref>
        </x14:dataValidation>
        <x14:dataValidation type="list" allowBlank="1" showInputMessage="1" showErrorMessage="1" xr:uid="{00000000-0002-0000-0400-000002000000}">
          <x14:formula1>
            <xm:f>Mapping!$J$2:$J$7</xm:f>
          </x14:formula1>
          <xm:sqref>H23:H26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1:F119"/>
  <sheetViews>
    <sheetView zoomScale="85" zoomScaleNormal="85" workbookViewId="0">
      <selection activeCell="D10" sqref="D10:F10"/>
    </sheetView>
  </sheetViews>
  <sheetFormatPr defaultColWidth="9.1796875" defaultRowHeight="14.5" customHeight="1" x14ac:dyDescent="0.35"/>
  <cols>
    <col min="1" max="1" width="9.1796875" style="16" customWidth="1"/>
    <col min="2" max="2" width="13.81640625" style="16" customWidth="1"/>
    <col min="3" max="3" width="5.453125" style="16" customWidth="1"/>
    <col min="4" max="4" width="57" style="16" customWidth="1"/>
    <col min="5" max="5" width="25.81640625" style="16" customWidth="1"/>
    <col min="6" max="6" width="59.1796875" style="16" customWidth="1"/>
    <col min="7" max="16384" width="9.1796875" style="16"/>
  </cols>
  <sheetData>
    <row r="1" spans="3:6" x14ac:dyDescent="0.35"/>
    <row r="2" spans="3:6" x14ac:dyDescent="0.35"/>
    <row r="3" spans="3:6" x14ac:dyDescent="0.35"/>
    <row r="4" spans="3:6" x14ac:dyDescent="0.35"/>
    <row r="5" spans="3:6" ht="25" customHeight="1" thickBot="1" x14ac:dyDescent="0.4">
      <c r="E5" s="17"/>
      <c r="F5" s="17"/>
    </row>
    <row r="6" spans="3:6" ht="25" customHeight="1" thickBot="1" x14ac:dyDescent="0.4">
      <c r="D6" s="195" t="s">
        <v>233</v>
      </c>
      <c r="E6" s="196"/>
      <c r="F6" s="197"/>
    </row>
    <row r="7" spans="3:6" ht="50.15" customHeight="1" thickBot="1" x14ac:dyDescent="0.4">
      <c r="D7" s="172" t="s">
        <v>234</v>
      </c>
      <c r="E7" s="173"/>
      <c r="F7" s="174"/>
    </row>
    <row r="8" spans="3:6" ht="50.15" customHeight="1" thickBot="1" x14ac:dyDescent="0.4">
      <c r="D8" s="172" t="s">
        <v>235</v>
      </c>
      <c r="E8" s="173"/>
      <c r="F8" s="174"/>
    </row>
    <row r="9" spans="3:6" ht="14.15" customHeight="1" thickBot="1" x14ac:dyDescent="0.4">
      <c r="D9" s="172" t="s">
        <v>236</v>
      </c>
      <c r="E9" s="173"/>
      <c r="F9" s="174"/>
    </row>
    <row r="10" spans="3:6" ht="25" customHeight="1" thickBot="1" x14ac:dyDescent="0.4">
      <c r="C10" s="215" t="s">
        <v>350</v>
      </c>
      <c r="D10" s="217" t="s">
        <v>237</v>
      </c>
      <c r="E10" s="218"/>
      <c r="F10" s="219"/>
    </row>
    <row r="11" spans="3:6" ht="25" customHeight="1" thickBot="1" x14ac:dyDescent="0.4">
      <c r="C11" s="216"/>
      <c r="D11" s="220" t="s">
        <v>238</v>
      </c>
      <c r="E11" s="182"/>
      <c r="F11" s="221"/>
    </row>
    <row r="12" spans="3:6" ht="25" customHeight="1" thickBot="1" x14ac:dyDescent="0.4">
      <c r="C12" s="215" t="s">
        <v>239</v>
      </c>
      <c r="D12" s="217" t="s">
        <v>240</v>
      </c>
      <c r="E12" s="218"/>
      <c r="F12" s="219"/>
    </row>
    <row r="13" spans="3:6" ht="25" customHeight="1" thickBot="1" x14ac:dyDescent="0.4">
      <c r="C13" s="216"/>
      <c r="D13" s="220" t="s">
        <v>241</v>
      </c>
      <c r="E13" s="182"/>
      <c r="F13" s="221"/>
    </row>
    <row r="14" spans="3:6" ht="25" customHeight="1" thickBot="1" x14ac:dyDescent="0.4">
      <c r="C14" s="215" t="s">
        <v>242</v>
      </c>
      <c r="D14" s="217" t="s">
        <v>243</v>
      </c>
      <c r="E14" s="218"/>
      <c r="F14" s="219"/>
    </row>
    <row r="15" spans="3:6" ht="25" customHeight="1" thickBot="1" x14ac:dyDescent="0.4">
      <c r="C15" s="216"/>
      <c r="D15" s="220" t="s">
        <v>244</v>
      </c>
      <c r="E15" s="182"/>
      <c r="F15" s="221"/>
    </row>
    <row r="16" spans="3:6" ht="25" customHeight="1" thickBot="1" x14ac:dyDescent="0.4">
      <c r="C16" s="215" t="s">
        <v>245</v>
      </c>
      <c r="D16" s="217" t="s">
        <v>246</v>
      </c>
      <c r="E16" s="218"/>
      <c r="F16" s="219"/>
    </row>
    <row r="17" spans="3:6" ht="25" customHeight="1" thickBot="1" x14ac:dyDescent="0.4">
      <c r="C17" s="216"/>
      <c r="D17" s="220" t="s">
        <v>247</v>
      </c>
      <c r="E17" s="182"/>
      <c r="F17" s="221"/>
    </row>
    <row r="18" spans="3:6" ht="15" thickBot="1" x14ac:dyDescent="0.4"/>
    <row r="19" spans="3:6" ht="19.5" customHeight="1" thickBot="1" x14ac:dyDescent="0.4">
      <c r="D19" s="210" t="s">
        <v>248</v>
      </c>
      <c r="E19" s="211"/>
      <c r="F19" s="212"/>
    </row>
    <row r="20" spans="3:6" ht="31.5" customHeight="1" thickBot="1" x14ac:dyDescent="0.4">
      <c r="D20" s="213" t="s">
        <v>249</v>
      </c>
      <c r="E20" s="214"/>
      <c r="F20" s="50" t="s">
        <v>155</v>
      </c>
    </row>
    <row r="21" spans="3:6" ht="35.5" customHeight="1" thickBot="1" x14ac:dyDescent="0.4">
      <c r="D21" s="172" t="s">
        <v>250</v>
      </c>
      <c r="E21" s="174"/>
      <c r="F21" s="50" t="s">
        <v>155</v>
      </c>
    </row>
    <row r="22" spans="3:6" ht="15" thickBot="1" x14ac:dyDescent="0.4"/>
    <row r="23" spans="3:6" ht="24" customHeight="1" thickBot="1" x14ac:dyDescent="0.4">
      <c r="D23" s="210" t="s">
        <v>380</v>
      </c>
      <c r="E23" s="211"/>
      <c r="F23" s="212"/>
    </row>
    <row r="24" spans="3:6" ht="25" customHeight="1" thickBot="1" x14ac:dyDescent="0.4">
      <c r="D24" s="106" t="s">
        <v>431</v>
      </c>
      <c r="E24" s="109" t="str">
        <f t="shared" ref="E24:E27" si="0">IF(D24&lt;&gt;"","Refer Para no from Contract clauses","")</f>
        <v>Refer Para no from Contract clauses</v>
      </c>
      <c r="F24" s="75" t="s">
        <v>433</v>
      </c>
    </row>
    <row r="25" spans="3:6" ht="25" customHeight="1" thickBot="1" x14ac:dyDescent="0.4">
      <c r="D25" s="106" t="s">
        <v>432</v>
      </c>
      <c r="E25" s="109" t="str">
        <f t="shared" si="0"/>
        <v>Refer Para no from Contract clauses</v>
      </c>
      <c r="F25" s="75" t="s">
        <v>433</v>
      </c>
    </row>
    <row r="26" spans="3:6" ht="25" customHeight="1" thickBot="1" x14ac:dyDescent="0.4">
      <c r="D26" s="106" t="s">
        <v>465</v>
      </c>
      <c r="E26" s="109" t="str">
        <f t="shared" si="0"/>
        <v>Refer Para no from Contract clauses</v>
      </c>
      <c r="F26" s="75" t="s">
        <v>468</v>
      </c>
    </row>
    <row r="27" spans="3:6" ht="25" customHeight="1" thickBot="1" x14ac:dyDescent="0.4">
      <c r="D27" s="106" t="s">
        <v>467</v>
      </c>
      <c r="E27" s="109" t="str">
        <f t="shared" si="0"/>
        <v>Refer Para no from Contract clauses</v>
      </c>
      <c r="F27" s="75" t="s">
        <v>468</v>
      </c>
    </row>
    <row r="28" spans="3:6" ht="25" customHeight="1" thickBot="1" x14ac:dyDescent="0.4">
      <c r="D28" s="106" t="s">
        <v>475</v>
      </c>
      <c r="E28" s="109" t="str">
        <f t="shared" ref="E28:E32" si="1">IF(D28&lt;&gt;"","Refer Para no from Contract clauses","")</f>
        <v>Refer Para no from Contract clauses</v>
      </c>
      <c r="F28" s="75" t="s">
        <v>477</v>
      </c>
    </row>
    <row r="29" spans="3:6" ht="25" customHeight="1" thickBot="1" x14ac:dyDescent="0.4">
      <c r="D29" s="106" t="s">
        <v>483</v>
      </c>
      <c r="E29" s="109" t="str">
        <f t="shared" si="1"/>
        <v>Refer Para no from Contract clauses</v>
      </c>
      <c r="F29" s="75" t="s">
        <v>484</v>
      </c>
    </row>
    <row r="30" spans="3:6" ht="25" customHeight="1" thickBot="1" x14ac:dyDescent="0.4">
      <c r="D30" s="106" t="s">
        <v>515</v>
      </c>
      <c r="E30" s="109" t="str">
        <f t="shared" si="1"/>
        <v>Refer Para no from Contract clauses</v>
      </c>
      <c r="F30" s="75" t="s">
        <v>516</v>
      </c>
    </row>
    <row r="31" spans="3:6" ht="25" customHeight="1" thickBot="1" x14ac:dyDescent="0.4">
      <c r="D31" s="106"/>
      <c r="E31" s="109" t="str">
        <f t="shared" si="1"/>
        <v/>
      </c>
      <c r="F31" s="75"/>
    </row>
    <row r="32" spans="3:6" ht="25" customHeight="1" thickBot="1" x14ac:dyDescent="0.4">
      <c r="D32" s="106"/>
      <c r="E32" s="109" t="str">
        <f t="shared" si="1"/>
        <v/>
      </c>
      <c r="F32" s="75"/>
    </row>
    <row r="33" spans="4:6" ht="15" thickBot="1" x14ac:dyDescent="0.4"/>
    <row r="34" spans="4:6" ht="25" customHeight="1" thickBot="1" x14ac:dyDescent="0.4">
      <c r="D34" s="213" t="s">
        <v>254</v>
      </c>
      <c r="E34" s="214" t="s">
        <v>156</v>
      </c>
      <c r="F34" s="75" t="s">
        <v>155</v>
      </c>
    </row>
    <row r="35" spans="4:6" ht="25" customHeight="1" thickBot="1" x14ac:dyDescent="0.4">
      <c r="D35" s="213" t="s">
        <v>255</v>
      </c>
      <c r="E35" s="214" t="s">
        <v>156</v>
      </c>
      <c r="F35" s="75" t="s">
        <v>156</v>
      </c>
    </row>
    <row r="36" spans="4:6" ht="15" thickBot="1" x14ac:dyDescent="0.4"/>
    <row r="37" spans="4:6" ht="32.15" customHeight="1" thickBot="1" x14ac:dyDescent="0.4">
      <c r="D37" s="207" t="s">
        <v>256</v>
      </c>
      <c r="E37" s="208"/>
      <c r="F37" s="209"/>
    </row>
    <row r="38" spans="4:6" ht="83.5" customHeight="1" thickBot="1" x14ac:dyDescent="0.4">
      <c r="D38" s="204" t="s">
        <v>517</v>
      </c>
      <c r="E38" s="205"/>
      <c r="F38" s="206"/>
    </row>
    <row r="39" spans="4:6" ht="15" thickBot="1" x14ac:dyDescent="0.4">
      <c r="D39" s="51"/>
    </row>
    <row r="40" spans="4:6" ht="24" customHeight="1" thickBot="1" x14ac:dyDescent="0.4">
      <c r="D40" s="207" t="s">
        <v>257</v>
      </c>
      <c r="E40" s="208"/>
      <c r="F40" s="209"/>
    </row>
    <row r="41" spans="4:6" ht="22.5" customHeight="1" thickBot="1" x14ac:dyDescent="0.4">
      <c r="D41" s="52" t="s">
        <v>351</v>
      </c>
      <c r="E41" s="53" t="s">
        <v>305</v>
      </c>
      <c r="F41" s="54" t="s">
        <v>313</v>
      </c>
    </row>
    <row r="42" spans="4:6" ht="25" customHeight="1" thickBot="1" x14ac:dyDescent="0.4">
      <c r="D42" s="120" t="str">
        <f t="shared" ref="D42:D45" si="2">D24</f>
        <v>Service Credits</v>
      </c>
      <c r="E42" s="47" t="s">
        <v>307</v>
      </c>
      <c r="F42" s="121" t="str">
        <f>IF(E42&lt;&gt;"",IF(E42="Expected Value Method","The expected value is the sum of probability-weighted amounts in a range of possible consideration amounts.","The Most-likely amount is an appropriate estimate of the amount of variable consideration as the contract has only two possible outcomes"),"")</f>
        <v>The expected value is the sum of probability-weighted amounts in a range of possible consideration amounts.</v>
      </c>
    </row>
    <row r="43" spans="4:6" ht="25" customHeight="1" thickBot="1" x14ac:dyDescent="0.4">
      <c r="D43" s="120" t="str">
        <f t="shared" si="2"/>
        <v>Earnback</v>
      </c>
      <c r="E43" s="47" t="s">
        <v>308</v>
      </c>
      <c r="F43" s="121"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The Most-likely amount is an appropriate estimate of the amount of variable consideration as the contract has only two possible outcomes</v>
      </c>
    </row>
    <row r="44" spans="4:6" ht="25" customHeight="1" thickBot="1" x14ac:dyDescent="0.4">
      <c r="D44" s="120" t="str">
        <f t="shared" si="2"/>
        <v>Conditional Discount</v>
      </c>
      <c r="E44" s="47" t="s">
        <v>307</v>
      </c>
      <c r="F44" s="121" t="str">
        <f t="shared" si="3"/>
        <v>The expected value is the sum of probability-weighted amounts in a range of possible consideration amounts.</v>
      </c>
    </row>
    <row r="45" spans="4:6" ht="24.65" customHeight="1" thickBot="1" x14ac:dyDescent="0.4">
      <c r="D45" s="120" t="str">
        <f t="shared" si="2"/>
        <v>Volume Discount</v>
      </c>
      <c r="E45" s="47" t="s">
        <v>307</v>
      </c>
      <c r="F45" s="121" t="str">
        <f t="shared" si="3"/>
        <v>The expected value is the sum of probability-weighted amounts in a range of possible consideration amounts.</v>
      </c>
    </row>
    <row r="46" spans="4:6" ht="24.65" customHeight="1" thickBot="1" x14ac:dyDescent="0.4">
      <c r="D46" s="120" t="str">
        <f t="shared" ref="D46:D50" si="4">D28</f>
        <v>Gain Share</v>
      </c>
      <c r="E46" s="47" t="s">
        <v>308</v>
      </c>
      <c r="F46" s="121" t="str">
        <f t="shared" si="3"/>
        <v>The Most-likely amount is an appropriate estimate of the amount of variable consideration as the contract has only two possible outcomes</v>
      </c>
    </row>
    <row r="47" spans="4:6" ht="24.65" customHeight="1" thickBot="1" x14ac:dyDescent="0.4">
      <c r="D47" s="120" t="str">
        <f t="shared" si="4"/>
        <v>Most Favored pricing</v>
      </c>
      <c r="E47" s="47" t="s">
        <v>308</v>
      </c>
      <c r="F47" s="121" t="str">
        <f t="shared" si="3"/>
        <v>The Most-likely amount is an appropriate estimate of the amount of variable consideration as the contract has only two possible outcomes</v>
      </c>
    </row>
    <row r="48" spans="4:6" ht="24.65" customHeight="1" thickBot="1" x14ac:dyDescent="0.4">
      <c r="D48" s="120" t="str">
        <f t="shared" si="4"/>
        <v>Productivity Gain</v>
      </c>
      <c r="E48" s="47" t="s">
        <v>308</v>
      </c>
      <c r="F48" s="121" t="str">
        <f t="shared" si="3"/>
        <v>The Most-likely amount is an appropriate estimate of the amount of variable consideration as the contract has only two possible outcomes</v>
      </c>
    </row>
    <row r="49" spans="4:6" ht="24.65" customHeight="1" thickBot="1" x14ac:dyDescent="0.4">
      <c r="D49" s="120">
        <f t="shared" si="4"/>
        <v>0</v>
      </c>
      <c r="E49" s="47"/>
      <c r="F49" s="121" t="str">
        <f t="shared" si="3"/>
        <v/>
      </c>
    </row>
    <row r="50" spans="4:6" ht="24.65" customHeight="1" thickBot="1" x14ac:dyDescent="0.4">
      <c r="D50" s="120">
        <f t="shared" si="4"/>
        <v>0</v>
      </c>
      <c r="E50" s="47"/>
      <c r="F50" s="121" t="str">
        <f t="shared" si="3"/>
        <v/>
      </c>
    </row>
    <row r="51" spans="4:6" ht="25" customHeight="1" thickBot="1" x14ac:dyDescent="0.4"/>
    <row r="52" spans="4:6" ht="25" customHeight="1" thickBot="1" x14ac:dyDescent="0.4">
      <c r="D52" s="207" t="s">
        <v>312</v>
      </c>
      <c r="E52" s="208"/>
      <c r="F52" s="209"/>
    </row>
    <row r="53" spans="4:6" ht="289.5" customHeight="1" thickBot="1" x14ac:dyDescent="0.4">
      <c r="D53" s="204" t="s">
        <v>528</v>
      </c>
      <c r="E53" s="205"/>
      <c r="F53" s="206"/>
    </row>
    <row r="54" spans="4:6" ht="14.5" customHeight="1" thickBot="1" x14ac:dyDescent="0.4">
      <c r="D54" s="210" t="s">
        <v>258</v>
      </c>
      <c r="E54" s="211"/>
      <c r="F54" s="212"/>
    </row>
    <row r="55" spans="4:6" ht="30" customHeight="1" thickBot="1" x14ac:dyDescent="0.4">
      <c r="D55" s="213" t="s">
        <v>259</v>
      </c>
      <c r="E55" s="214" t="s">
        <v>156</v>
      </c>
      <c r="F55" s="75" t="s">
        <v>156</v>
      </c>
    </row>
    <row r="56" spans="4:6" ht="30" customHeight="1" thickBot="1" x14ac:dyDescent="0.4">
      <c r="D56" s="213" t="s">
        <v>260</v>
      </c>
      <c r="E56" s="214" t="s">
        <v>261</v>
      </c>
      <c r="F56" s="75" t="s">
        <v>156</v>
      </c>
    </row>
    <row r="57" spans="4:6" ht="30" customHeight="1" thickBot="1" x14ac:dyDescent="0.4">
      <c r="D57" s="213" t="s">
        <v>262</v>
      </c>
      <c r="E57" s="214" t="s">
        <v>156</v>
      </c>
      <c r="F57" s="75" t="s">
        <v>156</v>
      </c>
    </row>
    <row r="58" spans="4:6" ht="30" customHeight="1" thickBot="1" x14ac:dyDescent="0.4">
      <c r="D58" s="213" t="s">
        <v>263</v>
      </c>
      <c r="E58" s="214" t="s">
        <v>261</v>
      </c>
      <c r="F58" s="75" t="s">
        <v>156</v>
      </c>
    </row>
    <row r="59" spans="4:6" ht="30" customHeight="1" thickBot="1" x14ac:dyDescent="0.4">
      <c r="D59" s="213" t="s">
        <v>264</v>
      </c>
      <c r="E59" s="214" t="s">
        <v>261</v>
      </c>
      <c r="F59" s="75" t="s">
        <v>156</v>
      </c>
    </row>
    <row r="60" spans="4:6" ht="14.5" customHeight="1" thickBot="1" x14ac:dyDescent="0.4"/>
    <row r="61" spans="4:6" ht="31" hidden="1" customHeight="1" thickBot="1" x14ac:dyDescent="0.4">
      <c r="D61" s="225" t="s">
        <v>401</v>
      </c>
      <c r="E61" s="226"/>
      <c r="F61" s="227"/>
    </row>
    <row r="62" spans="4:6" ht="68.150000000000006" hidden="1" customHeight="1" thickBot="1" x14ac:dyDescent="0.4">
      <c r="D62" s="243"/>
      <c r="E62" s="244"/>
      <c r="F62" s="245"/>
    </row>
    <row r="63" spans="4:6" ht="25" customHeight="1" thickBot="1" x14ac:dyDescent="0.4">
      <c r="D63" s="228" t="s">
        <v>265</v>
      </c>
      <c r="E63" s="229" t="s">
        <v>155</v>
      </c>
      <c r="F63" s="75" t="s">
        <v>156</v>
      </c>
    </row>
    <row r="64" spans="4:6" ht="15" customHeight="1" thickBot="1" x14ac:dyDescent="0.4">
      <c r="D64" s="79" t="s">
        <v>381</v>
      </c>
    </row>
    <row r="65" spans="4:6" ht="281.5" customHeight="1" thickBot="1" x14ac:dyDescent="0.4">
      <c r="D65" s="204" t="s">
        <v>529</v>
      </c>
      <c r="E65" s="205"/>
      <c r="F65" s="206"/>
    </row>
    <row r="66" spans="4:6" ht="15" customHeight="1" x14ac:dyDescent="0.35"/>
    <row r="67" spans="4:6" ht="14.5" customHeight="1" x14ac:dyDescent="0.35">
      <c r="D67" s="230" t="s">
        <v>266</v>
      </c>
      <c r="E67" s="230"/>
      <c r="F67" s="230"/>
    </row>
    <row r="68" spans="4:6" ht="14.5" customHeight="1" thickBot="1" x14ac:dyDescent="0.4"/>
    <row r="69" spans="4:6" ht="25" customHeight="1" thickBot="1" x14ac:dyDescent="0.4">
      <c r="D69" s="228" t="s">
        <v>267</v>
      </c>
      <c r="E69" s="229" t="s">
        <v>261</v>
      </c>
      <c r="F69" s="75" t="s">
        <v>156</v>
      </c>
    </row>
    <row r="71" spans="4:6" ht="14.5" hidden="1" customHeight="1" thickBot="1" x14ac:dyDescent="0.4">
      <c r="D71" s="222" t="s">
        <v>309</v>
      </c>
      <c r="E71" s="223"/>
      <c r="F71" s="224"/>
    </row>
    <row r="72" spans="4:6" ht="42.65" hidden="1" customHeight="1" thickBot="1" x14ac:dyDescent="0.4">
      <c r="D72" s="204"/>
      <c r="E72" s="205"/>
      <c r="F72" s="206"/>
    </row>
    <row r="73" spans="4:6" ht="14.5" hidden="1" customHeight="1" thickBot="1" x14ac:dyDescent="0.4"/>
    <row r="74" spans="4:6" ht="33.65" hidden="1" customHeight="1" thickBot="1" x14ac:dyDescent="0.4">
      <c r="D74" s="207" t="s">
        <v>352</v>
      </c>
      <c r="E74" s="208"/>
      <c r="F74" s="209"/>
    </row>
    <row r="75" spans="4:6" ht="38.5" hidden="1" customHeight="1" thickBot="1" x14ac:dyDescent="0.4">
      <c r="D75" s="204"/>
      <c r="E75" s="205"/>
      <c r="F75" s="206"/>
    </row>
    <row r="76" spans="4:6" ht="14.5" hidden="1" customHeight="1" thickBot="1" x14ac:dyDescent="0.4"/>
    <row r="77" spans="4:6" ht="33" hidden="1" customHeight="1" thickBot="1" x14ac:dyDescent="0.4">
      <c r="D77" s="207" t="s">
        <v>310</v>
      </c>
      <c r="E77" s="208"/>
      <c r="F77" s="209"/>
    </row>
    <row r="78" spans="4:6" ht="38.5" hidden="1" customHeight="1" thickBot="1" x14ac:dyDescent="0.4">
      <c r="D78" s="213" t="s">
        <v>311</v>
      </c>
      <c r="E78" s="214"/>
      <c r="F78" s="75"/>
    </row>
    <row r="79" spans="4:6" ht="14.5" hidden="1" customHeight="1" thickBot="1" x14ac:dyDescent="0.4"/>
    <row r="80" spans="4:6" ht="29.15" hidden="1" customHeight="1" thickBot="1" x14ac:dyDescent="0.4">
      <c r="D80" s="207" t="s">
        <v>310</v>
      </c>
      <c r="E80" s="208"/>
      <c r="F80" s="209"/>
    </row>
    <row r="81" spans="4:6" ht="30" hidden="1" customHeight="1" thickBot="1" x14ac:dyDescent="0.4">
      <c r="D81" s="204"/>
      <c r="E81" s="205"/>
      <c r="F81" s="206"/>
    </row>
    <row r="82" spans="4:6" ht="25" hidden="1" customHeight="1" x14ac:dyDescent="0.35"/>
    <row r="83" spans="4:6" ht="14.5" customHeight="1" thickBot="1" x14ac:dyDescent="0.4"/>
    <row r="84" spans="4:6" ht="14.5" customHeight="1" thickBot="1" x14ac:dyDescent="0.4">
      <c r="D84" s="222" t="s">
        <v>280</v>
      </c>
      <c r="E84" s="223"/>
      <c r="F84" s="224"/>
    </row>
    <row r="85" spans="4:6" ht="14.5" customHeight="1" thickBot="1" x14ac:dyDescent="0.4">
      <c r="D85" s="210" t="s">
        <v>199</v>
      </c>
      <c r="E85" s="211"/>
      <c r="F85" s="212"/>
    </row>
    <row r="86" spans="4:6" ht="40" customHeight="1" thickBot="1" x14ac:dyDescent="0.4">
      <c r="D86" s="204" t="s">
        <v>268</v>
      </c>
      <c r="E86" s="205"/>
      <c r="F86" s="206"/>
    </row>
    <row r="87" spans="4:6" ht="14.5" customHeight="1" thickBot="1" x14ac:dyDescent="0.4"/>
    <row r="88" spans="4:6" ht="32.5" customHeight="1" thickBot="1" x14ac:dyDescent="0.4">
      <c r="D88" s="228" t="s">
        <v>269</v>
      </c>
      <c r="E88" s="229" t="s">
        <v>156</v>
      </c>
      <c r="F88" s="75" t="s">
        <v>155</v>
      </c>
    </row>
    <row r="89" spans="4:6" ht="14.5" customHeight="1" thickBot="1" x14ac:dyDescent="0.4"/>
    <row r="90" spans="4:6" ht="14.5" customHeight="1" thickBot="1" x14ac:dyDescent="0.4">
      <c r="D90" s="234" t="s">
        <v>173</v>
      </c>
      <c r="E90" s="235"/>
      <c r="F90" s="236"/>
    </row>
    <row r="91" spans="4:6" ht="42" customHeight="1" thickBot="1" x14ac:dyDescent="0.4">
      <c r="D91" s="237" t="s">
        <v>353</v>
      </c>
      <c r="E91" s="238"/>
      <c r="F91" s="239"/>
    </row>
    <row r="92" spans="4:6" ht="15" customHeight="1" thickBot="1" x14ac:dyDescent="0.4">
      <c r="D92" s="231" t="s">
        <v>434</v>
      </c>
      <c r="E92" s="232"/>
      <c r="F92" s="233"/>
    </row>
    <row r="93" spans="4:6" ht="15" customHeight="1" thickBot="1" x14ac:dyDescent="0.4">
      <c r="D93" s="240" t="s">
        <v>530</v>
      </c>
      <c r="E93" s="241"/>
      <c r="F93" s="242"/>
    </row>
    <row r="94" spans="4:6" ht="15" customHeight="1" thickBot="1" x14ac:dyDescent="0.4">
      <c r="D94" s="231"/>
      <c r="E94" s="232"/>
      <c r="F94" s="233"/>
    </row>
    <row r="95" spans="4:6" ht="15" customHeight="1" thickBot="1" x14ac:dyDescent="0.4">
      <c r="D95" s="231"/>
      <c r="E95" s="232"/>
      <c r="F95" s="233"/>
    </row>
    <row r="96" spans="4:6" ht="14.5" customHeight="1" thickBot="1" x14ac:dyDescent="0.4"/>
    <row r="97" spans="4:6" ht="28.5" customHeight="1" thickBot="1" x14ac:dyDescent="0.4">
      <c r="D97" s="201" t="s">
        <v>359</v>
      </c>
      <c r="E97" s="203"/>
      <c r="F97" s="50" t="s">
        <v>156</v>
      </c>
    </row>
    <row r="98" spans="4:6" ht="14.5" customHeight="1" thickBot="1" x14ac:dyDescent="0.4"/>
    <row r="99" spans="4:6" ht="25" customHeight="1" thickBot="1" x14ac:dyDescent="0.4">
      <c r="D99" s="222" t="s">
        <v>270</v>
      </c>
      <c r="E99" s="223"/>
      <c r="F99" s="224"/>
    </row>
    <row r="100" spans="4:6" ht="25" customHeight="1" thickBot="1" x14ac:dyDescent="0.4">
      <c r="D100" s="201" t="s">
        <v>354</v>
      </c>
      <c r="E100" s="203" t="s">
        <v>157</v>
      </c>
      <c r="F100" s="50" t="s">
        <v>157</v>
      </c>
    </row>
    <row r="101" spans="4:6" ht="25" hidden="1" customHeight="1" thickBot="1" x14ac:dyDescent="0.4">
      <c r="D101" s="201" t="s">
        <v>355</v>
      </c>
      <c r="E101" s="203" t="s">
        <v>157</v>
      </c>
      <c r="F101" s="50" t="s">
        <v>156</v>
      </c>
    </row>
    <row r="102" spans="4:6" ht="14.5" customHeight="1" thickBot="1" x14ac:dyDescent="0.4"/>
    <row r="103" spans="4:6" ht="14.5" customHeight="1" thickBot="1" x14ac:dyDescent="0.4">
      <c r="D103" s="210" t="s">
        <v>356</v>
      </c>
      <c r="E103" s="211"/>
      <c r="F103" s="212"/>
    </row>
    <row r="104" spans="4:6" ht="65.5" customHeight="1" thickBot="1" x14ac:dyDescent="0.4">
      <c r="D104" s="204" t="s">
        <v>435</v>
      </c>
      <c r="E104" s="205"/>
      <c r="F104" s="206"/>
    </row>
    <row r="107" spans="4:6" ht="14.5" customHeight="1" thickBot="1" x14ac:dyDescent="0.4"/>
    <row r="108" spans="4:6" ht="14.5" customHeight="1" thickBot="1" x14ac:dyDescent="0.4">
      <c r="D108" s="210" t="s">
        <v>271</v>
      </c>
      <c r="E108" s="211"/>
      <c r="F108" s="212"/>
    </row>
    <row r="109" spans="4:6" ht="41.5" customHeight="1" thickBot="1" x14ac:dyDescent="0.4">
      <c r="D109" s="201" t="s">
        <v>272</v>
      </c>
      <c r="E109" s="203" t="s">
        <v>155</v>
      </c>
      <c r="F109" s="75" t="s">
        <v>155</v>
      </c>
    </row>
    <row r="110" spans="4:6" ht="14.5" customHeight="1" thickBot="1" x14ac:dyDescent="0.4"/>
    <row r="111" spans="4:6" ht="25" customHeight="1" thickBot="1" x14ac:dyDescent="0.4">
      <c r="D111" s="222" t="s">
        <v>273</v>
      </c>
      <c r="E111" s="223"/>
      <c r="F111" s="224"/>
    </row>
    <row r="112" spans="4:6" ht="25" customHeight="1" thickBot="1" x14ac:dyDescent="0.4">
      <c r="D112" s="172" t="s">
        <v>274</v>
      </c>
      <c r="E112" s="174" t="s">
        <v>156</v>
      </c>
      <c r="F112" s="75" t="s">
        <v>156</v>
      </c>
    </row>
    <row r="113" spans="4:6" ht="25" customHeight="1" thickBot="1" x14ac:dyDescent="0.4">
      <c r="D113" s="172" t="s">
        <v>275</v>
      </c>
      <c r="E113" s="174" t="s">
        <v>261</v>
      </c>
      <c r="F113" s="75" t="s">
        <v>156</v>
      </c>
    </row>
    <row r="114" spans="4:6" ht="25" customHeight="1" thickBot="1" x14ac:dyDescent="0.4">
      <c r="D114" s="172" t="s">
        <v>276</v>
      </c>
      <c r="E114" s="174" t="s">
        <v>277</v>
      </c>
      <c r="F114" s="75" t="s">
        <v>156</v>
      </c>
    </row>
    <row r="115" spans="4:6" ht="14.5" customHeight="1" thickBot="1" x14ac:dyDescent="0.4"/>
    <row r="116" spans="4:6" ht="14.5" customHeight="1" thickBot="1" x14ac:dyDescent="0.4">
      <c r="D116" s="210" t="s">
        <v>278</v>
      </c>
      <c r="E116" s="211"/>
      <c r="F116" s="212"/>
    </row>
    <row r="117" spans="4:6" ht="54.5" customHeight="1" thickBot="1" x14ac:dyDescent="0.4">
      <c r="D117" s="204" t="s">
        <v>423</v>
      </c>
      <c r="E117" s="205"/>
      <c r="F117" s="206"/>
    </row>
    <row r="118" spans="4:6" ht="14.5" customHeight="1" thickBot="1" x14ac:dyDescent="0.4"/>
    <row r="119" spans="4:6" ht="26.5" customHeight="1" thickBot="1" x14ac:dyDescent="0.4">
      <c r="D119" s="201" t="s">
        <v>279</v>
      </c>
      <c r="E119" s="203"/>
      <c r="F119" s="75" t="s">
        <v>156</v>
      </c>
    </row>
  </sheetData>
  <sheetProtection selectLockedCells="1"/>
  <mergeCells count="72">
    <mergeCell ref="D65:F65"/>
    <mergeCell ref="D62:F62"/>
    <mergeCell ref="D119:E119"/>
    <mergeCell ref="D117:F117"/>
    <mergeCell ref="D85:F85"/>
    <mergeCell ref="D88:E88"/>
    <mergeCell ref="D86:F86"/>
    <mergeCell ref="D97:E97"/>
    <mergeCell ref="D99:F99"/>
    <mergeCell ref="D100:E100"/>
    <mergeCell ref="D101:E101"/>
    <mergeCell ref="D103:F103"/>
    <mergeCell ref="D112:E112"/>
    <mergeCell ref="D113:E113"/>
    <mergeCell ref="D114:E114"/>
    <mergeCell ref="D116:F116"/>
    <mergeCell ref="D104:F104"/>
    <mergeCell ref="D108:F108"/>
    <mergeCell ref="D71:F71"/>
    <mergeCell ref="D72:F72"/>
    <mergeCell ref="D74:F74"/>
    <mergeCell ref="D75:F75"/>
    <mergeCell ref="D77:F77"/>
    <mergeCell ref="D109:E109"/>
    <mergeCell ref="D111:F111"/>
    <mergeCell ref="D61:F61"/>
    <mergeCell ref="D63:E63"/>
    <mergeCell ref="D67:F67"/>
    <mergeCell ref="D69:E69"/>
    <mergeCell ref="D84:F84"/>
    <mergeCell ref="D80:F80"/>
    <mergeCell ref="D81:F81"/>
    <mergeCell ref="D78:E78"/>
    <mergeCell ref="D95:F95"/>
    <mergeCell ref="D90:F90"/>
    <mergeCell ref="D91:F91"/>
    <mergeCell ref="D92:F92"/>
    <mergeCell ref="D93:F93"/>
    <mergeCell ref="D94:F94"/>
    <mergeCell ref="D55:E55"/>
    <mergeCell ref="D56:E56"/>
    <mergeCell ref="D57:E57"/>
    <mergeCell ref="D58:E58"/>
    <mergeCell ref="D59:E59"/>
    <mergeCell ref="D54:F54"/>
    <mergeCell ref="D52:F52"/>
    <mergeCell ref="D53:F53"/>
    <mergeCell ref="D6:F6"/>
    <mergeCell ref="D7:F7"/>
    <mergeCell ref="D8:F8"/>
    <mergeCell ref="D9:F9"/>
    <mergeCell ref="D20:E20"/>
    <mergeCell ref="D13:F13"/>
    <mergeCell ref="D15:F15"/>
    <mergeCell ref="D16:F16"/>
    <mergeCell ref="D17:F17"/>
    <mergeCell ref="D14:F14"/>
    <mergeCell ref="D19:F19"/>
    <mergeCell ref="D21:E21"/>
    <mergeCell ref="D37:F37"/>
    <mergeCell ref="C10:C11"/>
    <mergeCell ref="C12:C13"/>
    <mergeCell ref="C14:C15"/>
    <mergeCell ref="C16:C17"/>
    <mergeCell ref="D10:F10"/>
    <mergeCell ref="D11:F11"/>
    <mergeCell ref="D12:F12"/>
    <mergeCell ref="D38:F38"/>
    <mergeCell ref="D40:F40"/>
    <mergeCell ref="D23:F23"/>
    <mergeCell ref="D34:E34"/>
    <mergeCell ref="D35:E35"/>
  </mergeCells>
  <conditionalFormatting sqref="F20:F21 F34:F35 F55:F59 F63 D65:F65 F69 F88 D104:F104 F109 F112:F114 D117:F117 F119 D42:F50 D24:F32">
    <cfRule type="cellIs" dxfId="15" priority="2" operator="equal">
      <formula>$B$3</formula>
    </cfRule>
  </conditionalFormatting>
  <conditionalFormatting sqref="D38:F38">
    <cfRule type="cellIs" dxfId="14" priority="1" operator="equal">
      <formula>$B$3</formula>
    </cfRule>
  </conditionalFormatting>
  <dataValidations count="1">
    <dataValidation type="list" allowBlank="1" showInputMessage="1" showErrorMessage="1" sqref="F119 F20:F21 F109 F34:F35 F88 F55:F59" xr:uid="{00000000-0002-0000-0500-000000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1000000}">
          <x14:formula1>
            <xm:f>Mapping!$A$2:$A$4</xm:f>
          </x14:formula1>
          <xm:sqref>F69 F97 F106 F78 F100:F101 F112:F114 F65 F63</xm:sqref>
        </x14:dataValidation>
        <x14:dataValidation type="list" allowBlank="1" showInputMessage="1" showErrorMessage="1" xr:uid="{00000000-0002-0000-0500-000002000000}">
          <x14:formula1>
            <xm:f>Mapping!$F$2:$F$3</xm:f>
          </x14:formula1>
          <xm:sqref>E42:E51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H44"/>
  <sheetViews>
    <sheetView zoomScale="85" zoomScaleNormal="85" workbookViewId="0">
      <selection activeCell="D2" sqref="D2"/>
    </sheetView>
  </sheetViews>
  <sheetFormatPr defaultColWidth="9.1796875" defaultRowHeight="14.5" customHeight="1" x14ac:dyDescent="0.35"/>
  <cols>
    <col min="1" max="3" width="9.1796875" style="16" customWidth="1"/>
    <col min="4" max="4" width="66.81640625" style="16" customWidth="1"/>
    <col min="5" max="5" width="18.1796875" style="16" customWidth="1"/>
    <col min="6" max="6" width="16.7265625" style="16" customWidth="1"/>
    <col min="7" max="7" width="15.81640625" style="16" customWidth="1"/>
    <col min="8" max="8" width="22.7265625" style="16" customWidth="1"/>
    <col min="9" max="9" width="11.81640625" style="16" customWidth="1"/>
    <col min="10" max="10" width="5.81640625" style="16" customWidth="1"/>
    <col min="11" max="11" width="51.7265625" style="16" customWidth="1"/>
    <col min="12" max="12" width="12.26953125" style="16" customWidth="1"/>
    <col min="13" max="13" width="12.81640625" style="16" customWidth="1"/>
    <col min="14" max="16" width="9.1796875" style="16" customWidth="1"/>
    <col min="17"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ht="15" thickBot="1" x14ac:dyDescent="0.4">
      <c r="E6" s="17"/>
      <c r="F6" s="17"/>
    </row>
    <row r="7" spans="4:6" ht="15" thickBot="1" x14ac:dyDescent="0.4">
      <c r="D7" s="249" t="s">
        <v>183</v>
      </c>
      <c r="E7" s="250"/>
      <c r="F7" s="251"/>
    </row>
    <row r="8" spans="4:6" ht="25" customHeight="1" thickBot="1" x14ac:dyDescent="0.4">
      <c r="D8" s="246" t="s">
        <v>184</v>
      </c>
      <c r="E8" s="247"/>
      <c r="F8" s="248"/>
    </row>
    <row r="9" spans="4:6" ht="25" customHeight="1" thickBot="1" x14ac:dyDescent="0.4">
      <c r="D9" s="204" t="s">
        <v>185</v>
      </c>
      <c r="E9" s="205"/>
      <c r="F9" s="206"/>
    </row>
    <row r="10" spans="4:6" x14ac:dyDescent="0.35">
      <c r="D10" s="19"/>
      <c r="E10" s="19"/>
      <c r="F10" s="19"/>
    </row>
    <row r="11" spans="4:6" x14ac:dyDescent="0.35">
      <c r="D11" s="19" t="s">
        <v>186</v>
      </c>
      <c r="E11" s="19"/>
      <c r="F11" s="19"/>
    </row>
    <row r="12" spans="4:6" ht="14.5" customHeight="1" x14ac:dyDescent="0.35">
      <c r="D12" s="19" t="s">
        <v>365</v>
      </c>
      <c r="E12" s="19"/>
      <c r="F12" s="19"/>
    </row>
    <row r="13" spans="4:6" ht="14.5" customHeight="1" thickBot="1" x14ac:dyDescent="0.4">
      <c r="D13" s="19" t="s">
        <v>366</v>
      </c>
      <c r="E13" s="19"/>
      <c r="F13" s="19"/>
    </row>
    <row r="14" spans="4:6" hidden="1" x14ac:dyDescent="0.35">
      <c r="D14" s="19"/>
      <c r="E14" s="19"/>
      <c r="F14" s="19"/>
    </row>
    <row r="15" spans="4:6" hidden="1" x14ac:dyDescent="0.35">
      <c r="D15" s="19"/>
      <c r="E15" s="19"/>
      <c r="F15" s="19"/>
    </row>
    <row r="16" spans="4:6" hidden="1" x14ac:dyDescent="0.35">
      <c r="D16" s="19"/>
      <c r="E16" s="19"/>
      <c r="F16" s="19"/>
    </row>
    <row r="17" spans="4:8" hidden="1" x14ac:dyDescent="0.35">
      <c r="D17" s="19"/>
      <c r="E17" s="19"/>
      <c r="F17" s="19"/>
    </row>
    <row r="18" spans="4:8" hidden="1" x14ac:dyDescent="0.35">
      <c r="D18" s="19"/>
      <c r="E18" s="19"/>
      <c r="F18" s="19"/>
    </row>
    <row r="19" spans="4:8" ht="20.25" hidden="1" customHeight="1" x14ac:dyDescent="0.35">
      <c r="D19" s="19"/>
      <c r="E19" s="19"/>
      <c r="F19" s="19"/>
    </row>
    <row r="20" spans="4:8" ht="15" thickBot="1" x14ac:dyDescent="0.4">
      <c r="D20" s="256" t="s">
        <v>183</v>
      </c>
      <c r="E20" s="19"/>
      <c r="F20" s="19"/>
    </row>
    <row r="21" spans="4:8" ht="20.149999999999999" customHeight="1" thickBot="1" x14ac:dyDescent="0.4">
      <c r="D21" s="257"/>
      <c r="E21" s="173">
        <f>IF('Step 2'!H23="","",IF('Step 2'!H23&lt;&gt;"",COUNTIF('Step 2'!$G$23:$G$26,"Yes"),1))</f>
        <v>2</v>
      </c>
      <c r="F21" s="174"/>
    </row>
    <row r="22" spans="4:8" ht="27.65" customHeight="1" thickBot="1" x14ac:dyDescent="0.4">
      <c r="D22" s="69" t="s">
        <v>187</v>
      </c>
      <c r="E22" s="254" t="s">
        <v>155</v>
      </c>
      <c r="F22" s="255"/>
    </row>
    <row r="23" spans="4:8" ht="57.65" customHeight="1" thickBot="1" x14ac:dyDescent="0.4">
      <c r="D23" s="204" t="s">
        <v>436</v>
      </c>
      <c r="E23" s="247"/>
      <c r="F23" s="248"/>
    </row>
    <row r="24" spans="4:8" ht="28.5" customHeight="1" x14ac:dyDescent="0.35">
      <c r="D24" s="70"/>
      <c r="E24" s="70"/>
      <c r="F24" s="70"/>
    </row>
    <row r="25" spans="4:8" ht="28.5" customHeight="1" thickBot="1" x14ac:dyDescent="0.4">
      <c r="D25" s="258" t="s">
        <v>371</v>
      </c>
      <c r="E25" s="259"/>
      <c r="F25" s="259"/>
      <c r="G25" s="259"/>
      <c r="H25" s="260"/>
    </row>
    <row r="26" spans="4:8" ht="28.5" customHeight="1" thickBot="1" x14ac:dyDescent="0.4">
      <c r="D26" s="71" t="s">
        <v>372</v>
      </c>
      <c r="E26" s="71"/>
      <c r="F26" s="71" t="s">
        <v>374</v>
      </c>
      <c r="G26" s="71" t="s">
        <v>375</v>
      </c>
      <c r="H26" s="71" t="s">
        <v>376</v>
      </c>
    </row>
    <row r="27" spans="4:8" ht="93" customHeight="1" thickBot="1" x14ac:dyDescent="0.4">
      <c r="D27" s="74" t="s">
        <v>437</v>
      </c>
      <c r="E27" s="74" t="s">
        <v>503</v>
      </c>
      <c r="F27" s="74" t="s">
        <v>439</v>
      </c>
      <c r="G27" s="74" t="s">
        <v>440</v>
      </c>
      <c r="H27" s="74" t="s">
        <v>440</v>
      </c>
    </row>
    <row r="28" spans="4:8" ht="116.5" customHeight="1" thickBot="1" x14ac:dyDescent="0.4">
      <c r="D28" s="74" t="s">
        <v>438</v>
      </c>
      <c r="E28" s="74" t="s">
        <v>503</v>
      </c>
      <c r="F28" s="74" t="s">
        <v>439</v>
      </c>
      <c r="G28" s="74" t="s">
        <v>440</v>
      </c>
      <c r="H28" s="74" t="s">
        <v>440</v>
      </c>
    </row>
    <row r="29" spans="4:8" ht="28.5" customHeight="1" thickBot="1" x14ac:dyDescent="0.4">
      <c r="D29" s="74" t="str">
        <f>IFERROR(IF('Step 2'!G25="Yes",'Step 2'!D25,""),"")</f>
        <v/>
      </c>
      <c r="E29" s="110"/>
      <c r="F29" s="110"/>
      <c r="G29" s="110"/>
      <c r="H29" s="110"/>
    </row>
    <row r="30" spans="4:8" ht="28.5" customHeight="1" x14ac:dyDescent="0.35">
      <c r="D30" s="70"/>
      <c r="E30" s="70"/>
      <c r="F30" s="70"/>
    </row>
    <row r="31" spans="4:8" ht="28.5" hidden="1" customHeight="1" x14ac:dyDescent="0.35">
      <c r="D31" s="70"/>
      <c r="E31" s="70"/>
      <c r="F31" s="70"/>
    </row>
    <row r="32" spans="4:8" ht="28.5" hidden="1" customHeight="1" x14ac:dyDescent="0.35">
      <c r="D32" s="70"/>
      <c r="E32" s="70"/>
      <c r="F32" s="70"/>
    </row>
    <row r="33" spans="4:6" ht="28.5" hidden="1" customHeight="1" x14ac:dyDescent="0.35">
      <c r="D33" s="70"/>
      <c r="E33" s="70"/>
      <c r="F33" s="70"/>
    </row>
    <row r="34" spans="4:6" ht="28.5" hidden="1" customHeight="1" x14ac:dyDescent="0.35">
      <c r="D34" s="70"/>
      <c r="E34" s="70"/>
      <c r="F34" s="70"/>
    </row>
    <row r="35" spans="4:6" ht="13.75" customHeight="1" x14ac:dyDescent="0.35">
      <c r="D35" s="19"/>
      <c r="E35" s="70"/>
      <c r="F35" s="70"/>
    </row>
    <row r="36" spans="4:6" ht="13.75" customHeight="1" thickBot="1" x14ac:dyDescent="0.4">
      <c r="E36" s="19"/>
      <c r="F36" s="19"/>
    </row>
    <row r="37" spans="4:6" ht="13.75" customHeight="1" thickBot="1" x14ac:dyDescent="0.4">
      <c r="D37" s="249" t="s">
        <v>188</v>
      </c>
      <c r="E37" s="250"/>
      <c r="F37" s="251"/>
    </row>
    <row r="38" spans="4:6" ht="36" customHeight="1" thickBot="1" x14ac:dyDescent="0.4">
      <c r="D38" s="71" t="s">
        <v>224</v>
      </c>
      <c r="E38" s="252" t="s">
        <v>156</v>
      </c>
      <c r="F38" s="253"/>
    </row>
    <row r="39" spans="4:6" ht="48" customHeight="1" thickBot="1" x14ac:dyDescent="0.4">
      <c r="D39" s="246" t="s">
        <v>441</v>
      </c>
      <c r="E39" s="247"/>
      <c r="F39" s="248"/>
    </row>
    <row r="40" spans="4:6" ht="13.75" customHeight="1" x14ac:dyDescent="0.35"/>
    <row r="41" spans="4:6" x14ac:dyDescent="0.35"/>
    <row r="42" spans="4:6" x14ac:dyDescent="0.35"/>
    <row r="43" spans="4:6" x14ac:dyDescent="0.35"/>
    <row r="44" spans="4:6" x14ac:dyDescent="0.35"/>
  </sheetData>
  <mergeCells count="11">
    <mergeCell ref="D39:F39"/>
    <mergeCell ref="D37:F37"/>
    <mergeCell ref="D7:F7"/>
    <mergeCell ref="E21:F21"/>
    <mergeCell ref="E38:F38"/>
    <mergeCell ref="D8:F8"/>
    <mergeCell ref="D9:F9"/>
    <mergeCell ref="E22:F22"/>
    <mergeCell ref="D23:F23"/>
    <mergeCell ref="D20:D21"/>
    <mergeCell ref="D25:H25"/>
  </mergeCells>
  <conditionalFormatting sqref="E22:F22 D23:F23 D39:F39 E38:F38">
    <cfRule type="cellIs" dxfId="13" priority="1" operator="equal">
      <formula>$A$5</formula>
    </cfRule>
  </conditionalFormatting>
  <dataValidations count="1">
    <dataValidation type="list" allowBlank="1" showInputMessage="1" showErrorMessage="1" sqref="L19" xr:uid="{00000000-0002-0000-06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Mapping!$A$2:$A$4</xm:f>
          </x14:formula1>
          <xm:sqref>E22:F22 E38:F38</xm:sqref>
        </x14:dataValidation>
        <x14:dataValidation type="list" allowBlank="1" showInputMessage="1" showErrorMessage="1" xr:uid="{00000000-0002-0000-0600-000002000000}">
          <x14:formula1>
            <xm:f>Mapping!$K$2:$K$4</xm:f>
          </x14:formula1>
          <xm:sqref>E27:E29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D1:I50"/>
  <sheetViews>
    <sheetView topLeftCell="A40" zoomScale="85" zoomScaleNormal="85" workbookViewId="0">
      <selection activeCell="D42" sqref="D42:H42"/>
    </sheetView>
  </sheetViews>
  <sheetFormatPr defaultColWidth="9.1796875" defaultRowHeight="14.5" customHeight="1" x14ac:dyDescent="0.35"/>
  <cols>
    <col min="1" max="2" width="9.1796875" style="16" customWidth="1"/>
    <col min="3" max="3" width="4.1796875" style="16" customWidth="1"/>
    <col min="4" max="4" width="48.1796875" style="16" customWidth="1"/>
    <col min="5" max="5" width="17.7265625" style="16" customWidth="1"/>
    <col min="6" max="6" width="39.81640625" style="16" customWidth="1"/>
    <col min="7" max="7" width="9.1796875" style="16" customWidth="1"/>
    <col min="8" max="8" width="31.54296875" style="16" customWidth="1"/>
    <col min="9" max="9" width="13.453125" style="16" customWidth="1"/>
    <col min="10"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x14ac:dyDescent="0.35">
      <c r="E5" s="17"/>
      <c r="F5" s="17"/>
    </row>
    <row r="6" spans="4:8" ht="15" thickBot="1" x14ac:dyDescent="0.4">
      <c r="E6" s="17"/>
      <c r="F6" s="17"/>
    </row>
    <row r="7" spans="4:8" ht="15" thickBot="1" x14ac:dyDescent="0.4">
      <c r="D7" s="269" t="s">
        <v>189</v>
      </c>
      <c r="E7" s="270"/>
      <c r="F7" s="270"/>
      <c r="G7" s="270"/>
      <c r="H7" s="271"/>
    </row>
    <row r="8" spans="4:8" ht="39" customHeight="1" thickBot="1" x14ac:dyDescent="0.4">
      <c r="D8" s="266" t="s">
        <v>190</v>
      </c>
      <c r="E8" s="267"/>
      <c r="F8" s="267"/>
      <c r="G8" s="267"/>
      <c r="H8" s="268"/>
    </row>
    <row r="9" spans="4:8" ht="15" thickBot="1" x14ac:dyDescent="0.4">
      <c r="D9" s="269" t="s">
        <v>191</v>
      </c>
      <c r="E9" s="270"/>
      <c r="F9" s="270"/>
      <c r="G9" s="270"/>
      <c r="H9" s="271"/>
    </row>
    <row r="10" spans="4:8" ht="33.65" customHeight="1" thickBot="1" x14ac:dyDescent="0.4">
      <c r="D10" s="269" t="s">
        <v>192</v>
      </c>
      <c r="E10" s="270"/>
      <c r="F10" s="270"/>
      <c r="G10" s="270"/>
      <c r="H10" s="271"/>
    </row>
    <row r="11" spans="4:8" ht="30" customHeight="1" thickBot="1" x14ac:dyDescent="0.4">
      <c r="D11" s="40" t="s">
        <v>225</v>
      </c>
      <c r="E11" s="266" t="s">
        <v>193</v>
      </c>
      <c r="F11" s="267"/>
      <c r="G11" s="267"/>
      <c r="H11" s="268"/>
    </row>
    <row r="12" spans="4:8" ht="30" customHeight="1" thickBot="1" x14ac:dyDescent="0.4">
      <c r="D12" s="40" t="s">
        <v>226</v>
      </c>
      <c r="E12" s="264" t="s">
        <v>194</v>
      </c>
      <c r="F12" s="264"/>
      <c r="G12" s="264"/>
      <c r="H12" s="265"/>
    </row>
    <row r="13" spans="4:8" ht="30" customHeight="1" thickBot="1" x14ac:dyDescent="0.4">
      <c r="D13" s="40" t="s">
        <v>227</v>
      </c>
      <c r="E13" s="267" t="s">
        <v>195</v>
      </c>
      <c r="F13" s="267"/>
      <c r="G13" s="267"/>
      <c r="H13" s="268"/>
    </row>
    <row r="14" spans="4:8" x14ac:dyDescent="0.35">
      <c r="D14" s="19"/>
      <c r="E14" s="19"/>
      <c r="F14" s="19"/>
      <c r="G14" s="19"/>
      <c r="H14" s="19"/>
    </row>
    <row r="15" spans="4:8" ht="13.75" customHeight="1" thickBot="1" x14ac:dyDescent="0.4">
      <c r="D15" s="19"/>
      <c r="E15" s="19"/>
      <c r="F15" s="19"/>
      <c r="G15" s="19"/>
      <c r="H15" s="19"/>
    </row>
    <row r="16" spans="4:8" ht="13.75" customHeight="1" thickBot="1" x14ac:dyDescent="0.4">
      <c r="D16" s="38" t="s">
        <v>197</v>
      </c>
      <c r="E16" s="40" t="s">
        <v>174</v>
      </c>
      <c r="F16" s="40" t="s">
        <v>175</v>
      </c>
      <c r="G16" s="40" t="s">
        <v>196</v>
      </c>
      <c r="H16" s="40" t="s">
        <v>182</v>
      </c>
    </row>
    <row r="17" spans="4:9" ht="50.15" customHeight="1" thickBot="1" x14ac:dyDescent="0.4">
      <c r="D17" s="39" t="s">
        <v>428</v>
      </c>
      <c r="E17" s="39" t="s">
        <v>155</v>
      </c>
      <c r="F17" s="39" t="s">
        <v>157</v>
      </c>
      <c r="G17" s="39" t="s">
        <v>157</v>
      </c>
      <c r="H17" s="122" t="str">
        <f>IF(COUNTA(E17:G17)&gt;=3,IF(OR(E17="Yes",F17="Yes",G17="Yes")=TRUE,"Performance obligation is satisfied over time",IF(COUNTA(E17:G17)=0,"","Performance obligation is satisfied at a point in time.")),"")</f>
        <v>Performance obligation is satisfied over time</v>
      </c>
    </row>
    <row r="18" spans="4:9" ht="50.15" customHeight="1" thickBot="1" x14ac:dyDescent="0.4">
      <c r="D18" s="39" t="s">
        <v>429</v>
      </c>
      <c r="E18" s="39" t="s">
        <v>155</v>
      </c>
      <c r="F18" s="39" t="s">
        <v>157</v>
      </c>
      <c r="G18" s="39" t="s">
        <v>157</v>
      </c>
      <c r="H18" s="122" t="str">
        <f t="shared" ref="H18:H20" si="0">IF(COUNTA(E18:G18)&gt;=3,IF(OR(E18="Yes",F18="Yes",G18="Yes")=TRUE,"Performance obligation is satisfied over time",IF(COUNTA(E18:G18)=0,"","Performance obligation is satisfied at a point in time.")),"")</f>
        <v>Performance obligation is satisfied over time</v>
      </c>
    </row>
    <row r="19" spans="4:9" ht="50.15" customHeight="1" thickBot="1" x14ac:dyDescent="0.4">
      <c r="D19" s="39"/>
      <c r="F19" s="39"/>
      <c r="G19" s="39"/>
      <c r="H19" s="122" t="str">
        <f t="shared" si="0"/>
        <v/>
      </c>
    </row>
    <row r="20" spans="4:9" ht="50.15" customHeight="1" thickBot="1" x14ac:dyDescent="0.4">
      <c r="D20" s="39"/>
      <c r="E20" s="39"/>
      <c r="F20" s="39"/>
      <c r="G20" s="39"/>
      <c r="H20" s="122" t="str">
        <f t="shared" si="0"/>
        <v/>
      </c>
    </row>
    <row r="21" spans="4:9" ht="20.149999999999999" customHeight="1" thickBot="1" x14ac:dyDescent="0.4">
      <c r="D21" s="27"/>
      <c r="E21" s="25"/>
      <c r="F21" s="25"/>
      <c r="G21" s="25"/>
      <c r="H21" s="26"/>
    </row>
    <row r="22" spans="4:9" ht="33.65" customHeight="1" thickBot="1" x14ac:dyDescent="0.4">
      <c r="D22" s="272" t="s">
        <v>228</v>
      </c>
      <c r="E22" s="273"/>
      <c r="F22" s="273"/>
      <c r="G22" s="273"/>
      <c r="H22" s="274"/>
      <c r="I22" s="94" t="str">
        <f>IF(COUNTIF($E$17:$G$20,"Yes")&gt;0,"Yes","")</f>
        <v>Yes</v>
      </c>
    </row>
    <row r="23" spans="4:9" ht="20.149999999999999" customHeight="1" thickBot="1" x14ac:dyDescent="0.4"/>
    <row r="24" spans="4:9" ht="37" customHeight="1" thickBot="1" x14ac:dyDescent="0.4">
      <c r="D24" s="272" t="s">
        <v>229</v>
      </c>
      <c r="E24" s="273"/>
      <c r="F24" s="273"/>
      <c r="G24" s="273"/>
      <c r="H24" s="274"/>
      <c r="I24" s="94" t="s">
        <v>157</v>
      </c>
    </row>
    <row r="25" spans="4:9" ht="20.149999999999999" customHeight="1" thickBot="1" x14ac:dyDescent="0.4">
      <c r="D25" s="19"/>
      <c r="E25" s="19"/>
      <c r="F25" s="19"/>
      <c r="G25" s="19"/>
      <c r="H25" s="19"/>
    </row>
    <row r="26" spans="4:9" ht="25" customHeight="1" thickBot="1" x14ac:dyDescent="0.4">
      <c r="D26" s="269" t="s">
        <v>198</v>
      </c>
      <c r="E26" s="270"/>
      <c r="F26" s="270"/>
      <c r="G26" s="270"/>
      <c r="H26" s="271"/>
    </row>
    <row r="27" spans="4:9" ht="25" customHeight="1" thickBot="1" x14ac:dyDescent="0.4">
      <c r="D27" s="269" t="s">
        <v>230</v>
      </c>
      <c r="E27" s="270"/>
      <c r="F27" s="270"/>
      <c r="G27" s="270"/>
      <c r="H27" s="271"/>
    </row>
    <row r="28" spans="4:9" ht="25" customHeight="1" thickBot="1" x14ac:dyDescent="0.4">
      <c r="D28" s="261" t="s">
        <v>231</v>
      </c>
      <c r="E28" s="262"/>
      <c r="F28" s="262"/>
      <c r="G28" s="262"/>
      <c r="H28" s="263"/>
    </row>
    <row r="29" spans="4:9" ht="30" customHeight="1" thickBot="1" x14ac:dyDescent="0.4">
      <c r="D29" s="40" t="s">
        <v>200</v>
      </c>
      <c r="E29" s="264" t="s">
        <v>202</v>
      </c>
      <c r="F29" s="264"/>
      <c r="G29" s="264"/>
      <c r="H29" s="265"/>
    </row>
    <row r="30" spans="4:9" ht="30" customHeight="1" thickBot="1" x14ac:dyDescent="0.4">
      <c r="D30" s="40" t="s">
        <v>201</v>
      </c>
      <c r="E30" s="266" t="s">
        <v>203</v>
      </c>
      <c r="F30" s="267"/>
      <c r="G30" s="267"/>
      <c r="H30" s="268"/>
    </row>
    <row r="31" spans="4:9" x14ac:dyDescent="0.35">
      <c r="D31" s="19"/>
      <c r="E31" s="19"/>
      <c r="F31" s="19"/>
      <c r="G31" s="19"/>
      <c r="H31" s="19"/>
    </row>
    <row r="32" spans="4:9" ht="15" thickBot="1" x14ac:dyDescent="0.4">
      <c r="D32" s="19"/>
      <c r="E32" s="19"/>
      <c r="F32" s="19"/>
      <c r="G32" s="19"/>
      <c r="H32" s="19"/>
    </row>
    <row r="33" spans="4:8" ht="15" thickBot="1" x14ac:dyDescent="0.4">
      <c r="D33" s="40" t="s">
        <v>204</v>
      </c>
      <c r="E33" s="40" t="s">
        <v>205</v>
      </c>
      <c r="F33" s="278" t="s">
        <v>152</v>
      </c>
      <c r="G33" s="279"/>
      <c r="H33" s="280"/>
    </row>
    <row r="34" spans="4:8" s="93" customFormat="1" ht="50.15" customHeight="1" thickBot="1" x14ac:dyDescent="0.4">
      <c r="D34" s="129" t="s">
        <v>428</v>
      </c>
      <c r="E34" s="130" t="s">
        <v>298</v>
      </c>
      <c r="F34" s="275" t="s">
        <v>442</v>
      </c>
      <c r="G34" s="276"/>
      <c r="H34" s="277"/>
    </row>
    <row r="35" spans="4:8" ht="50.15" customHeight="1" thickBot="1" x14ac:dyDescent="0.4">
      <c r="D35" s="129" t="s">
        <v>429</v>
      </c>
      <c r="E35" s="129" t="s">
        <v>299</v>
      </c>
      <c r="F35" s="266" t="s">
        <v>443</v>
      </c>
      <c r="G35" s="267"/>
      <c r="H35" s="268"/>
    </row>
    <row r="36" spans="4:8" ht="50.15" customHeight="1" thickBot="1" x14ac:dyDescent="0.4">
      <c r="D36" s="129"/>
      <c r="E36" s="129"/>
      <c r="F36" s="266"/>
      <c r="G36" s="267"/>
      <c r="H36" s="268"/>
    </row>
    <row r="37" spans="4:8" ht="50.15" customHeight="1" thickBot="1" x14ac:dyDescent="0.4">
      <c r="D37" s="129"/>
      <c r="E37" s="129"/>
      <c r="F37" s="266"/>
      <c r="G37" s="267"/>
      <c r="H37" s="268"/>
    </row>
    <row r="38" spans="4:8" ht="50.15" customHeight="1" thickBot="1" x14ac:dyDescent="0.4">
      <c r="D38" s="129"/>
      <c r="E38" s="129"/>
      <c r="F38" s="266"/>
      <c r="G38" s="267"/>
      <c r="H38" s="268"/>
    </row>
    <row r="39" spans="4:8" ht="13.5" customHeight="1" x14ac:dyDescent="0.35">
      <c r="D39" s="24"/>
      <c r="E39" s="24"/>
      <c r="F39" s="24"/>
      <c r="G39" s="19"/>
      <c r="H39" s="19"/>
    </row>
    <row r="40" spans="4:8" ht="15" thickBot="1" x14ac:dyDescent="0.4">
      <c r="D40" s="22"/>
      <c r="E40" s="41"/>
      <c r="F40" s="19"/>
      <c r="G40" s="19"/>
      <c r="H40" s="19"/>
    </row>
    <row r="41" spans="4:8" ht="20.5" customHeight="1" thickBot="1" x14ac:dyDescent="0.4">
      <c r="D41" s="261" t="s">
        <v>206</v>
      </c>
      <c r="E41" s="262"/>
      <c r="F41" s="262"/>
      <c r="G41" s="262"/>
      <c r="H41" s="263"/>
    </row>
    <row r="42" spans="4:8" ht="60.65" customHeight="1" thickBot="1" x14ac:dyDescent="0.4">
      <c r="D42" s="275" t="s">
        <v>207</v>
      </c>
      <c r="E42" s="276"/>
      <c r="F42" s="276"/>
      <c r="G42" s="276"/>
      <c r="H42" s="277"/>
    </row>
    <row r="43" spans="4:8" x14ac:dyDescent="0.35"/>
    <row r="44" spans="4:8" ht="20.149999999999999" customHeight="1" x14ac:dyDescent="0.35"/>
    <row r="45" spans="4:8" ht="20.149999999999999" customHeight="1" x14ac:dyDescent="0.35"/>
    <row r="46" spans="4:8" ht="20.149999999999999" customHeight="1" x14ac:dyDescent="0.35"/>
    <row r="47" spans="4:8" ht="20.149999999999999" customHeight="1" x14ac:dyDescent="0.35"/>
    <row r="48" spans="4:8" ht="20.149999999999999" customHeight="1" x14ac:dyDescent="0.35"/>
    <row r="49" ht="20.149999999999999" customHeight="1" x14ac:dyDescent="0.35"/>
    <row r="50" ht="20.149999999999999" customHeight="1" x14ac:dyDescent="0.35"/>
  </sheetData>
  <sheetProtection selectLockedCells="1"/>
  <mergeCells count="22">
    <mergeCell ref="F38:H38"/>
    <mergeCell ref="D41:H41"/>
    <mergeCell ref="D42:H42"/>
    <mergeCell ref="F34:H34"/>
    <mergeCell ref="F33:H33"/>
    <mergeCell ref="F35:H35"/>
    <mergeCell ref="F36:H36"/>
    <mergeCell ref="F37:H37"/>
    <mergeCell ref="D7:H7"/>
    <mergeCell ref="D8:H8"/>
    <mergeCell ref="D9:H9"/>
    <mergeCell ref="D10:H10"/>
    <mergeCell ref="E11:H11"/>
    <mergeCell ref="D28:H28"/>
    <mergeCell ref="E29:H29"/>
    <mergeCell ref="E30:H30"/>
    <mergeCell ref="E12:H12"/>
    <mergeCell ref="E13:H13"/>
    <mergeCell ref="D26:H26"/>
    <mergeCell ref="D27:H27"/>
    <mergeCell ref="D22:H22"/>
    <mergeCell ref="D24:H24"/>
  </mergeCells>
  <conditionalFormatting sqref="D17:H20 I22 I24 D34:H38">
    <cfRule type="cellIs" dxfId="12" priority="1" operator="equal">
      <formula>$C$4</formula>
    </cfRule>
  </conditionalFormatting>
  <dataValidations count="2">
    <dataValidation type="list" allowBlank="1" showInputMessage="1" showErrorMessage="1" sqref="O13" xr:uid="{00000000-0002-0000-0700-000000000000}">
      <formula1>"High,Medium,Low"</formula1>
    </dataValidation>
    <dataValidation type="list" allowBlank="1" showInputMessage="1" showErrorMessage="1" sqref="E21:G21" xr:uid="{00000000-0002-0000-07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Mapping!$B$2:$B$3</xm:f>
          </x14:formula1>
          <xm:sqref>E34:E38</xm:sqref>
        </x14:dataValidation>
        <x14:dataValidation type="list" allowBlank="1" showInputMessage="1" showErrorMessage="1" xr:uid="{00000000-0002-0000-0700-000003000000}">
          <x14:formula1>
            <xm:f>Mapping!$A$2:$A$4</xm:f>
          </x14:formula1>
          <xm:sqref>E18 E17:G17 E20:G20 F18:G19 I24 I22 H23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D1:F51"/>
  <sheetViews>
    <sheetView topLeftCell="A52" zoomScale="85" zoomScaleNormal="85" workbookViewId="0">
      <selection activeCell="D70" sqref="D70"/>
    </sheetView>
  </sheetViews>
  <sheetFormatPr defaultColWidth="9.1796875" defaultRowHeight="14.5" customHeight="1" x14ac:dyDescent="0.35"/>
  <cols>
    <col min="1" max="3" width="9.1796875" style="16" customWidth="1"/>
    <col min="4" max="4" width="30" style="16" customWidth="1"/>
    <col min="5" max="5" width="50.26953125" style="16" customWidth="1"/>
    <col min="6" max="6" width="12.26953125" style="16"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x14ac:dyDescent="0.35">
      <c r="E6" s="17"/>
      <c r="F6" s="17"/>
    </row>
    <row r="7" spans="4:6" ht="15" thickBot="1" x14ac:dyDescent="0.4">
      <c r="E7" s="17"/>
      <c r="F7" s="17"/>
    </row>
    <row r="8" spans="4:6" ht="15" thickBot="1" x14ac:dyDescent="0.4">
      <c r="D8" s="283" t="s">
        <v>281</v>
      </c>
      <c r="E8" s="284"/>
      <c r="F8" s="285"/>
    </row>
    <row r="9" spans="4:6" hidden="1" x14ac:dyDescent="0.35">
      <c r="D9" s="100"/>
      <c r="E9" s="42"/>
      <c r="F9" s="42"/>
    </row>
    <row r="10" spans="4:6" hidden="1" x14ac:dyDescent="0.35">
      <c r="D10" s="101"/>
      <c r="E10" s="42"/>
      <c r="F10" s="42"/>
    </row>
    <row r="11" spans="4:6" ht="57" hidden="1" customHeight="1" thickBot="1" x14ac:dyDescent="0.4">
      <c r="D11" s="172"/>
      <c r="E11" s="173"/>
      <c r="F11" s="111"/>
    </row>
    <row r="12" spans="4:6" ht="15" hidden="1" thickBot="1" x14ac:dyDescent="0.4">
      <c r="D12" s="34"/>
      <c r="E12" s="42"/>
      <c r="F12" s="42"/>
    </row>
    <row r="13" spans="4:6" ht="20.25" hidden="1" customHeight="1" thickBot="1" x14ac:dyDescent="0.4">
      <c r="D13" s="237"/>
      <c r="E13" s="238"/>
      <c r="F13" s="239"/>
    </row>
    <row r="14" spans="4:6" ht="60" hidden="1" customHeight="1" thickBot="1" x14ac:dyDescent="0.4">
      <c r="D14" s="181"/>
      <c r="E14" s="182"/>
      <c r="F14" s="183"/>
    </row>
    <row r="15" spans="4:6" ht="13.75" hidden="1" customHeight="1" thickBot="1" x14ac:dyDescent="0.4">
      <c r="D15" s="34"/>
      <c r="E15" s="42"/>
      <c r="F15" s="42"/>
    </row>
    <row r="16" spans="4:6" ht="39" hidden="1" customHeight="1" thickBot="1" x14ac:dyDescent="0.4">
      <c r="D16" s="281"/>
      <c r="E16" s="282"/>
      <c r="F16" s="112"/>
    </row>
    <row r="17" spans="4:6" ht="13.75" hidden="1" customHeight="1" thickBot="1" x14ac:dyDescent="0.4">
      <c r="D17" s="237"/>
      <c r="E17" s="238"/>
      <c r="F17" s="239"/>
    </row>
    <row r="18" spans="4:6" ht="61" hidden="1" customHeight="1" thickBot="1" x14ac:dyDescent="0.4">
      <c r="D18" s="286"/>
      <c r="E18" s="287"/>
      <c r="F18" s="288"/>
    </row>
    <row r="19" spans="4:6" ht="13.75" hidden="1" customHeight="1" x14ac:dyDescent="0.35">
      <c r="D19" s="100"/>
      <c r="E19" s="42"/>
      <c r="F19" s="42"/>
    </row>
    <row r="20" spans="4:6" ht="13.75" customHeight="1" x14ac:dyDescent="0.35">
      <c r="D20" s="101" t="s">
        <v>402</v>
      </c>
      <c r="E20" s="42"/>
      <c r="F20" s="42"/>
    </row>
    <row r="21" spans="4:6" ht="13.75" customHeight="1" thickBot="1" x14ac:dyDescent="0.4">
      <c r="D21" s="101"/>
      <c r="E21" s="42"/>
      <c r="F21" s="42"/>
    </row>
    <row r="22" spans="4:6" ht="45.65" customHeight="1" thickBot="1" x14ac:dyDescent="0.4">
      <c r="D22" s="237" t="s">
        <v>282</v>
      </c>
      <c r="E22" s="238" t="s">
        <v>155</v>
      </c>
      <c r="F22" s="111" t="s">
        <v>155</v>
      </c>
    </row>
    <row r="23" spans="4:6" ht="13.75" customHeight="1" thickBot="1" x14ac:dyDescent="0.4">
      <c r="D23" s="34"/>
      <c r="E23" s="42"/>
      <c r="F23" s="42"/>
    </row>
    <row r="24" spans="4:6" ht="47.5" customHeight="1" thickBot="1" x14ac:dyDescent="0.4">
      <c r="D24" s="237" t="s">
        <v>283</v>
      </c>
      <c r="E24" s="238"/>
      <c r="F24" s="239"/>
    </row>
    <row r="25" spans="4:6" ht="13.75" customHeight="1" thickBot="1" x14ac:dyDescent="0.4">
      <c r="D25" s="292" t="s">
        <v>284</v>
      </c>
      <c r="E25" s="293"/>
      <c r="F25" s="294"/>
    </row>
    <row r="26" spans="4:6" ht="15" thickBot="1" x14ac:dyDescent="0.4">
      <c r="D26" s="34"/>
      <c r="E26" s="42"/>
      <c r="F26" s="42"/>
    </row>
    <row r="27" spans="4:6" ht="45" customHeight="1" thickBot="1" x14ac:dyDescent="0.4">
      <c r="D27" s="35" t="s">
        <v>285</v>
      </c>
      <c r="E27" s="50" t="s">
        <v>286</v>
      </c>
      <c r="F27" s="75" t="s">
        <v>155</v>
      </c>
    </row>
    <row r="28" spans="4:6" ht="45" customHeight="1" thickBot="1" x14ac:dyDescent="0.4">
      <c r="D28" s="36" t="s">
        <v>287</v>
      </c>
      <c r="E28" s="37" t="s">
        <v>288</v>
      </c>
      <c r="F28" s="75" t="s">
        <v>155</v>
      </c>
    </row>
    <row r="29" spans="4:6" ht="45" customHeight="1" thickBot="1" x14ac:dyDescent="0.4">
      <c r="D29" s="36" t="s">
        <v>289</v>
      </c>
      <c r="E29" s="37" t="s">
        <v>290</v>
      </c>
      <c r="F29" s="75" t="s">
        <v>155</v>
      </c>
    </row>
    <row r="30" spans="4:6" ht="15" thickBot="1" x14ac:dyDescent="0.4">
      <c r="D30" s="34"/>
      <c r="E30" s="42"/>
      <c r="F30" s="42"/>
    </row>
    <row r="31" spans="4:6" ht="15" thickBot="1" x14ac:dyDescent="0.4">
      <c r="D31" s="237" t="s">
        <v>169</v>
      </c>
      <c r="E31" s="238"/>
      <c r="F31" s="239"/>
    </row>
    <row r="32" spans="4:6" ht="66.650000000000006" customHeight="1" thickBot="1" x14ac:dyDescent="0.4">
      <c r="D32" s="289" t="s">
        <v>513</v>
      </c>
      <c r="E32" s="290"/>
      <c r="F32" s="291"/>
    </row>
    <row r="33" spans="4:6" ht="15" thickBot="1" x14ac:dyDescent="0.4">
      <c r="D33" s="34"/>
      <c r="E33" s="42"/>
      <c r="F33" s="42"/>
    </row>
    <row r="34" spans="4:6" ht="25" customHeight="1" thickBot="1" x14ac:dyDescent="0.4">
      <c r="D34" s="237" t="s">
        <v>291</v>
      </c>
      <c r="E34" s="238"/>
      <c r="F34" s="239"/>
    </row>
    <row r="35" spans="4:6" ht="57" customHeight="1" thickBot="1" x14ac:dyDescent="0.4">
      <c r="D35" s="289" t="s">
        <v>542</v>
      </c>
      <c r="E35" s="290"/>
      <c r="F35" s="291"/>
    </row>
    <row r="36" spans="4:6" ht="15" thickBot="1" x14ac:dyDescent="0.4">
      <c r="D36" s="102"/>
      <c r="E36" s="42"/>
      <c r="F36" s="42"/>
    </row>
    <row r="37" spans="4:6" ht="30" customHeight="1" thickBot="1" x14ac:dyDescent="0.4">
      <c r="D37" s="295" t="s">
        <v>292</v>
      </c>
      <c r="E37" s="296"/>
      <c r="F37" s="297"/>
    </row>
    <row r="38" spans="4:6" ht="30" customHeight="1" thickBot="1" x14ac:dyDescent="0.4">
      <c r="D38" s="100"/>
      <c r="E38" s="42"/>
      <c r="F38" s="42"/>
    </row>
    <row r="39" spans="4:6" ht="44.15" customHeight="1" x14ac:dyDescent="0.35">
      <c r="D39" s="298" t="s">
        <v>293</v>
      </c>
      <c r="E39" s="299"/>
      <c r="F39" s="107" t="s">
        <v>156</v>
      </c>
    </row>
    <row r="40" spans="4:6" ht="25" hidden="1" customHeight="1" thickBot="1" x14ac:dyDescent="0.4">
      <c r="D40" s="181" t="s">
        <v>294</v>
      </c>
      <c r="E40" s="182"/>
      <c r="F40" s="183"/>
    </row>
    <row r="41" spans="4:6" ht="26.15" hidden="1" customHeight="1" thickBot="1" x14ac:dyDescent="0.4">
      <c r="D41" s="181"/>
      <c r="E41" s="182"/>
      <c r="F41" s="183"/>
    </row>
    <row r="42" spans="4:6" ht="26.15" hidden="1" customHeight="1" x14ac:dyDescent="0.35">
      <c r="D42" s="104"/>
      <c r="E42" s="104"/>
      <c r="F42" s="104"/>
    </row>
    <row r="43" spans="4:6" ht="14.5" hidden="1" customHeight="1" thickBot="1" x14ac:dyDescent="0.4">
      <c r="D43" s="34"/>
      <c r="E43" s="42"/>
      <c r="F43" s="42"/>
    </row>
    <row r="44" spans="4:6" ht="14.5" hidden="1" customHeight="1" thickBot="1" x14ac:dyDescent="0.4">
      <c r="D44" s="281" t="s">
        <v>295</v>
      </c>
      <c r="E44" s="282"/>
      <c r="F44" s="103"/>
    </row>
    <row r="45" spans="4:6" ht="33.65" hidden="1" customHeight="1" thickBot="1" x14ac:dyDescent="0.4">
      <c r="D45" s="181" t="s">
        <v>296</v>
      </c>
      <c r="E45" s="182"/>
      <c r="F45" s="183"/>
    </row>
    <row r="46" spans="4:6" ht="26.15" hidden="1" customHeight="1" thickBot="1" x14ac:dyDescent="0.4">
      <c r="D46" s="181"/>
      <c r="E46" s="182"/>
      <c r="F46" s="183"/>
    </row>
    <row r="47" spans="4:6" ht="26.15" hidden="1" customHeight="1" thickBot="1" x14ac:dyDescent="0.4">
      <c r="D47" s="19"/>
      <c r="E47" s="19"/>
      <c r="F47" s="19"/>
    </row>
    <row r="48" spans="4:6" ht="14.5" hidden="1" customHeight="1" thickBot="1" x14ac:dyDescent="0.4">
      <c r="D48" s="237" t="s">
        <v>297</v>
      </c>
      <c r="E48" s="239" t="s">
        <v>155</v>
      </c>
      <c r="F48" s="105"/>
    </row>
    <row r="49" spans="4:6" ht="14.5" customHeight="1" thickBot="1" x14ac:dyDescent="0.4">
      <c r="D49" s="34"/>
      <c r="E49" s="42"/>
      <c r="F49" s="42"/>
    </row>
    <row r="50" spans="4:6" ht="14.5" customHeight="1" thickBot="1" x14ac:dyDescent="0.4">
      <c r="D50" s="237" t="s">
        <v>169</v>
      </c>
      <c r="E50" s="238"/>
      <c r="F50" s="239"/>
    </row>
    <row r="51" spans="4:6" ht="69.650000000000006" customHeight="1" thickBot="1" x14ac:dyDescent="0.4">
      <c r="D51" s="289" t="s">
        <v>157</v>
      </c>
      <c r="E51" s="290"/>
      <c r="F51" s="291"/>
    </row>
  </sheetData>
  <mergeCells count="24">
    <mergeCell ref="D48:E48"/>
    <mergeCell ref="D46:F46"/>
    <mergeCell ref="D50:F50"/>
    <mergeCell ref="D51:F51"/>
    <mergeCell ref="D11:E11"/>
    <mergeCell ref="D13:F13"/>
    <mergeCell ref="D22:E22"/>
    <mergeCell ref="D24:F24"/>
    <mergeCell ref="D25:F25"/>
    <mergeCell ref="D31:F31"/>
    <mergeCell ref="D32:F32"/>
    <mergeCell ref="D34:F34"/>
    <mergeCell ref="D35:F35"/>
    <mergeCell ref="D37:F37"/>
    <mergeCell ref="D39:E39"/>
    <mergeCell ref="D40:F40"/>
    <mergeCell ref="D41:F41"/>
    <mergeCell ref="D44:E44"/>
    <mergeCell ref="D45:F45"/>
    <mergeCell ref="D8:F8"/>
    <mergeCell ref="D14:F14"/>
    <mergeCell ref="D16:E16"/>
    <mergeCell ref="D17:F17"/>
    <mergeCell ref="D18:F18"/>
  </mergeCells>
  <conditionalFormatting sqref="F11 D14:F14 F16 D18:F18 F22 F27:F29 D32:F32 D35:F35 F39 D41:F41 F44 D46:F46 F48 D51:F51">
    <cfRule type="cellIs" dxfId="11" priority="1" operator="equal">
      <formula>$C$4</formula>
    </cfRule>
  </conditionalFormatting>
  <dataValidations count="1">
    <dataValidation type="list" allowBlank="1" showInputMessage="1" showErrorMessage="1" sqref="O13" xr:uid="{00000000-0002-0000-08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Mapping!$A$2:$A$4</xm:f>
          </x14:formula1>
          <xm:sqref>E48:F48 F39 E22:F22 F27:F29 F16 F44 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D1:H46"/>
  <sheetViews>
    <sheetView topLeftCell="A35" zoomScale="70" zoomScaleNormal="70" workbookViewId="0">
      <selection activeCell="G37" sqref="G37:H38"/>
    </sheetView>
  </sheetViews>
  <sheetFormatPr defaultColWidth="9.1796875" defaultRowHeight="14.5" customHeight="1" x14ac:dyDescent="0.35"/>
  <cols>
    <col min="1" max="3" width="9.1796875" style="16" customWidth="1"/>
    <col min="4" max="4" width="22.81640625" style="16" customWidth="1"/>
    <col min="5" max="5" width="71.7265625" style="93" customWidth="1"/>
    <col min="6" max="6" width="12.81640625" style="16" customWidth="1"/>
    <col min="7" max="7" width="56.1796875" style="16" customWidth="1"/>
    <col min="8"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ht="15" thickBot="1" x14ac:dyDescent="0.4">
      <c r="E5" s="135"/>
      <c r="F5" s="17"/>
    </row>
    <row r="6" spans="4:8" ht="15" thickBot="1" x14ac:dyDescent="0.4">
      <c r="D6" s="312" t="s">
        <v>314</v>
      </c>
      <c r="E6" s="313"/>
      <c r="F6" s="313"/>
      <c r="G6" s="313"/>
      <c r="H6" s="314"/>
    </row>
    <row r="7" spans="4:8" x14ac:dyDescent="0.35">
      <c r="D7" s="19"/>
      <c r="E7" s="136"/>
      <c r="F7" s="17"/>
    </row>
    <row r="8" spans="4:8" x14ac:dyDescent="0.35">
      <c r="D8" s="17"/>
    </row>
    <row r="9" spans="4:8" ht="15" thickBot="1" x14ac:dyDescent="0.4"/>
    <row r="10" spans="4:8" ht="15" thickBot="1" x14ac:dyDescent="0.4">
      <c r="D10" s="30" t="s">
        <v>315</v>
      </c>
      <c r="E10" s="137" t="s">
        <v>152</v>
      </c>
      <c r="F10" s="31" t="s">
        <v>316</v>
      </c>
      <c r="G10" s="329" t="s">
        <v>317</v>
      </c>
      <c r="H10" s="330"/>
    </row>
    <row r="11" spans="4:8" ht="47" customHeight="1" x14ac:dyDescent="0.35">
      <c r="D11" s="335" t="s">
        <v>318</v>
      </c>
      <c r="E11" s="133" t="s">
        <v>319</v>
      </c>
      <c r="F11" s="337" t="s">
        <v>155</v>
      </c>
      <c r="G11" s="325" t="s">
        <v>445</v>
      </c>
      <c r="H11" s="326"/>
    </row>
    <row r="12" spans="4:8" ht="25" customHeight="1" thickBot="1" x14ac:dyDescent="0.4">
      <c r="D12" s="336"/>
      <c r="E12" s="134" t="s">
        <v>320</v>
      </c>
      <c r="F12" s="338"/>
      <c r="G12" s="327"/>
      <c r="H12" s="328"/>
    </row>
    <row r="13" spans="4:8" ht="45.5" customHeight="1" x14ac:dyDescent="0.35">
      <c r="D13" s="341" t="s">
        <v>321</v>
      </c>
      <c r="E13" s="133" t="s">
        <v>322</v>
      </c>
      <c r="F13" s="337" t="s">
        <v>155</v>
      </c>
      <c r="G13" s="325" t="s">
        <v>446</v>
      </c>
      <c r="H13" s="326"/>
    </row>
    <row r="14" spans="4:8" ht="25" customHeight="1" thickBot="1" x14ac:dyDescent="0.4">
      <c r="D14" s="342"/>
      <c r="E14" s="134" t="s">
        <v>323</v>
      </c>
      <c r="F14" s="338"/>
      <c r="G14" s="327"/>
      <c r="H14" s="328"/>
    </row>
    <row r="15" spans="4:8" ht="45" customHeight="1" x14ac:dyDescent="0.35">
      <c r="D15" s="341" t="s">
        <v>321</v>
      </c>
      <c r="E15" s="133" t="s">
        <v>324</v>
      </c>
      <c r="F15" s="337" t="s">
        <v>157</v>
      </c>
      <c r="G15" s="325" t="s">
        <v>447</v>
      </c>
      <c r="H15" s="326"/>
    </row>
    <row r="16" spans="4:8" ht="53.5" customHeight="1" x14ac:dyDescent="0.35">
      <c r="D16" s="343"/>
      <c r="E16" s="133" t="s">
        <v>325</v>
      </c>
      <c r="F16" s="344"/>
      <c r="G16" s="331"/>
      <c r="H16" s="332"/>
    </row>
    <row r="17" spans="4:8" ht="25" customHeight="1" thickBot="1" x14ac:dyDescent="0.4">
      <c r="D17" s="342"/>
      <c r="E17" s="134" t="s">
        <v>326</v>
      </c>
      <c r="F17" s="338"/>
      <c r="G17" s="327"/>
      <c r="H17" s="328"/>
    </row>
    <row r="18" spans="4:8" ht="46.5" customHeight="1" thickBot="1" x14ac:dyDescent="0.4">
      <c r="D18" s="97" t="s">
        <v>321</v>
      </c>
      <c r="E18" s="133" t="s">
        <v>327</v>
      </c>
      <c r="F18" s="131" t="s">
        <v>155</v>
      </c>
      <c r="G18" s="339" t="s">
        <v>448</v>
      </c>
      <c r="H18" s="340"/>
    </row>
    <row r="19" spans="4:8" ht="47.15" customHeight="1" thickBot="1" x14ac:dyDescent="0.4">
      <c r="D19" s="43"/>
      <c r="E19" s="138" t="s">
        <v>357</v>
      </c>
      <c r="F19" s="132"/>
      <c r="G19" s="339" t="s">
        <v>444</v>
      </c>
      <c r="H19" s="340"/>
    </row>
    <row r="20" spans="4:8" ht="13.75" customHeight="1" x14ac:dyDescent="0.35"/>
    <row r="21" spans="4:8" ht="13.75" customHeight="1" x14ac:dyDescent="0.35"/>
    <row r="22" spans="4:8" ht="13.75" customHeight="1" thickBot="1" x14ac:dyDescent="0.4">
      <c r="D22" s="15" t="s">
        <v>328</v>
      </c>
      <c r="E22" s="139"/>
      <c r="F22"/>
      <c r="G22"/>
    </row>
    <row r="23" spans="4:8" ht="13.75" customHeight="1" thickBot="1" x14ac:dyDescent="0.4">
      <c r="D23" s="30" t="s">
        <v>315</v>
      </c>
      <c r="E23" s="137" t="s">
        <v>152</v>
      </c>
      <c r="F23" s="44" t="s">
        <v>316</v>
      </c>
      <c r="G23" s="315" t="s">
        <v>317</v>
      </c>
      <c r="H23" s="316"/>
    </row>
    <row r="24" spans="4:8" ht="41.5" customHeight="1" thickBot="1" x14ac:dyDescent="0.4">
      <c r="D24" s="60" t="s">
        <v>329</v>
      </c>
      <c r="E24" s="134" t="s">
        <v>330</v>
      </c>
      <c r="F24" s="131" t="s">
        <v>156</v>
      </c>
      <c r="G24" s="339" t="s">
        <v>449</v>
      </c>
      <c r="H24" s="340"/>
    </row>
    <row r="25" spans="4:8" x14ac:dyDescent="0.35"/>
    <row r="26" spans="4:8" x14ac:dyDescent="0.35"/>
    <row r="27" spans="4:8" ht="4.5" customHeight="1" x14ac:dyDescent="0.35"/>
    <row r="28" spans="4:8" ht="7.5" customHeight="1" x14ac:dyDescent="0.35"/>
    <row r="29" spans="4:8" ht="8.15" hidden="1" customHeight="1" x14ac:dyDescent="0.35"/>
    <row r="30" spans="4:8" hidden="1" x14ac:dyDescent="0.35"/>
    <row r="31" spans="4:8" x14ac:dyDescent="0.35"/>
    <row r="32" spans="4:8" x14ac:dyDescent="0.35"/>
    <row r="33" spans="4:8" ht="14.5" customHeight="1" thickBot="1" x14ac:dyDescent="0.4">
      <c r="D33" s="15" t="s">
        <v>331</v>
      </c>
      <c r="E33" s="139"/>
      <c r="F33"/>
      <c r="G33"/>
    </row>
    <row r="34" spans="4:8" ht="27.65" customHeight="1" thickBot="1" x14ac:dyDescent="0.4">
      <c r="D34" s="30" t="s">
        <v>315</v>
      </c>
      <c r="E34" s="137" t="s">
        <v>152</v>
      </c>
      <c r="F34" s="44" t="s">
        <v>316</v>
      </c>
      <c r="G34" s="315" t="s">
        <v>317</v>
      </c>
      <c r="H34" s="316"/>
    </row>
    <row r="35" spans="4:8" ht="49.5" customHeight="1" x14ac:dyDescent="0.35">
      <c r="D35" s="32" t="s">
        <v>332</v>
      </c>
      <c r="E35" s="133" t="s">
        <v>333</v>
      </c>
      <c r="F35" s="333" t="s">
        <v>155</v>
      </c>
      <c r="G35" s="317" t="s">
        <v>450</v>
      </c>
      <c r="H35" s="318"/>
    </row>
    <row r="36" spans="4:8" ht="14.5" customHeight="1" thickBot="1" x14ac:dyDescent="0.4">
      <c r="D36" s="33"/>
      <c r="E36" s="134" t="s">
        <v>334</v>
      </c>
      <c r="F36" s="334"/>
      <c r="G36" s="319"/>
      <c r="H36" s="320"/>
    </row>
    <row r="37" spans="4:8" ht="47.5" customHeight="1" x14ac:dyDescent="0.35">
      <c r="D37" s="32" t="s">
        <v>335</v>
      </c>
      <c r="E37" s="133" t="s">
        <v>336</v>
      </c>
      <c r="F37" s="333" t="s">
        <v>156</v>
      </c>
      <c r="G37" s="321"/>
      <c r="H37" s="322"/>
    </row>
    <row r="38" spans="4:8" ht="25" customHeight="1" thickBot="1" x14ac:dyDescent="0.4">
      <c r="D38" s="33"/>
      <c r="E38" s="134" t="s">
        <v>337</v>
      </c>
      <c r="F38" s="334"/>
      <c r="G38" s="323"/>
      <c r="H38" s="324"/>
    </row>
    <row r="39" spans="4:8" ht="40" customHeight="1" x14ac:dyDescent="0.35">
      <c r="D39" s="32" t="s">
        <v>338</v>
      </c>
      <c r="E39" s="133" t="s">
        <v>339</v>
      </c>
      <c r="F39" s="333" t="s">
        <v>156</v>
      </c>
      <c r="G39" s="321"/>
      <c r="H39" s="322"/>
    </row>
    <row r="40" spans="4:8" ht="57" customHeight="1" thickBot="1" x14ac:dyDescent="0.4">
      <c r="D40" s="33"/>
      <c r="E40" s="134" t="s">
        <v>340</v>
      </c>
      <c r="F40" s="334"/>
      <c r="G40" s="323"/>
      <c r="H40" s="324"/>
    </row>
    <row r="41" spans="4:8" ht="25" customHeight="1" x14ac:dyDescent="0.35"/>
    <row r="42" spans="4:8" ht="25" hidden="1" customHeight="1" thickBot="1" x14ac:dyDescent="0.4">
      <c r="D42" s="15" t="s">
        <v>383</v>
      </c>
      <c r="E42" s="139"/>
      <c r="F42"/>
      <c r="G42"/>
    </row>
    <row r="43" spans="4:8" ht="25" hidden="1" customHeight="1" thickBot="1" x14ac:dyDescent="0.4">
      <c r="D43" s="80" t="s">
        <v>315</v>
      </c>
      <c r="E43" s="140" t="s">
        <v>152</v>
      </c>
      <c r="F43" s="81" t="s">
        <v>300</v>
      </c>
      <c r="G43" s="300" t="s">
        <v>317</v>
      </c>
      <c r="H43" s="301"/>
    </row>
    <row r="44" spans="4:8" ht="35.15" hidden="1" customHeight="1" x14ac:dyDescent="0.35">
      <c r="D44" s="302"/>
      <c r="E44" s="304" t="s">
        <v>333</v>
      </c>
      <c r="F44" s="302"/>
      <c r="G44" s="306"/>
      <c r="H44" s="307"/>
    </row>
    <row r="45" spans="4:8" ht="14.5" hidden="1" customHeight="1" thickBot="1" x14ac:dyDescent="0.4">
      <c r="D45" s="303"/>
      <c r="E45" s="305"/>
      <c r="F45" s="303"/>
      <c r="G45" s="308"/>
      <c r="H45" s="309"/>
    </row>
    <row r="46" spans="4:8" ht="20.149999999999999" hidden="1" customHeight="1" thickBot="1" x14ac:dyDescent="0.4">
      <c r="D46" s="28" t="s">
        <v>341</v>
      </c>
      <c r="E46" s="134" t="s">
        <v>342</v>
      </c>
      <c r="F46" s="29"/>
      <c r="G46" s="310"/>
      <c r="H46" s="311"/>
    </row>
  </sheetData>
  <sheetProtection algorithmName="SHA-512" hashValue="HJFZtSZpmJwJ6201SqwOihGbSGnIl2ZYz0fvzDIxzPbhVdEeMmTn0t1kTFfRZ935Wr8PQK0Mx5P1WB2+trwsNA==" saltValue="E3BcecPXPfYV07FqhdgJQA==" spinCount="100000" sheet="1" objects="1" scenarios="1"/>
  <mergeCells count="28">
    <mergeCell ref="G19:H19"/>
    <mergeCell ref="F35:F36"/>
    <mergeCell ref="F37:F38"/>
    <mergeCell ref="D13:D14"/>
    <mergeCell ref="F13:F14"/>
    <mergeCell ref="D15:D17"/>
    <mergeCell ref="F15:F17"/>
    <mergeCell ref="G46:H46"/>
    <mergeCell ref="D6:H6"/>
    <mergeCell ref="G34:H34"/>
    <mergeCell ref="G35:H36"/>
    <mergeCell ref="G37:H38"/>
    <mergeCell ref="G39:H40"/>
    <mergeCell ref="G11:H12"/>
    <mergeCell ref="G13:H14"/>
    <mergeCell ref="G10:H10"/>
    <mergeCell ref="G15:H17"/>
    <mergeCell ref="F39:F40"/>
    <mergeCell ref="D11:D12"/>
    <mergeCell ref="F11:F12"/>
    <mergeCell ref="G24:H24"/>
    <mergeCell ref="G23:H23"/>
    <mergeCell ref="G18:H18"/>
    <mergeCell ref="G43:H43"/>
    <mergeCell ref="F44:F45"/>
    <mergeCell ref="E44:E45"/>
    <mergeCell ref="D44:D45"/>
    <mergeCell ref="G44:H45"/>
  </mergeCells>
  <conditionalFormatting sqref="F24 F11 F35 G37:H40 F15 G19:H19 F13 F37 F39 F46:H46">
    <cfRule type="cellIs" dxfId="10" priority="8" operator="equal">
      <formula>$C$4</formula>
    </cfRule>
  </conditionalFormatting>
  <conditionalFormatting sqref="F18">
    <cfRule type="cellIs" dxfId="9" priority="7" operator="equal">
      <formula>$C$4</formula>
    </cfRule>
  </conditionalFormatting>
  <conditionalFormatting sqref="G11:H12">
    <cfRule type="cellIs" dxfId="8" priority="6" operator="equal">
      <formula>$C$4</formula>
    </cfRule>
  </conditionalFormatting>
  <conditionalFormatting sqref="G13:H14">
    <cfRule type="cellIs" dxfId="7" priority="5" operator="equal">
      <formula>$C$4</formula>
    </cfRule>
  </conditionalFormatting>
  <conditionalFormatting sqref="G15:H17">
    <cfRule type="cellIs" dxfId="6" priority="4" operator="equal">
      <formula>$C$4</formula>
    </cfRule>
  </conditionalFormatting>
  <conditionalFormatting sqref="G18:H18">
    <cfRule type="cellIs" dxfId="5" priority="3" operator="equal">
      <formula>$C$4</formula>
    </cfRule>
  </conditionalFormatting>
  <conditionalFormatting sqref="G24:H24">
    <cfRule type="cellIs" dxfId="4" priority="2" operator="equal">
      <formula>$C$4</formula>
    </cfRule>
  </conditionalFormatting>
  <conditionalFormatting sqref="G35:H36">
    <cfRule type="cellIs" dxfId="3" priority="1" operator="equal">
      <formula>$C$4</formula>
    </cfRule>
  </conditionalFormatting>
  <dataValidations count="1">
    <dataValidation type="list" allowBlank="1" showInputMessage="1" showErrorMessage="1" sqref="M13" xr:uid="{00000000-0002-0000-09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Mapping!$A$2:$A$4</xm:f>
          </x14:formula1>
          <xm:sqref>F11:F18 F24 F35:F40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B1:M400"/>
  <sheetViews>
    <sheetView tabSelected="1" workbookViewId="0">
      <selection activeCell="B10" sqref="B10:M10"/>
    </sheetView>
  </sheetViews>
  <sheetFormatPr defaultColWidth="9.1796875" defaultRowHeight="14.5" x14ac:dyDescent="0.35"/>
  <cols>
    <col min="1" max="3" width="9.1796875" style="16" customWidth="1"/>
    <col min="4" max="4" width="31.36328125" style="16" customWidth="1"/>
    <col min="5"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2:13" x14ac:dyDescent="0.35">
      <c r="B1" s="141" t="s">
        <v>403</v>
      </c>
    </row>
    <row r="3" spans="2:13" x14ac:dyDescent="0.35">
      <c r="B3" s="345" t="s">
        <v>404</v>
      </c>
      <c r="C3" s="345"/>
      <c r="D3" s="345"/>
      <c r="E3" s="345"/>
      <c r="F3" s="345"/>
      <c r="G3" s="345"/>
      <c r="H3" s="345"/>
      <c r="I3" s="345"/>
      <c r="J3" s="345"/>
      <c r="K3" s="345"/>
      <c r="L3" s="345"/>
      <c r="M3" s="345"/>
    </row>
    <row r="4" spans="2:13" x14ac:dyDescent="0.35">
      <c r="B4" s="345" t="s">
        <v>437</v>
      </c>
      <c r="C4" s="345"/>
      <c r="D4" s="345"/>
      <c r="E4" s="345"/>
      <c r="F4" s="345"/>
      <c r="G4" s="345"/>
      <c r="H4" s="345"/>
      <c r="I4" s="345"/>
      <c r="J4" s="345"/>
      <c r="K4" s="345"/>
      <c r="L4" s="345"/>
      <c r="M4" s="345"/>
    </row>
    <row r="5" spans="2:13" ht="27.5" customHeight="1" x14ac:dyDescent="0.35">
      <c r="B5" s="346" t="s">
        <v>406</v>
      </c>
      <c r="C5" s="346"/>
      <c r="D5" s="346"/>
      <c r="E5" s="346"/>
      <c r="F5" s="346"/>
      <c r="G5" s="346"/>
      <c r="H5" s="346"/>
      <c r="I5" s="346"/>
      <c r="J5" s="346"/>
      <c r="K5" s="346"/>
      <c r="L5" s="346"/>
      <c r="M5" s="346"/>
    </row>
    <row r="6" spans="2:13" x14ac:dyDescent="0.35">
      <c r="B6" s="142"/>
      <c r="C6" s="142"/>
      <c r="D6" s="142"/>
      <c r="E6" s="142"/>
      <c r="F6" s="142"/>
      <c r="G6" s="142"/>
      <c r="H6" s="142"/>
      <c r="I6" s="142"/>
      <c r="J6" s="142"/>
      <c r="K6" s="142"/>
      <c r="L6" s="142"/>
      <c r="M6" s="142"/>
    </row>
    <row r="7" spans="2:13" x14ac:dyDescent="0.35">
      <c r="B7" s="345" t="s">
        <v>438</v>
      </c>
      <c r="C7" s="345"/>
      <c r="D7" s="345"/>
      <c r="E7" s="345"/>
      <c r="F7" s="345"/>
      <c r="G7" s="345"/>
      <c r="H7" s="345"/>
      <c r="I7" s="345"/>
      <c r="J7" s="345"/>
      <c r="K7" s="345"/>
      <c r="L7" s="345"/>
      <c r="M7" s="345"/>
    </row>
    <row r="8" spans="2:13" ht="27.5" customHeight="1" x14ac:dyDescent="0.35">
      <c r="B8" s="349" t="s">
        <v>451</v>
      </c>
      <c r="C8" s="349"/>
      <c r="D8" s="349"/>
      <c r="E8" s="349"/>
      <c r="F8" s="349"/>
      <c r="G8" s="349"/>
      <c r="H8" s="349"/>
      <c r="I8" s="349"/>
      <c r="J8" s="349"/>
      <c r="K8" s="349"/>
      <c r="L8" s="349"/>
      <c r="M8" s="349"/>
    </row>
    <row r="9" spans="2:13" x14ac:dyDescent="0.35">
      <c r="B9" s="144"/>
      <c r="C9" s="144"/>
      <c r="D9" s="144"/>
      <c r="E9" s="144"/>
      <c r="F9" s="144"/>
      <c r="G9" s="144"/>
      <c r="H9" s="144"/>
      <c r="I9" s="144"/>
      <c r="J9" s="144"/>
      <c r="K9" s="144"/>
      <c r="L9" s="144"/>
      <c r="M9" s="144"/>
    </row>
    <row r="10" spans="2:13" ht="27.5" customHeight="1" x14ac:dyDescent="0.35">
      <c r="B10" s="349" t="s">
        <v>472</v>
      </c>
      <c r="C10" s="349"/>
      <c r="D10" s="349"/>
      <c r="E10" s="349"/>
      <c r="F10" s="349"/>
      <c r="G10" s="349"/>
      <c r="H10" s="349"/>
      <c r="I10" s="349"/>
      <c r="J10" s="349"/>
      <c r="K10" s="349"/>
      <c r="L10" s="349"/>
      <c r="M10" s="349"/>
    </row>
    <row r="11" spans="2:13" ht="40" customHeight="1" x14ac:dyDescent="0.35">
      <c r="B11" s="349" t="s">
        <v>452</v>
      </c>
      <c r="C11" s="349"/>
      <c r="D11" s="349"/>
      <c r="E11" s="349"/>
      <c r="F11" s="349"/>
      <c r="G11" s="349"/>
      <c r="H11" s="349"/>
      <c r="I11" s="349"/>
      <c r="J11" s="349"/>
      <c r="K11" s="349"/>
      <c r="L11" s="349"/>
      <c r="M11" s="349"/>
    </row>
    <row r="12" spans="2:13" x14ac:dyDescent="0.35">
      <c r="B12" s="144"/>
      <c r="C12" s="144"/>
      <c r="D12" s="144"/>
      <c r="E12" s="144"/>
      <c r="F12" s="144"/>
      <c r="G12" s="144"/>
      <c r="H12" s="144"/>
      <c r="I12" s="144"/>
      <c r="J12" s="144"/>
      <c r="K12" s="144"/>
      <c r="L12" s="144"/>
      <c r="M12" s="144"/>
    </row>
    <row r="13" spans="2:13" ht="30.5" customHeight="1" x14ac:dyDescent="0.35">
      <c r="B13" s="349" t="s">
        <v>504</v>
      </c>
      <c r="C13" s="349"/>
      <c r="D13" s="349"/>
      <c r="E13" s="349"/>
      <c r="F13" s="349"/>
      <c r="G13" s="349"/>
      <c r="H13" s="349"/>
      <c r="I13" s="349"/>
      <c r="J13" s="349"/>
      <c r="K13" s="349"/>
      <c r="L13" s="349"/>
      <c r="M13" s="349"/>
    </row>
    <row r="14" spans="2:13" x14ac:dyDescent="0.35">
      <c r="B14" s="350" t="s">
        <v>473</v>
      </c>
      <c r="C14" s="350"/>
      <c r="D14" s="350"/>
      <c r="E14" s="350"/>
      <c r="F14" s="350"/>
      <c r="G14" s="350"/>
      <c r="H14" s="350"/>
      <c r="I14" s="350"/>
      <c r="J14" s="350"/>
      <c r="K14" s="350"/>
      <c r="L14" s="350"/>
      <c r="M14" s="350"/>
    </row>
    <row r="15" spans="2:13" x14ac:dyDescent="0.35">
      <c r="B15" s="347"/>
      <c r="C15" s="347"/>
      <c r="D15" s="347"/>
      <c r="E15" s="347"/>
      <c r="F15" s="347"/>
      <c r="G15" s="347"/>
      <c r="H15" s="347"/>
      <c r="I15" s="347"/>
      <c r="J15" s="347"/>
      <c r="K15" s="347"/>
      <c r="L15" s="347"/>
      <c r="M15" s="347"/>
    </row>
    <row r="16" spans="2:13" x14ac:dyDescent="0.35">
      <c r="B16" s="355" t="s">
        <v>479</v>
      </c>
      <c r="C16" s="355"/>
      <c r="D16" s="355"/>
      <c r="E16" s="355"/>
      <c r="F16" s="355"/>
      <c r="G16" s="355"/>
      <c r="H16" s="355"/>
      <c r="I16" s="355"/>
      <c r="J16" s="355"/>
      <c r="K16" s="355"/>
      <c r="L16" s="355"/>
      <c r="M16" s="355"/>
    </row>
    <row r="17" spans="2:13" x14ac:dyDescent="0.35">
      <c r="B17" s="355" t="s">
        <v>405</v>
      </c>
      <c r="C17" s="355"/>
      <c r="D17" s="355"/>
      <c r="E17" s="355"/>
      <c r="F17" s="355"/>
      <c r="G17" s="355"/>
      <c r="H17" s="355"/>
      <c r="I17" s="355"/>
      <c r="J17" s="355"/>
      <c r="K17" s="355"/>
      <c r="L17" s="355"/>
      <c r="M17" s="355"/>
    </row>
    <row r="18" spans="2:13" ht="31" customHeight="1" x14ac:dyDescent="0.35">
      <c r="B18" s="353" t="s">
        <v>514</v>
      </c>
      <c r="C18" s="354"/>
      <c r="D18" s="354"/>
      <c r="E18" s="354"/>
      <c r="F18" s="354"/>
      <c r="G18" s="354"/>
      <c r="H18" s="354"/>
      <c r="I18" s="354"/>
      <c r="J18" s="354"/>
      <c r="K18" s="354"/>
      <c r="L18" s="354"/>
      <c r="M18" s="354"/>
    </row>
    <row r="19" spans="2:13" x14ac:dyDescent="0.35">
      <c r="B19" s="21"/>
      <c r="C19" s="21"/>
      <c r="D19" s="21"/>
      <c r="E19" s="21"/>
      <c r="F19" s="21"/>
      <c r="G19" s="21"/>
      <c r="H19" s="21"/>
      <c r="I19" s="21"/>
      <c r="J19" s="21"/>
      <c r="K19" s="21"/>
      <c r="L19" s="21"/>
      <c r="M19" s="21"/>
    </row>
    <row r="20" spans="2:13" x14ac:dyDescent="0.35">
      <c r="B20" s="145" t="s">
        <v>490</v>
      </c>
      <c r="C20" s="21"/>
      <c r="D20" s="21"/>
      <c r="E20" s="21"/>
      <c r="F20" s="21"/>
      <c r="G20" s="21"/>
      <c r="H20" s="21"/>
      <c r="I20" s="21"/>
      <c r="J20" s="21"/>
      <c r="K20" s="21"/>
      <c r="L20" s="21"/>
      <c r="M20" s="21"/>
    </row>
    <row r="21" spans="2:13" x14ac:dyDescent="0.35">
      <c r="B21" s="21" t="s">
        <v>535</v>
      </c>
      <c r="C21" s="21"/>
      <c r="D21" s="21"/>
      <c r="E21" s="21"/>
      <c r="F21" s="21"/>
      <c r="G21" s="21"/>
      <c r="H21" s="21"/>
      <c r="I21" s="21"/>
      <c r="J21" s="21"/>
      <c r="K21" s="21"/>
      <c r="L21" s="21"/>
      <c r="M21" s="21"/>
    </row>
    <row r="22" spans="2:13" x14ac:dyDescent="0.35">
      <c r="B22" s="145"/>
      <c r="C22" s="21"/>
      <c r="D22" s="21"/>
      <c r="E22" s="21"/>
      <c r="F22" s="21"/>
      <c r="G22" s="21"/>
      <c r="H22" s="21"/>
      <c r="I22" s="21"/>
      <c r="J22" s="21"/>
      <c r="K22" s="21"/>
      <c r="L22" s="21"/>
      <c r="M22" s="21"/>
    </row>
    <row r="23" spans="2:13" x14ac:dyDescent="0.35">
      <c r="B23" s="150" t="s">
        <v>491</v>
      </c>
      <c r="C23" s="21"/>
      <c r="D23" s="21"/>
      <c r="E23" s="21"/>
      <c r="F23" s="21"/>
      <c r="G23" s="21"/>
      <c r="H23" s="21"/>
      <c r="I23" s="21"/>
      <c r="J23" s="21"/>
      <c r="K23" s="21"/>
      <c r="L23" s="21"/>
      <c r="M23" s="21"/>
    </row>
    <row r="24" spans="2:13" ht="32.5" customHeight="1" x14ac:dyDescent="0.35">
      <c r="B24" s="349" t="s">
        <v>536</v>
      </c>
      <c r="C24" s="349"/>
      <c r="D24" s="349"/>
      <c r="E24" s="349"/>
      <c r="F24" s="349"/>
      <c r="G24" s="349"/>
      <c r="H24" s="349"/>
      <c r="I24" s="349"/>
      <c r="J24" s="349"/>
      <c r="K24" s="349"/>
      <c r="L24" s="349"/>
      <c r="M24" s="349"/>
    </row>
    <row r="25" spans="2:13" x14ac:dyDescent="0.35">
      <c r="B25" s="145" t="s">
        <v>405</v>
      </c>
      <c r="C25" s="21"/>
      <c r="D25" s="21"/>
      <c r="E25" s="21"/>
      <c r="F25" s="21"/>
      <c r="G25" s="21"/>
      <c r="H25" s="21"/>
      <c r="I25" s="21"/>
      <c r="J25" s="21"/>
      <c r="K25" s="21"/>
      <c r="L25" s="21"/>
      <c r="M25" s="21"/>
    </row>
    <row r="26" spans="2:13" ht="50" customHeight="1" x14ac:dyDescent="0.35">
      <c r="B26" s="353" t="s">
        <v>505</v>
      </c>
      <c r="C26" s="353"/>
      <c r="D26" s="353"/>
      <c r="E26" s="353"/>
      <c r="F26" s="353"/>
      <c r="G26" s="353"/>
      <c r="H26" s="353"/>
      <c r="I26" s="353"/>
      <c r="J26" s="353"/>
      <c r="K26" s="353"/>
      <c r="L26" s="353"/>
      <c r="M26" s="353"/>
    </row>
    <row r="27" spans="2:13" x14ac:dyDescent="0.35">
      <c r="B27" s="21"/>
      <c r="C27" s="21"/>
      <c r="D27" s="21"/>
      <c r="E27" s="21"/>
      <c r="F27" s="21"/>
      <c r="G27" s="21"/>
      <c r="H27" s="21"/>
      <c r="I27" s="21"/>
      <c r="J27" s="21"/>
      <c r="K27" s="21"/>
      <c r="L27" s="21"/>
      <c r="M27" s="21"/>
    </row>
    <row r="28" spans="2:13" x14ac:dyDescent="0.35">
      <c r="B28" s="150" t="s">
        <v>492</v>
      </c>
      <c r="C28" s="151"/>
      <c r="D28" s="151"/>
      <c r="E28" s="151"/>
      <c r="F28" s="151"/>
      <c r="G28" s="151"/>
      <c r="H28" s="151"/>
      <c r="I28" s="151"/>
      <c r="J28" s="151"/>
      <c r="K28" s="151"/>
      <c r="L28" s="151"/>
      <c r="M28" s="151"/>
    </row>
    <row r="29" spans="2:13" ht="28.5" customHeight="1" x14ac:dyDescent="0.35">
      <c r="B29" s="350" t="s">
        <v>531</v>
      </c>
      <c r="C29" s="350"/>
      <c r="D29" s="350"/>
      <c r="E29" s="350"/>
      <c r="F29" s="350"/>
      <c r="G29" s="350"/>
      <c r="H29" s="350"/>
      <c r="I29" s="350"/>
      <c r="J29" s="350"/>
      <c r="K29" s="350"/>
      <c r="L29" s="350"/>
      <c r="M29" s="350"/>
    </row>
    <row r="30" spans="2:13" ht="66.5" customHeight="1" x14ac:dyDescent="0.35">
      <c r="B30" s="350" t="s">
        <v>466</v>
      </c>
      <c r="C30" s="350"/>
      <c r="D30" s="350"/>
      <c r="E30" s="350"/>
      <c r="F30" s="350"/>
      <c r="G30" s="350"/>
      <c r="H30" s="350"/>
      <c r="I30" s="350"/>
      <c r="J30" s="350"/>
      <c r="K30" s="350"/>
      <c r="L30" s="350"/>
      <c r="M30" s="350"/>
    </row>
    <row r="31" spans="2:13" x14ac:dyDescent="0.35">
      <c r="B31" s="150" t="s">
        <v>405</v>
      </c>
      <c r="C31" s="151"/>
      <c r="D31" s="151"/>
      <c r="E31" s="151"/>
      <c r="F31" s="151"/>
      <c r="G31" s="151"/>
      <c r="H31" s="151"/>
      <c r="I31" s="151"/>
      <c r="J31" s="151"/>
      <c r="K31" s="151"/>
      <c r="L31" s="151"/>
      <c r="M31" s="151"/>
    </row>
    <row r="32" spans="2:13" ht="44.5" customHeight="1" x14ac:dyDescent="0.35">
      <c r="B32" s="350" t="s">
        <v>469</v>
      </c>
      <c r="C32" s="350"/>
      <c r="D32" s="350"/>
      <c r="E32" s="350"/>
      <c r="F32" s="350"/>
      <c r="G32" s="350"/>
      <c r="H32" s="350"/>
      <c r="I32" s="350"/>
      <c r="J32" s="350"/>
      <c r="K32" s="350"/>
      <c r="L32" s="350"/>
      <c r="M32" s="350"/>
    </row>
    <row r="33" spans="2:13" x14ac:dyDescent="0.35">
      <c r="B33" s="351"/>
      <c r="C33" s="351"/>
      <c r="D33" s="351"/>
      <c r="E33" s="351"/>
      <c r="F33" s="351"/>
      <c r="G33" s="351"/>
      <c r="H33" s="351"/>
      <c r="I33" s="351"/>
      <c r="J33" s="351"/>
      <c r="K33" s="351"/>
      <c r="L33" s="351"/>
      <c r="M33" s="351"/>
    </row>
    <row r="34" spans="2:13" x14ac:dyDescent="0.35">
      <c r="B34" s="150" t="s">
        <v>493</v>
      </c>
      <c r="C34" s="21"/>
      <c r="D34" s="21"/>
      <c r="E34" s="21"/>
      <c r="F34" s="21"/>
      <c r="G34" s="21"/>
      <c r="H34" s="21"/>
      <c r="I34" s="21"/>
      <c r="J34" s="21"/>
      <c r="K34" s="21"/>
      <c r="L34" s="21"/>
      <c r="M34" s="21"/>
    </row>
    <row r="35" spans="2:13" ht="128" customHeight="1" x14ac:dyDescent="0.35">
      <c r="B35" s="356" t="s">
        <v>470</v>
      </c>
      <c r="C35" s="356"/>
      <c r="D35" s="356"/>
      <c r="E35" s="356"/>
      <c r="F35" s="356"/>
      <c r="G35" s="356"/>
      <c r="H35" s="356"/>
      <c r="I35" s="356"/>
      <c r="J35" s="356"/>
      <c r="K35" s="356"/>
      <c r="L35" s="356"/>
      <c r="M35" s="356"/>
    </row>
    <row r="36" spans="2:13" x14ac:dyDescent="0.35">
      <c r="B36" s="152"/>
      <c r="C36" s="152"/>
      <c r="D36" s="152"/>
      <c r="E36" s="152"/>
      <c r="F36" s="152"/>
      <c r="G36" s="152"/>
      <c r="H36" s="152"/>
      <c r="I36" s="152"/>
      <c r="J36" s="152"/>
      <c r="K36" s="152"/>
      <c r="L36" s="152"/>
      <c r="M36" s="152"/>
    </row>
    <row r="37" spans="2:13" x14ac:dyDescent="0.35">
      <c r="B37" s="352" t="s">
        <v>405</v>
      </c>
      <c r="C37" s="352"/>
      <c r="D37" s="352"/>
      <c r="E37" s="352"/>
      <c r="F37" s="352"/>
      <c r="G37" s="352"/>
      <c r="H37" s="352"/>
      <c r="I37" s="352"/>
      <c r="J37" s="352"/>
      <c r="K37" s="352"/>
      <c r="L37" s="352"/>
      <c r="M37" s="352"/>
    </row>
    <row r="38" spans="2:13" s="6" customFormat="1" ht="27" customHeight="1" x14ac:dyDescent="0.35">
      <c r="B38" s="349" t="s">
        <v>471</v>
      </c>
      <c r="C38" s="349"/>
      <c r="D38" s="349"/>
      <c r="E38" s="349"/>
      <c r="F38" s="349"/>
      <c r="G38" s="349"/>
      <c r="H38" s="349"/>
      <c r="I38" s="349"/>
      <c r="J38" s="349"/>
      <c r="K38" s="349"/>
      <c r="L38" s="349"/>
      <c r="M38" s="349"/>
    </row>
    <row r="39" spans="2:13" x14ac:dyDescent="0.35">
      <c r="B39" s="21"/>
      <c r="C39" s="21"/>
      <c r="D39" s="21"/>
      <c r="E39" s="21"/>
      <c r="F39" s="21"/>
      <c r="G39" s="21"/>
      <c r="H39" s="21"/>
      <c r="I39" s="21"/>
      <c r="J39" s="21"/>
      <c r="K39" s="21"/>
      <c r="L39" s="21"/>
      <c r="M39" s="21"/>
    </row>
    <row r="40" spans="2:13" x14ac:dyDescent="0.35">
      <c r="B40" s="348" t="s">
        <v>494</v>
      </c>
      <c r="C40" s="348"/>
      <c r="D40" s="348"/>
      <c r="E40" s="348"/>
      <c r="F40" s="348"/>
      <c r="G40" s="348"/>
      <c r="H40" s="348"/>
      <c r="I40" s="348"/>
      <c r="J40" s="348"/>
      <c r="K40" s="348"/>
      <c r="L40" s="348"/>
      <c r="M40" s="348"/>
    </row>
    <row r="41" spans="2:13" x14ac:dyDescent="0.35">
      <c r="B41" s="348" t="s">
        <v>405</v>
      </c>
      <c r="C41" s="348"/>
      <c r="D41" s="348"/>
      <c r="E41" s="348"/>
      <c r="F41" s="348"/>
      <c r="G41" s="348"/>
      <c r="H41" s="348"/>
      <c r="I41" s="348"/>
      <c r="J41" s="348"/>
      <c r="K41" s="348"/>
      <c r="L41" s="348"/>
      <c r="M41" s="348"/>
    </row>
    <row r="42" spans="2:13" ht="27.5" customHeight="1" x14ac:dyDescent="0.35">
      <c r="B42" s="346" t="s">
        <v>461</v>
      </c>
      <c r="C42" s="346"/>
      <c r="D42" s="346"/>
      <c r="E42" s="346"/>
      <c r="F42" s="346"/>
      <c r="G42" s="346"/>
      <c r="H42" s="346"/>
      <c r="I42" s="346"/>
      <c r="J42" s="346"/>
      <c r="K42" s="346"/>
      <c r="L42" s="346"/>
      <c r="M42" s="346"/>
    </row>
    <row r="43" spans="2:13" x14ac:dyDescent="0.35">
      <c r="B43" s="347"/>
      <c r="C43" s="347"/>
      <c r="D43" s="347"/>
      <c r="E43" s="347"/>
      <c r="F43" s="347"/>
      <c r="G43" s="347"/>
      <c r="H43" s="347"/>
      <c r="I43" s="347"/>
      <c r="J43" s="347"/>
      <c r="K43" s="347"/>
      <c r="L43" s="347"/>
      <c r="M43" s="347"/>
    </row>
    <row r="44" spans="2:13" x14ac:dyDescent="0.35">
      <c r="B44" s="355" t="s">
        <v>495</v>
      </c>
      <c r="C44" s="355"/>
      <c r="D44" s="355"/>
      <c r="E44" s="355"/>
      <c r="F44" s="355"/>
      <c r="G44" s="355"/>
      <c r="H44" s="355"/>
      <c r="I44" s="355"/>
      <c r="J44" s="355"/>
      <c r="K44" s="355"/>
      <c r="L44" s="355"/>
      <c r="M44" s="355"/>
    </row>
    <row r="45" spans="2:13" ht="33.5" customHeight="1" x14ac:dyDescent="0.35">
      <c r="B45" s="349" t="s">
        <v>453</v>
      </c>
      <c r="C45" s="349"/>
      <c r="D45" s="349"/>
      <c r="E45" s="349"/>
      <c r="F45" s="349"/>
      <c r="G45" s="349"/>
      <c r="H45" s="349"/>
      <c r="I45" s="349"/>
      <c r="J45" s="349"/>
      <c r="K45" s="349"/>
      <c r="L45" s="349"/>
      <c r="M45" s="349"/>
    </row>
    <row r="46" spans="2:13" x14ac:dyDescent="0.35">
      <c r="B46" s="347"/>
      <c r="C46" s="347"/>
      <c r="D46" s="347"/>
      <c r="E46" s="347"/>
      <c r="F46" s="347"/>
      <c r="G46" s="347"/>
      <c r="H46" s="347"/>
      <c r="I46" s="347"/>
      <c r="J46" s="347"/>
      <c r="K46" s="347"/>
      <c r="L46" s="347"/>
      <c r="M46" s="347"/>
    </row>
    <row r="47" spans="2:13" ht="49" customHeight="1" x14ac:dyDescent="0.35">
      <c r="B47" s="353" t="s">
        <v>454</v>
      </c>
      <c r="C47" s="353"/>
      <c r="D47" s="353"/>
      <c r="E47" s="353"/>
      <c r="F47" s="353"/>
      <c r="G47" s="353"/>
      <c r="H47" s="353"/>
      <c r="I47" s="353"/>
      <c r="J47" s="353"/>
      <c r="K47" s="353"/>
      <c r="L47" s="353"/>
      <c r="M47" s="353"/>
    </row>
    <row r="48" spans="2:13" ht="38" customHeight="1" x14ac:dyDescent="0.35">
      <c r="B48" s="357" t="s">
        <v>455</v>
      </c>
      <c r="C48" s="357"/>
      <c r="D48" s="357"/>
      <c r="E48" s="357"/>
      <c r="F48" s="357"/>
      <c r="G48" s="357"/>
      <c r="H48" s="357"/>
      <c r="I48" s="357"/>
      <c r="J48" s="357"/>
      <c r="K48" s="357"/>
      <c r="L48" s="357"/>
      <c r="M48" s="357"/>
    </row>
    <row r="49" spans="2:13" ht="46.5" customHeight="1" x14ac:dyDescent="0.35">
      <c r="B49" s="353" t="s">
        <v>462</v>
      </c>
      <c r="C49" s="353"/>
      <c r="D49" s="353"/>
      <c r="E49" s="353"/>
      <c r="F49" s="353"/>
      <c r="G49" s="353"/>
      <c r="H49" s="353"/>
      <c r="I49" s="353"/>
      <c r="J49" s="353"/>
      <c r="K49" s="353"/>
      <c r="L49" s="353"/>
      <c r="M49" s="353"/>
    </row>
    <row r="50" spans="2:13" x14ac:dyDescent="0.35">
      <c r="B50" s="347"/>
      <c r="C50" s="347"/>
      <c r="D50" s="347"/>
      <c r="E50" s="347"/>
      <c r="F50" s="347"/>
      <c r="G50" s="347"/>
      <c r="H50" s="347"/>
      <c r="I50" s="347"/>
      <c r="J50" s="347"/>
      <c r="K50" s="347"/>
      <c r="L50" s="347"/>
      <c r="M50" s="347"/>
    </row>
    <row r="51" spans="2:13" x14ac:dyDescent="0.35">
      <c r="B51" s="348" t="s">
        <v>496</v>
      </c>
      <c r="C51" s="348"/>
      <c r="D51" s="348"/>
      <c r="E51" s="348"/>
      <c r="F51" s="348"/>
      <c r="G51" s="348"/>
      <c r="H51" s="348"/>
      <c r="I51" s="348"/>
      <c r="J51" s="348"/>
      <c r="K51" s="348"/>
      <c r="L51" s="348"/>
      <c r="M51" s="348"/>
    </row>
    <row r="52" spans="2:13" ht="75.5" customHeight="1" x14ac:dyDescent="0.35">
      <c r="B52" s="350" t="s">
        <v>512</v>
      </c>
      <c r="C52" s="350"/>
      <c r="D52" s="350"/>
      <c r="E52" s="350"/>
      <c r="F52" s="350"/>
      <c r="G52" s="350"/>
      <c r="H52" s="350"/>
      <c r="I52" s="350"/>
      <c r="J52" s="350"/>
      <c r="K52" s="350"/>
      <c r="L52" s="350"/>
      <c r="M52" s="350"/>
    </row>
    <row r="53" spans="2:13" ht="15" thickBot="1" x14ac:dyDescent="0.4">
      <c r="B53" s="347"/>
      <c r="C53" s="347"/>
      <c r="D53" s="347"/>
      <c r="E53" s="347"/>
      <c r="F53" s="347"/>
      <c r="G53" s="347"/>
      <c r="H53" s="347"/>
      <c r="I53" s="347"/>
      <c r="J53" s="347"/>
      <c r="K53" s="347"/>
      <c r="L53" s="347"/>
      <c r="M53" s="347"/>
    </row>
    <row r="54" spans="2:13" ht="24.5" thickBot="1" x14ac:dyDescent="0.4">
      <c r="B54" s="21"/>
      <c r="C54" s="21"/>
      <c r="D54" s="146" t="s">
        <v>456</v>
      </c>
      <c r="E54" s="147" t="s">
        <v>457</v>
      </c>
      <c r="F54" s="147" t="s">
        <v>458</v>
      </c>
      <c r="G54" s="21"/>
      <c r="H54" s="21"/>
      <c r="I54" s="21"/>
      <c r="J54" s="21"/>
      <c r="K54" s="21"/>
      <c r="L54" s="21"/>
      <c r="M54" s="21"/>
    </row>
    <row r="55" spans="2:13" ht="72.5" thickBot="1" x14ac:dyDescent="0.4">
      <c r="B55" s="21"/>
      <c r="C55" s="21"/>
      <c r="D55" s="148" t="s">
        <v>460</v>
      </c>
      <c r="E55" s="149"/>
      <c r="F55" s="149"/>
      <c r="G55" s="21"/>
      <c r="H55" s="21"/>
      <c r="I55" s="21"/>
      <c r="J55" s="21"/>
      <c r="K55" s="21"/>
      <c r="L55" s="21"/>
      <c r="M55" s="21"/>
    </row>
    <row r="56" spans="2:13" ht="70" customHeight="1" thickBot="1" x14ac:dyDescent="0.4">
      <c r="B56" s="21"/>
      <c r="C56" s="21"/>
      <c r="D56" s="148" t="s">
        <v>459</v>
      </c>
      <c r="E56" s="149"/>
      <c r="F56" s="149"/>
      <c r="G56" s="21"/>
      <c r="H56" s="21"/>
      <c r="I56" s="21"/>
      <c r="J56" s="21"/>
      <c r="K56" s="21"/>
      <c r="L56" s="21"/>
      <c r="M56" s="21"/>
    </row>
    <row r="57" spans="2:13" x14ac:dyDescent="0.35">
      <c r="B57" s="347"/>
      <c r="C57" s="347"/>
      <c r="D57" s="347"/>
      <c r="E57" s="347"/>
      <c r="F57" s="347"/>
      <c r="G57" s="347"/>
      <c r="H57" s="347"/>
      <c r="I57" s="347"/>
      <c r="J57" s="347"/>
      <c r="K57" s="347"/>
      <c r="L57" s="347"/>
      <c r="M57" s="347"/>
    </row>
    <row r="58" spans="2:13" x14ac:dyDescent="0.35">
      <c r="B58" s="348" t="s">
        <v>497</v>
      </c>
      <c r="C58" s="348"/>
      <c r="D58" s="348"/>
      <c r="E58" s="348"/>
      <c r="F58" s="348"/>
      <c r="G58" s="348"/>
      <c r="H58" s="348"/>
      <c r="I58" s="348"/>
      <c r="J58" s="348"/>
      <c r="K58" s="348"/>
      <c r="L58" s="348"/>
      <c r="M58" s="348"/>
    </row>
    <row r="59" spans="2:13" x14ac:dyDescent="0.35">
      <c r="B59" s="355" t="s">
        <v>405</v>
      </c>
      <c r="C59" s="355"/>
      <c r="D59" s="355"/>
      <c r="E59" s="355"/>
      <c r="F59" s="355"/>
      <c r="G59" s="355"/>
      <c r="H59" s="355"/>
      <c r="I59" s="355"/>
      <c r="J59" s="355"/>
      <c r="K59" s="355"/>
      <c r="L59" s="355"/>
      <c r="M59" s="355"/>
    </row>
    <row r="60" spans="2:13" ht="48.5" customHeight="1" x14ac:dyDescent="0.35">
      <c r="B60" s="349" t="s">
        <v>463</v>
      </c>
      <c r="C60" s="349"/>
      <c r="D60" s="349"/>
      <c r="E60" s="349"/>
      <c r="F60" s="349"/>
      <c r="G60" s="349"/>
      <c r="H60" s="349"/>
      <c r="I60" s="349"/>
      <c r="J60" s="349"/>
      <c r="K60" s="349"/>
      <c r="L60" s="349"/>
      <c r="M60" s="349"/>
    </row>
    <row r="61" spans="2:13" x14ac:dyDescent="0.35">
      <c r="B61" s="347"/>
      <c r="C61" s="347"/>
      <c r="D61" s="347"/>
      <c r="E61" s="347"/>
      <c r="F61" s="347"/>
      <c r="G61" s="347"/>
      <c r="H61" s="347"/>
      <c r="I61" s="347"/>
      <c r="J61" s="347"/>
      <c r="K61" s="347"/>
      <c r="L61" s="347"/>
      <c r="M61" s="347"/>
    </row>
    <row r="62" spans="2:13" x14ac:dyDescent="0.35">
      <c r="B62" s="355" t="s">
        <v>464</v>
      </c>
      <c r="C62" s="355"/>
      <c r="D62" s="355"/>
      <c r="E62" s="355"/>
      <c r="F62" s="355"/>
      <c r="G62" s="355"/>
      <c r="H62" s="355"/>
      <c r="I62" s="355"/>
      <c r="J62" s="355"/>
      <c r="K62" s="355"/>
      <c r="L62" s="355"/>
      <c r="M62" s="355"/>
    </row>
    <row r="63" spans="2:13" ht="93" customHeight="1" x14ac:dyDescent="0.35">
      <c r="B63" s="349" t="s">
        <v>478</v>
      </c>
      <c r="C63" s="349"/>
      <c r="D63" s="349"/>
      <c r="E63" s="349"/>
      <c r="F63" s="349"/>
      <c r="G63" s="349"/>
      <c r="H63" s="349"/>
      <c r="I63" s="349"/>
      <c r="J63" s="349"/>
      <c r="K63" s="349"/>
      <c r="L63" s="349"/>
      <c r="M63" s="349"/>
    </row>
    <row r="64" spans="2:13" ht="67.5" customHeight="1" x14ac:dyDescent="0.35">
      <c r="B64" s="349" t="s">
        <v>537</v>
      </c>
      <c r="C64" s="349"/>
      <c r="D64" s="349"/>
      <c r="E64" s="349"/>
      <c r="F64" s="349"/>
      <c r="G64" s="349"/>
      <c r="H64" s="349"/>
      <c r="I64" s="349"/>
      <c r="J64" s="349"/>
      <c r="K64" s="349"/>
      <c r="L64" s="349"/>
      <c r="M64" s="349"/>
    </row>
    <row r="65" spans="2:13" x14ac:dyDescent="0.35">
      <c r="B65" s="360" t="s">
        <v>405</v>
      </c>
      <c r="C65" s="360"/>
      <c r="D65" s="360"/>
      <c r="E65" s="360"/>
      <c r="F65" s="360"/>
      <c r="G65" s="360"/>
      <c r="H65" s="360"/>
      <c r="I65" s="360"/>
      <c r="J65" s="360"/>
      <c r="K65" s="360"/>
      <c r="L65" s="360"/>
      <c r="M65" s="360"/>
    </row>
    <row r="66" spans="2:13" ht="41.5" customHeight="1" x14ac:dyDescent="0.35">
      <c r="B66" s="349" t="s">
        <v>474</v>
      </c>
      <c r="C66" s="349"/>
      <c r="D66" s="349"/>
      <c r="E66" s="349"/>
      <c r="F66" s="349"/>
      <c r="G66" s="349"/>
      <c r="H66" s="349"/>
      <c r="I66" s="349"/>
      <c r="J66" s="349"/>
      <c r="K66" s="349"/>
      <c r="L66" s="349"/>
      <c r="M66" s="349"/>
    </row>
    <row r="67" spans="2:13" ht="36" customHeight="1" x14ac:dyDescent="0.35">
      <c r="B67" s="349" t="s">
        <v>476</v>
      </c>
      <c r="C67" s="349"/>
      <c r="D67" s="349"/>
      <c r="E67" s="349"/>
      <c r="F67" s="349"/>
      <c r="G67" s="349"/>
      <c r="H67" s="349"/>
      <c r="I67" s="349"/>
      <c r="J67" s="349"/>
      <c r="K67" s="349"/>
      <c r="L67" s="349"/>
      <c r="M67" s="349"/>
    </row>
    <row r="69" spans="2:13" x14ac:dyDescent="0.35">
      <c r="B69" s="360" t="s">
        <v>498</v>
      </c>
      <c r="C69" s="360"/>
      <c r="D69" s="360"/>
      <c r="E69" s="360"/>
      <c r="F69" s="360"/>
      <c r="G69" s="360"/>
      <c r="H69" s="360"/>
      <c r="I69" s="360"/>
      <c r="J69" s="360"/>
      <c r="K69" s="360"/>
      <c r="L69" s="360"/>
      <c r="M69" s="360"/>
    </row>
    <row r="70" spans="2:13" ht="45" customHeight="1" x14ac:dyDescent="0.35">
      <c r="B70" s="350" t="s">
        <v>538</v>
      </c>
      <c r="C70" s="350"/>
      <c r="D70" s="350"/>
      <c r="E70" s="350"/>
      <c r="F70" s="350"/>
      <c r="G70" s="350"/>
      <c r="H70" s="350"/>
      <c r="I70" s="350"/>
      <c r="J70" s="350"/>
      <c r="K70" s="350"/>
      <c r="L70" s="350"/>
      <c r="M70" s="350"/>
    </row>
    <row r="71" spans="2:13" ht="44.5" customHeight="1" x14ac:dyDescent="0.35">
      <c r="B71" s="350" t="s">
        <v>539</v>
      </c>
      <c r="C71" s="350"/>
      <c r="D71" s="350"/>
      <c r="E71" s="350"/>
      <c r="F71" s="350"/>
      <c r="G71" s="350"/>
      <c r="H71" s="350"/>
      <c r="I71" s="350"/>
      <c r="J71" s="350"/>
      <c r="K71" s="350"/>
      <c r="L71" s="350"/>
      <c r="M71" s="350"/>
    </row>
    <row r="72" spans="2:13" x14ac:dyDescent="0.35">
      <c r="B72" s="361" t="s">
        <v>480</v>
      </c>
      <c r="C72" s="361"/>
      <c r="D72" s="361"/>
      <c r="E72" s="361"/>
      <c r="F72" s="361"/>
      <c r="G72" s="361"/>
      <c r="H72" s="361"/>
      <c r="I72" s="361"/>
      <c r="J72" s="361"/>
      <c r="K72" s="361"/>
      <c r="L72" s="361"/>
      <c r="M72" s="361"/>
    </row>
    <row r="73" spans="2:13" x14ac:dyDescent="0.35">
      <c r="B73" s="360" t="s">
        <v>405</v>
      </c>
      <c r="C73" s="360"/>
      <c r="D73" s="360"/>
      <c r="E73" s="360"/>
      <c r="F73" s="360"/>
      <c r="G73" s="360"/>
      <c r="H73" s="360"/>
      <c r="I73" s="360"/>
      <c r="J73" s="360"/>
      <c r="K73" s="360"/>
      <c r="L73" s="360"/>
      <c r="M73" s="360"/>
    </row>
    <row r="74" spans="2:13" ht="94.5" customHeight="1" x14ac:dyDescent="0.35">
      <c r="B74" s="350" t="s">
        <v>532</v>
      </c>
      <c r="C74" s="350"/>
      <c r="D74" s="350"/>
      <c r="E74" s="350"/>
      <c r="F74" s="350"/>
      <c r="G74" s="350"/>
      <c r="H74" s="350"/>
      <c r="I74" s="350"/>
      <c r="J74" s="350"/>
      <c r="K74" s="350"/>
      <c r="L74" s="350"/>
      <c r="M74" s="350"/>
    </row>
    <row r="75" spans="2:13" x14ac:dyDescent="0.35">
      <c r="B75" s="347"/>
      <c r="C75" s="347"/>
      <c r="D75" s="347"/>
      <c r="E75" s="347"/>
      <c r="F75" s="347"/>
      <c r="G75" s="347"/>
      <c r="H75" s="347"/>
      <c r="I75" s="347"/>
      <c r="J75" s="347"/>
      <c r="K75" s="347"/>
      <c r="L75" s="347"/>
      <c r="M75" s="347"/>
    </row>
    <row r="76" spans="2:13" x14ac:dyDescent="0.35">
      <c r="B76" s="79" t="s">
        <v>499</v>
      </c>
      <c r="C76" s="79"/>
      <c r="D76" s="79"/>
      <c r="E76" s="79"/>
      <c r="F76" s="79"/>
      <c r="G76" s="79"/>
      <c r="H76" s="79"/>
      <c r="I76" s="79"/>
      <c r="J76" s="79"/>
      <c r="K76" s="79"/>
      <c r="L76" s="79"/>
      <c r="M76" s="79"/>
    </row>
    <row r="77" spans="2:13" ht="57.5" customHeight="1" x14ac:dyDescent="0.35">
      <c r="B77" s="346" t="s">
        <v>481</v>
      </c>
      <c r="C77" s="346"/>
      <c r="D77" s="346"/>
      <c r="E77" s="346"/>
      <c r="F77" s="346"/>
      <c r="G77" s="346"/>
      <c r="H77" s="346"/>
      <c r="I77" s="346"/>
      <c r="J77" s="346"/>
      <c r="K77" s="346"/>
      <c r="L77" s="346"/>
      <c r="M77" s="346"/>
    </row>
    <row r="78" spans="2:13" x14ac:dyDescent="0.35">
      <c r="B78" s="348" t="s">
        <v>405</v>
      </c>
      <c r="C78" s="348"/>
      <c r="D78" s="348"/>
      <c r="E78" s="348"/>
      <c r="F78" s="348"/>
      <c r="G78" s="348"/>
      <c r="H78" s="348"/>
      <c r="I78" s="348"/>
      <c r="J78" s="348"/>
      <c r="K78" s="348"/>
      <c r="L78" s="348"/>
      <c r="M78" s="348"/>
    </row>
    <row r="79" spans="2:13" x14ac:dyDescent="0.35">
      <c r="B79" s="358" t="s">
        <v>482</v>
      </c>
      <c r="C79" s="358"/>
      <c r="D79" s="358"/>
      <c r="E79" s="358"/>
      <c r="F79" s="358"/>
      <c r="G79" s="358"/>
      <c r="H79" s="358"/>
      <c r="I79" s="358"/>
      <c r="J79" s="358"/>
      <c r="K79" s="358"/>
      <c r="L79" s="358"/>
      <c r="M79" s="358"/>
    </row>
    <row r="80" spans="2:13" x14ac:dyDescent="0.35">
      <c r="B80" s="21"/>
      <c r="C80" s="21"/>
      <c r="D80" s="21"/>
      <c r="E80" s="21"/>
      <c r="F80" s="21"/>
      <c r="G80" s="21"/>
      <c r="H80" s="21"/>
      <c r="I80" s="21"/>
      <c r="J80" s="21"/>
      <c r="K80" s="21"/>
      <c r="L80" s="21"/>
      <c r="M80" s="21"/>
    </row>
    <row r="81" spans="2:13" x14ac:dyDescent="0.35">
      <c r="B81" s="355" t="s">
        <v>500</v>
      </c>
      <c r="C81" s="355"/>
      <c r="D81" s="355"/>
      <c r="E81" s="355"/>
      <c r="F81" s="355"/>
      <c r="G81" s="355"/>
      <c r="H81" s="355"/>
      <c r="I81" s="355"/>
      <c r="J81" s="355"/>
      <c r="K81" s="355"/>
      <c r="L81" s="355"/>
      <c r="M81" s="355"/>
    </row>
    <row r="82" spans="2:13" x14ac:dyDescent="0.35">
      <c r="B82" s="348" t="s">
        <v>405</v>
      </c>
      <c r="C82" s="348"/>
      <c r="D82" s="348"/>
      <c r="E82" s="348"/>
      <c r="F82" s="348"/>
      <c r="G82" s="348"/>
      <c r="H82" s="348"/>
      <c r="I82" s="348"/>
      <c r="J82" s="348"/>
      <c r="K82" s="348"/>
      <c r="L82" s="348"/>
      <c r="M82" s="348"/>
    </row>
    <row r="83" spans="2:13" x14ac:dyDescent="0.35">
      <c r="B83" s="346" t="s">
        <v>540</v>
      </c>
      <c r="C83" s="358"/>
      <c r="D83" s="358"/>
      <c r="E83" s="358"/>
      <c r="F83" s="358"/>
      <c r="G83" s="358"/>
      <c r="H83" s="358"/>
      <c r="I83" s="358"/>
      <c r="J83" s="358"/>
      <c r="K83" s="358"/>
      <c r="L83" s="358"/>
      <c r="M83" s="358"/>
    </row>
    <row r="84" spans="2:13" ht="54.5" customHeight="1" x14ac:dyDescent="0.35">
      <c r="B84" s="359" t="s">
        <v>533</v>
      </c>
      <c r="C84" s="359"/>
      <c r="D84" s="359"/>
      <c r="E84" s="359"/>
      <c r="F84" s="359"/>
      <c r="G84" s="359"/>
      <c r="H84" s="359"/>
      <c r="I84" s="359"/>
      <c r="J84" s="359"/>
      <c r="K84" s="359"/>
      <c r="L84" s="359"/>
      <c r="M84" s="359"/>
    </row>
    <row r="85" spans="2:13" x14ac:dyDescent="0.35">
      <c r="B85" s="347"/>
      <c r="C85" s="347"/>
      <c r="D85" s="347"/>
      <c r="E85" s="347"/>
      <c r="F85" s="347"/>
      <c r="G85" s="347"/>
      <c r="H85" s="347"/>
      <c r="I85" s="347"/>
      <c r="J85" s="347"/>
      <c r="K85" s="347"/>
      <c r="L85" s="347"/>
      <c r="M85" s="347"/>
    </row>
    <row r="86" spans="2:13" x14ac:dyDescent="0.35">
      <c r="B86" s="355" t="s">
        <v>501</v>
      </c>
      <c r="C86" s="355"/>
      <c r="D86" s="355"/>
      <c r="E86" s="355"/>
      <c r="F86" s="355"/>
      <c r="G86" s="355"/>
      <c r="H86" s="355"/>
      <c r="I86" s="355"/>
      <c r="J86" s="355"/>
      <c r="K86" s="355"/>
      <c r="L86" s="355"/>
      <c r="M86" s="355"/>
    </row>
    <row r="87" spans="2:13" ht="57.5" customHeight="1" x14ac:dyDescent="0.35">
      <c r="B87" s="349" t="s">
        <v>541</v>
      </c>
      <c r="C87" s="347"/>
      <c r="D87" s="347"/>
      <c r="E87" s="347"/>
      <c r="F87" s="347"/>
      <c r="G87" s="347"/>
      <c r="H87" s="347"/>
      <c r="I87" s="347"/>
      <c r="J87" s="347"/>
      <c r="K87" s="347"/>
      <c r="L87" s="347"/>
      <c r="M87" s="347"/>
    </row>
    <row r="88" spans="2:13" x14ac:dyDescent="0.35">
      <c r="B88" s="348" t="s">
        <v>405</v>
      </c>
      <c r="C88" s="348"/>
      <c r="D88" s="348"/>
      <c r="E88" s="348"/>
      <c r="F88" s="348"/>
      <c r="G88" s="348"/>
      <c r="H88" s="348"/>
      <c r="I88" s="348"/>
      <c r="J88" s="348"/>
      <c r="K88" s="348"/>
      <c r="L88" s="348"/>
      <c r="M88" s="348"/>
    </row>
    <row r="89" spans="2:13" ht="15" customHeight="1" x14ac:dyDescent="0.35">
      <c r="B89" s="349" t="s">
        <v>534</v>
      </c>
      <c r="C89" s="349"/>
      <c r="D89" s="349"/>
      <c r="E89" s="349"/>
      <c r="F89" s="349"/>
      <c r="G89" s="349"/>
      <c r="H89" s="349"/>
      <c r="I89" s="349"/>
      <c r="J89" s="349"/>
      <c r="K89" s="349"/>
      <c r="L89" s="349"/>
      <c r="M89" s="349"/>
    </row>
    <row r="90" spans="2:13" x14ac:dyDescent="0.35">
      <c r="B90" s="347"/>
      <c r="C90" s="347"/>
      <c r="D90" s="347"/>
      <c r="E90" s="347"/>
      <c r="F90" s="347"/>
      <c r="G90" s="347"/>
      <c r="H90" s="347"/>
      <c r="I90" s="347"/>
      <c r="J90" s="347"/>
      <c r="K90" s="347"/>
      <c r="L90" s="347"/>
      <c r="M90" s="347"/>
    </row>
    <row r="91" spans="2:13" x14ac:dyDescent="0.35">
      <c r="B91" s="347"/>
      <c r="C91" s="347"/>
      <c r="D91" s="347"/>
      <c r="E91" s="347"/>
      <c r="F91" s="347"/>
      <c r="G91" s="347"/>
      <c r="H91" s="347"/>
      <c r="I91" s="347"/>
      <c r="J91" s="347"/>
      <c r="K91" s="347"/>
      <c r="L91" s="347"/>
      <c r="M91" s="347"/>
    </row>
    <row r="92" spans="2:13" x14ac:dyDescent="0.35">
      <c r="B92" s="347"/>
      <c r="C92" s="347"/>
      <c r="D92" s="347"/>
      <c r="E92" s="347"/>
      <c r="F92" s="347"/>
      <c r="G92" s="347"/>
      <c r="H92" s="347"/>
      <c r="I92" s="347"/>
      <c r="J92" s="347"/>
      <c r="K92" s="347"/>
      <c r="L92" s="347"/>
      <c r="M92" s="347"/>
    </row>
    <row r="93" spans="2:13" x14ac:dyDescent="0.35">
      <c r="B93" s="347"/>
      <c r="C93" s="347"/>
      <c r="D93" s="347"/>
      <c r="E93" s="347"/>
      <c r="F93" s="347"/>
      <c r="G93" s="347"/>
      <c r="H93" s="347"/>
      <c r="I93" s="347"/>
      <c r="J93" s="347"/>
      <c r="K93" s="347"/>
      <c r="L93" s="347"/>
      <c r="M93" s="347"/>
    </row>
    <row r="94" spans="2:13" x14ac:dyDescent="0.35">
      <c r="B94" s="347"/>
      <c r="C94" s="347"/>
      <c r="D94" s="347"/>
      <c r="E94" s="347"/>
      <c r="F94" s="347"/>
      <c r="G94" s="347"/>
      <c r="H94" s="347"/>
      <c r="I94" s="347"/>
      <c r="J94" s="347"/>
      <c r="K94" s="347"/>
      <c r="L94" s="347"/>
      <c r="M94" s="347"/>
    </row>
    <row r="95" spans="2:13" x14ac:dyDescent="0.35">
      <c r="B95" s="347"/>
      <c r="C95" s="347"/>
      <c r="D95" s="347"/>
      <c r="E95" s="347"/>
      <c r="F95" s="347"/>
      <c r="G95" s="347"/>
      <c r="H95" s="347"/>
      <c r="I95" s="347"/>
      <c r="J95" s="347"/>
      <c r="K95" s="347"/>
      <c r="L95" s="347"/>
      <c r="M95" s="347"/>
    </row>
    <row r="96" spans="2:13" x14ac:dyDescent="0.35">
      <c r="B96" s="347"/>
      <c r="C96" s="347"/>
      <c r="D96" s="347"/>
      <c r="E96" s="347"/>
      <c r="F96" s="347"/>
      <c r="G96" s="347"/>
      <c r="H96" s="347"/>
      <c r="I96" s="347"/>
      <c r="J96" s="347"/>
      <c r="K96" s="347"/>
      <c r="L96" s="347"/>
      <c r="M96" s="347"/>
    </row>
    <row r="97" spans="2:13" x14ac:dyDescent="0.35">
      <c r="B97" s="347"/>
      <c r="C97" s="347"/>
      <c r="D97" s="347"/>
      <c r="E97" s="347"/>
      <c r="F97" s="347"/>
      <c r="G97" s="347"/>
      <c r="H97" s="347"/>
      <c r="I97" s="347"/>
      <c r="J97" s="347"/>
      <c r="K97" s="347"/>
      <c r="L97" s="347"/>
      <c r="M97" s="347"/>
    </row>
    <row r="98" spans="2:13" x14ac:dyDescent="0.35">
      <c r="B98" s="347"/>
      <c r="C98" s="347"/>
      <c r="D98" s="347"/>
      <c r="E98" s="347"/>
      <c r="F98" s="347"/>
      <c r="G98" s="347"/>
      <c r="H98" s="347"/>
      <c r="I98" s="347"/>
      <c r="J98" s="347"/>
      <c r="K98" s="347"/>
      <c r="L98" s="347"/>
      <c r="M98" s="347"/>
    </row>
    <row r="99" spans="2:13" x14ac:dyDescent="0.35">
      <c r="B99" s="347"/>
      <c r="C99" s="347"/>
      <c r="D99" s="347"/>
      <c r="E99" s="347"/>
      <c r="F99" s="347"/>
      <c r="G99" s="347"/>
      <c r="H99" s="347"/>
      <c r="I99" s="347"/>
      <c r="J99" s="347"/>
      <c r="K99" s="347"/>
      <c r="L99" s="347"/>
      <c r="M99" s="347"/>
    </row>
    <row r="100" spans="2:13" x14ac:dyDescent="0.35">
      <c r="B100" s="347"/>
      <c r="C100" s="347"/>
      <c r="D100" s="347"/>
      <c r="E100" s="347"/>
      <c r="F100" s="347"/>
      <c r="G100" s="347"/>
      <c r="H100" s="347"/>
      <c r="I100" s="347"/>
      <c r="J100" s="347"/>
      <c r="K100" s="347"/>
      <c r="L100" s="347"/>
      <c r="M100" s="347"/>
    </row>
    <row r="101" spans="2:13" x14ac:dyDescent="0.35">
      <c r="B101" s="347"/>
      <c r="C101" s="347"/>
      <c r="D101" s="347"/>
      <c r="E101" s="347"/>
      <c r="F101" s="347"/>
      <c r="G101" s="347"/>
      <c r="H101" s="347"/>
      <c r="I101" s="347"/>
      <c r="J101" s="347"/>
      <c r="K101" s="347"/>
      <c r="L101" s="347"/>
      <c r="M101" s="347"/>
    </row>
    <row r="102" spans="2:13" x14ac:dyDescent="0.35">
      <c r="B102" s="347"/>
      <c r="C102" s="347"/>
      <c r="D102" s="347"/>
      <c r="E102" s="347"/>
      <c r="F102" s="347"/>
      <c r="G102" s="347"/>
      <c r="H102" s="347"/>
      <c r="I102" s="347"/>
      <c r="J102" s="347"/>
      <c r="K102" s="347"/>
      <c r="L102" s="347"/>
      <c r="M102" s="347"/>
    </row>
    <row r="103" spans="2:13" x14ac:dyDescent="0.35">
      <c r="B103" s="347"/>
      <c r="C103" s="347"/>
      <c r="D103" s="347"/>
      <c r="E103" s="347"/>
      <c r="F103" s="347"/>
      <c r="G103" s="347"/>
      <c r="H103" s="347"/>
      <c r="I103" s="347"/>
      <c r="J103" s="347"/>
      <c r="K103" s="347"/>
      <c r="L103" s="347"/>
      <c r="M103" s="347"/>
    </row>
    <row r="104" spans="2:13" x14ac:dyDescent="0.35">
      <c r="B104" s="347"/>
      <c r="C104" s="347"/>
      <c r="D104" s="347"/>
      <c r="E104" s="347"/>
      <c r="F104" s="347"/>
      <c r="G104" s="347"/>
      <c r="H104" s="347"/>
      <c r="I104" s="347"/>
      <c r="J104" s="347"/>
      <c r="K104" s="347"/>
      <c r="L104" s="347"/>
      <c r="M104" s="347"/>
    </row>
    <row r="105" spans="2:13" x14ac:dyDescent="0.35">
      <c r="B105" s="347"/>
      <c r="C105" s="347"/>
      <c r="D105" s="347"/>
      <c r="E105" s="347"/>
      <c r="F105" s="347"/>
      <c r="G105" s="347"/>
      <c r="H105" s="347"/>
      <c r="I105" s="347"/>
      <c r="J105" s="347"/>
      <c r="K105" s="347"/>
      <c r="L105" s="347"/>
      <c r="M105" s="347"/>
    </row>
    <row r="106" spans="2:13" x14ac:dyDescent="0.35">
      <c r="B106" s="347"/>
      <c r="C106" s="347"/>
      <c r="D106" s="347"/>
      <c r="E106" s="347"/>
      <c r="F106" s="347"/>
      <c r="G106" s="347"/>
      <c r="H106" s="347"/>
      <c r="I106" s="347"/>
      <c r="J106" s="347"/>
      <c r="K106" s="347"/>
      <c r="L106" s="347"/>
      <c r="M106" s="347"/>
    </row>
    <row r="107" spans="2:13" x14ac:dyDescent="0.35">
      <c r="B107" s="347"/>
      <c r="C107" s="347"/>
      <c r="D107" s="347"/>
      <c r="E107" s="347"/>
      <c r="F107" s="347"/>
      <c r="G107" s="347"/>
      <c r="H107" s="347"/>
      <c r="I107" s="347"/>
      <c r="J107" s="347"/>
      <c r="K107" s="347"/>
      <c r="L107" s="347"/>
      <c r="M107" s="347"/>
    </row>
    <row r="108" spans="2:13" x14ac:dyDescent="0.35">
      <c r="B108" s="347"/>
      <c r="C108" s="347"/>
      <c r="D108" s="347"/>
      <c r="E108" s="347"/>
      <c r="F108" s="347"/>
      <c r="G108" s="347"/>
      <c r="H108" s="347"/>
      <c r="I108" s="347"/>
      <c r="J108" s="347"/>
      <c r="K108" s="347"/>
      <c r="L108" s="347"/>
      <c r="M108" s="347"/>
    </row>
    <row r="109" spans="2:13" x14ac:dyDescent="0.35">
      <c r="B109" s="347"/>
      <c r="C109" s="347"/>
      <c r="D109" s="347"/>
      <c r="E109" s="347"/>
      <c r="F109" s="347"/>
      <c r="G109" s="347"/>
      <c r="H109" s="347"/>
      <c r="I109" s="347"/>
      <c r="J109" s="347"/>
      <c r="K109" s="347"/>
      <c r="L109" s="347"/>
      <c r="M109" s="347"/>
    </row>
    <row r="110" spans="2:13" x14ac:dyDescent="0.35">
      <c r="B110" s="347"/>
      <c r="C110" s="347"/>
      <c r="D110" s="347"/>
      <c r="E110" s="347"/>
      <c r="F110" s="347"/>
      <c r="G110" s="347"/>
      <c r="H110" s="347"/>
      <c r="I110" s="347"/>
      <c r="J110" s="347"/>
      <c r="K110" s="347"/>
      <c r="L110" s="347"/>
      <c r="M110" s="347"/>
    </row>
    <row r="111" spans="2:13" x14ac:dyDescent="0.35">
      <c r="B111" s="347"/>
      <c r="C111" s="347"/>
      <c r="D111" s="347"/>
      <c r="E111" s="347"/>
      <c r="F111" s="347"/>
      <c r="G111" s="347"/>
      <c r="H111" s="347"/>
      <c r="I111" s="347"/>
      <c r="J111" s="347"/>
      <c r="K111" s="347"/>
      <c r="L111" s="347"/>
      <c r="M111" s="347"/>
    </row>
    <row r="112" spans="2:13" x14ac:dyDescent="0.35">
      <c r="B112" s="347"/>
      <c r="C112" s="347"/>
      <c r="D112" s="347"/>
      <c r="E112" s="347"/>
      <c r="F112" s="347"/>
      <c r="G112" s="347"/>
      <c r="H112" s="347"/>
      <c r="I112" s="347"/>
      <c r="J112" s="347"/>
      <c r="K112" s="347"/>
      <c r="L112" s="347"/>
      <c r="M112" s="347"/>
    </row>
    <row r="113" spans="2:13" x14ac:dyDescent="0.35">
      <c r="B113" s="347"/>
      <c r="C113" s="347"/>
      <c r="D113" s="347"/>
      <c r="E113" s="347"/>
      <c r="F113" s="347"/>
      <c r="G113" s="347"/>
      <c r="H113" s="347"/>
      <c r="I113" s="347"/>
      <c r="J113" s="347"/>
      <c r="K113" s="347"/>
      <c r="L113" s="347"/>
      <c r="M113" s="347"/>
    </row>
    <row r="114" spans="2:13" x14ac:dyDescent="0.35">
      <c r="B114" s="347"/>
      <c r="C114" s="347"/>
      <c r="D114" s="347"/>
      <c r="E114" s="347"/>
      <c r="F114" s="347"/>
      <c r="G114" s="347"/>
      <c r="H114" s="347"/>
      <c r="I114" s="347"/>
      <c r="J114" s="347"/>
      <c r="K114" s="347"/>
      <c r="L114" s="347"/>
      <c r="M114" s="347"/>
    </row>
    <row r="115" spans="2:13" x14ac:dyDescent="0.35">
      <c r="B115" s="347"/>
      <c r="C115" s="347"/>
      <c r="D115" s="347"/>
      <c r="E115" s="347"/>
      <c r="F115" s="347"/>
      <c r="G115" s="347"/>
      <c r="H115" s="347"/>
      <c r="I115" s="347"/>
      <c r="J115" s="347"/>
      <c r="K115" s="347"/>
      <c r="L115" s="347"/>
      <c r="M115" s="347"/>
    </row>
    <row r="116" spans="2:13" x14ac:dyDescent="0.35">
      <c r="B116" s="347"/>
      <c r="C116" s="347"/>
      <c r="D116" s="347"/>
      <c r="E116" s="347"/>
      <c r="F116" s="347"/>
      <c r="G116" s="347"/>
      <c r="H116" s="347"/>
      <c r="I116" s="347"/>
      <c r="J116" s="347"/>
      <c r="K116" s="347"/>
      <c r="L116" s="347"/>
      <c r="M116" s="347"/>
    </row>
    <row r="117" spans="2:13" x14ac:dyDescent="0.35">
      <c r="B117" s="347"/>
      <c r="C117" s="347"/>
      <c r="D117" s="347"/>
      <c r="E117" s="347"/>
      <c r="F117" s="347"/>
      <c r="G117" s="347"/>
      <c r="H117" s="347"/>
      <c r="I117" s="347"/>
      <c r="J117" s="347"/>
      <c r="K117" s="347"/>
      <c r="L117" s="347"/>
      <c r="M117" s="347"/>
    </row>
    <row r="118" spans="2:13" x14ac:dyDescent="0.35">
      <c r="B118" s="347"/>
      <c r="C118" s="347"/>
      <c r="D118" s="347"/>
      <c r="E118" s="347"/>
      <c r="F118" s="347"/>
      <c r="G118" s="347"/>
      <c r="H118" s="347"/>
      <c r="I118" s="347"/>
      <c r="J118" s="347"/>
      <c r="K118" s="347"/>
      <c r="L118" s="347"/>
      <c r="M118" s="347"/>
    </row>
    <row r="119" spans="2:13" x14ac:dyDescent="0.35">
      <c r="B119" s="347"/>
      <c r="C119" s="347"/>
      <c r="D119" s="347"/>
      <c r="E119" s="347"/>
      <c r="F119" s="347"/>
      <c r="G119" s="347"/>
      <c r="H119" s="347"/>
      <c r="I119" s="347"/>
      <c r="J119" s="347"/>
      <c r="K119" s="347"/>
      <c r="L119" s="347"/>
      <c r="M119" s="347"/>
    </row>
    <row r="120" spans="2:13" x14ac:dyDescent="0.35">
      <c r="B120" s="347"/>
      <c r="C120" s="347"/>
      <c r="D120" s="347"/>
      <c r="E120" s="347"/>
      <c r="F120" s="347"/>
      <c r="G120" s="347"/>
      <c r="H120" s="347"/>
      <c r="I120" s="347"/>
      <c r="J120" s="347"/>
      <c r="K120" s="347"/>
      <c r="L120" s="347"/>
      <c r="M120" s="347"/>
    </row>
    <row r="121" spans="2:13" x14ac:dyDescent="0.35">
      <c r="B121" s="347"/>
      <c r="C121" s="347"/>
      <c r="D121" s="347"/>
      <c r="E121" s="347"/>
      <c r="F121" s="347"/>
      <c r="G121" s="347"/>
      <c r="H121" s="347"/>
      <c r="I121" s="347"/>
      <c r="J121" s="347"/>
      <c r="K121" s="347"/>
      <c r="L121" s="347"/>
      <c r="M121" s="347"/>
    </row>
    <row r="122" spans="2:13" x14ac:dyDescent="0.35">
      <c r="B122" s="347"/>
      <c r="C122" s="347"/>
      <c r="D122" s="347"/>
      <c r="E122" s="347"/>
      <c r="F122" s="347"/>
      <c r="G122" s="347"/>
      <c r="H122" s="347"/>
      <c r="I122" s="347"/>
      <c r="J122" s="347"/>
      <c r="K122" s="347"/>
      <c r="L122" s="347"/>
      <c r="M122" s="347"/>
    </row>
    <row r="123" spans="2:13" x14ac:dyDescent="0.35">
      <c r="B123" s="347"/>
      <c r="C123" s="347"/>
      <c r="D123" s="347"/>
      <c r="E123" s="347"/>
      <c r="F123" s="347"/>
      <c r="G123" s="347"/>
      <c r="H123" s="347"/>
      <c r="I123" s="347"/>
      <c r="J123" s="347"/>
      <c r="K123" s="347"/>
      <c r="L123" s="347"/>
      <c r="M123" s="347"/>
    </row>
    <row r="124" spans="2:13" x14ac:dyDescent="0.35">
      <c r="B124" s="347"/>
      <c r="C124" s="347"/>
      <c r="D124" s="347"/>
      <c r="E124" s="347"/>
      <c r="F124" s="347"/>
      <c r="G124" s="347"/>
      <c r="H124" s="347"/>
      <c r="I124" s="347"/>
      <c r="J124" s="347"/>
      <c r="K124" s="347"/>
      <c r="L124" s="347"/>
      <c r="M124" s="347"/>
    </row>
    <row r="125" spans="2:13" x14ac:dyDescent="0.35">
      <c r="B125" s="347"/>
      <c r="C125" s="347"/>
      <c r="D125" s="347"/>
      <c r="E125" s="347"/>
      <c r="F125" s="347"/>
      <c r="G125" s="347"/>
      <c r="H125" s="347"/>
      <c r="I125" s="347"/>
      <c r="J125" s="347"/>
      <c r="K125" s="347"/>
      <c r="L125" s="347"/>
      <c r="M125" s="347"/>
    </row>
    <row r="126" spans="2:13" x14ac:dyDescent="0.35">
      <c r="B126" s="347"/>
      <c r="C126" s="347"/>
      <c r="D126" s="347"/>
      <c r="E126" s="347"/>
      <c r="F126" s="347"/>
      <c r="G126" s="347"/>
      <c r="H126" s="347"/>
      <c r="I126" s="347"/>
      <c r="J126" s="347"/>
      <c r="K126" s="347"/>
      <c r="L126" s="347"/>
      <c r="M126" s="347"/>
    </row>
    <row r="127" spans="2:13" x14ac:dyDescent="0.35">
      <c r="B127" s="347"/>
      <c r="C127" s="347"/>
      <c r="D127" s="347"/>
      <c r="E127" s="347"/>
      <c r="F127" s="347"/>
      <c r="G127" s="347"/>
      <c r="H127" s="347"/>
      <c r="I127" s="347"/>
      <c r="J127" s="347"/>
      <c r="K127" s="347"/>
      <c r="L127" s="347"/>
      <c r="M127" s="347"/>
    </row>
    <row r="128" spans="2:13" x14ac:dyDescent="0.35">
      <c r="B128" s="347"/>
      <c r="C128" s="347"/>
      <c r="D128" s="347"/>
      <c r="E128" s="347"/>
      <c r="F128" s="347"/>
      <c r="G128" s="347"/>
      <c r="H128" s="347"/>
      <c r="I128" s="347"/>
      <c r="J128" s="347"/>
      <c r="K128" s="347"/>
      <c r="L128" s="347"/>
      <c r="M128" s="347"/>
    </row>
    <row r="129" spans="2:13" x14ac:dyDescent="0.35">
      <c r="B129" s="347"/>
      <c r="C129" s="347"/>
      <c r="D129" s="347"/>
      <c r="E129" s="347"/>
      <c r="F129" s="347"/>
      <c r="G129" s="347"/>
      <c r="H129" s="347"/>
      <c r="I129" s="347"/>
      <c r="J129" s="347"/>
      <c r="K129" s="347"/>
      <c r="L129" s="347"/>
      <c r="M129" s="347"/>
    </row>
    <row r="130" spans="2:13" x14ac:dyDescent="0.35">
      <c r="B130" s="347"/>
      <c r="C130" s="347"/>
      <c r="D130" s="347"/>
      <c r="E130" s="347"/>
      <c r="F130" s="347"/>
      <c r="G130" s="347"/>
      <c r="H130" s="347"/>
      <c r="I130" s="347"/>
      <c r="J130" s="347"/>
      <c r="K130" s="347"/>
      <c r="L130" s="347"/>
      <c r="M130" s="347"/>
    </row>
    <row r="131" spans="2:13" x14ac:dyDescent="0.35">
      <c r="B131" s="347"/>
      <c r="C131" s="347"/>
      <c r="D131" s="347"/>
      <c r="E131" s="347"/>
      <c r="F131" s="347"/>
      <c r="G131" s="347"/>
      <c r="H131" s="347"/>
      <c r="I131" s="347"/>
      <c r="J131" s="347"/>
      <c r="K131" s="347"/>
      <c r="L131" s="347"/>
      <c r="M131" s="347"/>
    </row>
    <row r="132" spans="2:13" x14ac:dyDescent="0.35">
      <c r="B132" s="347"/>
      <c r="C132" s="347"/>
      <c r="D132" s="347"/>
      <c r="E132" s="347"/>
      <c r="F132" s="347"/>
      <c r="G132" s="347"/>
      <c r="H132" s="347"/>
      <c r="I132" s="347"/>
      <c r="J132" s="347"/>
      <c r="K132" s="347"/>
      <c r="L132" s="347"/>
      <c r="M132" s="347"/>
    </row>
    <row r="133" spans="2:13" x14ac:dyDescent="0.35">
      <c r="B133" s="347"/>
      <c r="C133" s="347"/>
      <c r="D133" s="347"/>
      <c r="E133" s="347"/>
      <c r="F133" s="347"/>
      <c r="G133" s="347"/>
      <c r="H133" s="347"/>
      <c r="I133" s="347"/>
      <c r="J133" s="347"/>
      <c r="K133" s="347"/>
      <c r="L133" s="347"/>
      <c r="M133" s="347"/>
    </row>
    <row r="134" spans="2:13" x14ac:dyDescent="0.35">
      <c r="B134" s="347"/>
      <c r="C134" s="347"/>
      <c r="D134" s="347"/>
      <c r="E134" s="347"/>
      <c r="F134" s="347"/>
      <c r="G134" s="347"/>
      <c r="H134" s="347"/>
      <c r="I134" s="347"/>
      <c r="J134" s="347"/>
      <c r="K134" s="347"/>
      <c r="L134" s="347"/>
      <c r="M134" s="347"/>
    </row>
    <row r="135" spans="2:13" x14ac:dyDescent="0.35">
      <c r="B135" s="347"/>
      <c r="C135" s="347"/>
      <c r="D135" s="347"/>
      <c r="E135" s="347"/>
      <c r="F135" s="347"/>
      <c r="G135" s="347"/>
      <c r="H135" s="347"/>
      <c r="I135" s="347"/>
      <c r="J135" s="347"/>
      <c r="K135" s="347"/>
      <c r="L135" s="347"/>
      <c r="M135" s="347"/>
    </row>
    <row r="136" spans="2:13" x14ac:dyDescent="0.35">
      <c r="B136" s="347"/>
      <c r="C136" s="347"/>
      <c r="D136" s="347"/>
      <c r="E136" s="347"/>
      <c r="F136" s="347"/>
      <c r="G136" s="347"/>
      <c r="H136" s="347"/>
      <c r="I136" s="347"/>
      <c r="J136" s="347"/>
      <c r="K136" s="347"/>
      <c r="L136" s="347"/>
      <c r="M136" s="347"/>
    </row>
    <row r="137" spans="2:13" x14ac:dyDescent="0.35">
      <c r="B137" s="347"/>
      <c r="C137" s="347"/>
      <c r="D137" s="347"/>
      <c r="E137" s="347"/>
      <c r="F137" s="347"/>
      <c r="G137" s="347"/>
      <c r="H137" s="347"/>
      <c r="I137" s="347"/>
      <c r="J137" s="347"/>
      <c r="K137" s="347"/>
      <c r="L137" s="347"/>
      <c r="M137" s="347"/>
    </row>
    <row r="138" spans="2:13" x14ac:dyDescent="0.35">
      <c r="B138" s="347"/>
      <c r="C138" s="347"/>
      <c r="D138" s="347"/>
      <c r="E138" s="347"/>
      <c r="F138" s="347"/>
      <c r="G138" s="347"/>
      <c r="H138" s="347"/>
      <c r="I138" s="347"/>
      <c r="J138" s="347"/>
      <c r="K138" s="347"/>
      <c r="L138" s="347"/>
      <c r="M138" s="347"/>
    </row>
    <row r="139" spans="2:13" x14ac:dyDescent="0.35">
      <c r="B139" s="347"/>
      <c r="C139" s="347"/>
      <c r="D139" s="347"/>
      <c r="E139" s="347"/>
      <c r="F139" s="347"/>
      <c r="G139" s="347"/>
      <c r="H139" s="347"/>
      <c r="I139" s="347"/>
      <c r="J139" s="347"/>
      <c r="K139" s="347"/>
      <c r="L139" s="347"/>
      <c r="M139" s="347"/>
    </row>
    <row r="140" spans="2:13" x14ac:dyDescent="0.35">
      <c r="B140" s="347"/>
      <c r="C140" s="347"/>
      <c r="D140" s="347"/>
      <c r="E140" s="347"/>
      <c r="F140" s="347"/>
      <c r="G140" s="347"/>
      <c r="H140" s="347"/>
      <c r="I140" s="347"/>
      <c r="J140" s="347"/>
      <c r="K140" s="347"/>
      <c r="L140" s="347"/>
      <c r="M140" s="347"/>
    </row>
    <row r="141" spans="2:13" x14ac:dyDescent="0.35">
      <c r="B141" s="347"/>
      <c r="C141" s="347"/>
      <c r="D141" s="347"/>
      <c r="E141" s="347"/>
      <c r="F141" s="347"/>
      <c r="G141" s="347"/>
      <c r="H141" s="347"/>
      <c r="I141" s="347"/>
      <c r="J141" s="347"/>
      <c r="K141" s="347"/>
      <c r="L141" s="347"/>
      <c r="M141" s="347"/>
    </row>
    <row r="142" spans="2:13" x14ac:dyDescent="0.35">
      <c r="B142" s="347"/>
      <c r="C142" s="347"/>
      <c r="D142" s="347"/>
      <c r="E142" s="347"/>
      <c r="F142" s="347"/>
      <c r="G142" s="347"/>
      <c r="H142" s="347"/>
      <c r="I142" s="347"/>
      <c r="J142" s="347"/>
      <c r="K142" s="347"/>
      <c r="L142" s="347"/>
      <c r="M142" s="347"/>
    </row>
    <row r="143" spans="2:13" x14ac:dyDescent="0.35">
      <c r="B143" s="347"/>
      <c r="C143" s="347"/>
      <c r="D143" s="347"/>
      <c r="E143" s="347"/>
      <c r="F143" s="347"/>
      <c r="G143" s="347"/>
      <c r="H143" s="347"/>
      <c r="I143" s="347"/>
      <c r="J143" s="347"/>
      <c r="K143" s="347"/>
      <c r="L143" s="347"/>
      <c r="M143" s="347"/>
    </row>
    <row r="144" spans="2:13" x14ac:dyDescent="0.35">
      <c r="B144" s="347"/>
      <c r="C144" s="347"/>
      <c r="D144" s="347"/>
      <c r="E144" s="347"/>
      <c r="F144" s="347"/>
      <c r="G144" s="347"/>
      <c r="H144" s="347"/>
      <c r="I144" s="347"/>
      <c r="J144" s="347"/>
      <c r="K144" s="347"/>
      <c r="L144" s="347"/>
      <c r="M144" s="347"/>
    </row>
    <row r="145" spans="2:13" x14ac:dyDescent="0.35">
      <c r="B145" s="347"/>
      <c r="C145" s="347"/>
      <c r="D145" s="347"/>
      <c r="E145" s="347"/>
      <c r="F145" s="347"/>
      <c r="G145" s="347"/>
      <c r="H145" s="347"/>
      <c r="I145" s="347"/>
      <c r="J145" s="347"/>
      <c r="K145" s="347"/>
      <c r="L145" s="347"/>
      <c r="M145" s="347"/>
    </row>
    <row r="146" spans="2:13" x14ac:dyDescent="0.35">
      <c r="B146" s="347"/>
      <c r="C146" s="347"/>
      <c r="D146" s="347"/>
      <c r="E146" s="347"/>
      <c r="F146" s="347"/>
      <c r="G146" s="347"/>
      <c r="H146" s="347"/>
      <c r="I146" s="347"/>
      <c r="J146" s="347"/>
      <c r="K146" s="347"/>
      <c r="L146" s="347"/>
      <c r="M146" s="347"/>
    </row>
    <row r="147" spans="2:13" x14ac:dyDescent="0.35">
      <c r="B147" s="347"/>
      <c r="C147" s="347"/>
      <c r="D147" s="347"/>
      <c r="E147" s="347"/>
      <c r="F147" s="347"/>
      <c r="G147" s="347"/>
      <c r="H147" s="347"/>
      <c r="I147" s="347"/>
      <c r="J147" s="347"/>
      <c r="K147" s="347"/>
      <c r="L147" s="347"/>
      <c r="M147" s="347"/>
    </row>
    <row r="148" spans="2:13" x14ac:dyDescent="0.35">
      <c r="B148" s="347"/>
      <c r="C148" s="347"/>
      <c r="D148" s="347"/>
      <c r="E148" s="347"/>
      <c r="F148" s="347"/>
      <c r="G148" s="347"/>
      <c r="H148" s="347"/>
      <c r="I148" s="347"/>
      <c r="J148" s="347"/>
      <c r="K148" s="347"/>
      <c r="L148" s="347"/>
      <c r="M148" s="347"/>
    </row>
    <row r="149" spans="2:13" x14ac:dyDescent="0.35">
      <c r="B149" s="347"/>
      <c r="C149" s="347"/>
      <c r="D149" s="347"/>
      <c r="E149" s="347"/>
      <c r="F149" s="347"/>
      <c r="G149" s="347"/>
      <c r="H149" s="347"/>
      <c r="I149" s="347"/>
      <c r="J149" s="347"/>
      <c r="K149" s="347"/>
      <c r="L149" s="347"/>
      <c r="M149" s="347"/>
    </row>
    <row r="150" spans="2:13" x14ac:dyDescent="0.35">
      <c r="B150" s="347"/>
      <c r="C150" s="347"/>
      <c r="D150" s="347"/>
      <c r="E150" s="347"/>
      <c r="F150" s="347"/>
      <c r="G150" s="347"/>
      <c r="H150" s="347"/>
      <c r="I150" s="347"/>
      <c r="J150" s="347"/>
      <c r="K150" s="347"/>
      <c r="L150" s="347"/>
      <c r="M150" s="347"/>
    </row>
    <row r="151" spans="2:13" x14ac:dyDescent="0.35">
      <c r="B151" s="347"/>
      <c r="C151" s="347"/>
      <c r="D151" s="347"/>
      <c r="E151" s="347"/>
      <c r="F151" s="347"/>
      <c r="G151" s="347"/>
      <c r="H151" s="347"/>
      <c r="I151" s="347"/>
      <c r="J151" s="347"/>
      <c r="K151" s="347"/>
      <c r="L151" s="347"/>
      <c r="M151" s="347"/>
    </row>
    <row r="152" spans="2:13" x14ac:dyDescent="0.35">
      <c r="B152" s="347"/>
      <c r="C152" s="347"/>
      <c r="D152" s="347"/>
      <c r="E152" s="347"/>
      <c r="F152" s="347"/>
      <c r="G152" s="347"/>
      <c r="H152" s="347"/>
      <c r="I152" s="347"/>
      <c r="J152" s="347"/>
      <c r="K152" s="347"/>
      <c r="L152" s="347"/>
      <c r="M152" s="347"/>
    </row>
    <row r="153" spans="2:13" x14ac:dyDescent="0.35">
      <c r="B153" s="347"/>
      <c r="C153" s="347"/>
      <c r="D153" s="347"/>
      <c r="E153" s="347"/>
      <c r="F153" s="347"/>
      <c r="G153" s="347"/>
      <c r="H153" s="347"/>
      <c r="I153" s="347"/>
      <c r="J153" s="347"/>
      <c r="K153" s="347"/>
      <c r="L153" s="347"/>
      <c r="M153" s="347"/>
    </row>
    <row r="154" spans="2:13" x14ac:dyDescent="0.35">
      <c r="B154" s="347"/>
      <c r="C154" s="347"/>
      <c r="D154" s="347"/>
      <c r="E154" s="347"/>
      <c r="F154" s="347"/>
      <c r="G154" s="347"/>
      <c r="H154" s="347"/>
      <c r="I154" s="347"/>
      <c r="J154" s="347"/>
      <c r="K154" s="347"/>
      <c r="L154" s="347"/>
      <c r="M154" s="347"/>
    </row>
    <row r="155" spans="2:13" x14ac:dyDescent="0.35">
      <c r="B155" s="347"/>
      <c r="C155" s="347"/>
      <c r="D155" s="347"/>
      <c r="E155" s="347"/>
      <c r="F155" s="347"/>
      <c r="G155" s="347"/>
      <c r="H155" s="347"/>
      <c r="I155" s="347"/>
      <c r="J155" s="347"/>
      <c r="K155" s="347"/>
      <c r="L155" s="347"/>
      <c r="M155" s="347"/>
    </row>
    <row r="156" spans="2:13" x14ac:dyDescent="0.35">
      <c r="B156" s="347"/>
      <c r="C156" s="347"/>
      <c r="D156" s="347"/>
      <c r="E156" s="347"/>
      <c r="F156" s="347"/>
      <c r="G156" s="347"/>
      <c r="H156" s="347"/>
      <c r="I156" s="347"/>
      <c r="J156" s="347"/>
      <c r="K156" s="347"/>
      <c r="L156" s="347"/>
      <c r="M156" s="347"/>
    </row>
    <row r="157" spans="2:13" x14ac:dyDescent="0.35">
      <c r="B157" s="347"/>
      <c r="C157" s="347"/>
      <c r="D157" s="347"/>
      <c r="E157" s="347"/>
      <c r="F157" s="347"/>
      <c r="G157" s="347"/>
      <c r="H157" s="347"/>
      <c r="I157" s="347"/>
      <c r="J157" s="347"/>
      <c r="K157" s="347"/>
      <c r="L157" s="347"/>
      <c r="M157" s="347"/>
    </row>
    <row r="158" spans="2:13" x14ac:dyDescent="0.35">
      <c r="B158" s="347"/>
      <c r="C158" s="347"/>
      <c r="D158" s="347"/>
      <c r="E158" s="347"/>
      <c r="F158" s="347"/>
      <c r="G158" s="347"/>
      <c r="H158" s="347"/>
      <c r="I158" s="347"/>
      <c r="J158" s="347"/>
      <c r="K158" s="347"/>
      <c r="L158" s="347"/>
      <c r="M158" s="347"/>
    </row>
    <row r="159" spans="2:13" x14ac:dyDescent="0.35">
      <c r="B159" s="347"/>
      <c r="C159" s="347"/>
      <c r="D159" s="347"/>
      <c r="E159" s="347"/>
      <c r="F159" s="347"/>
      <c r="G159" s="347"/>
      <c r="H159" s="347"/>
      <c r="I159" s="347"/>
      <c r="J159" s="347"/>
      <c r="K159" s="347"/>
      <c r="L159" s="347"/>
      <c r="M159" s="347"/>
    </row>
    <row r="160" spans="2:13" x14ac:dyDescent="0.35">
      <c r="B160" s="347"/>
      <c r="C160" s="347"/>
      <c r="D160" s="347"/>
      <c r="E160" s="347"/>
      <c r="F160" s="347"/>
      <c r="G160" s="347"/>
      <c r="H160" s="347"/>
      <c r="I160" s="347"/>
      <c r="J160" s="347"/>
      <c r="K160" s="347"/>
      <c r="L160" s="347"/>
      <c r="M160" s="347"/>
    </row>
    <row r="161" spans="2:13" x14ac:dyDescent="0.35">
      <c r="B161" s="347"/>
      <c r="C161" s="347"/>
      <c r="D161" s="347"/>
      <c r="E161" s="347"/>
      <c r="F161" s="347"/>
      <c r="G161" s="347"/>
      <c r="H161" s="347"/>
      <c r="I161" s="347"/>
      <c r="J161" s="347"/>
      <c r="K161" s="347"/>
      <c r="L161" s="347"/>
      <c r="M161" s="347"/>
    </row>
    <row r="162" spans="2:13" x14ac:dyDescent="0.35">
      <c r="B162" s="347"/>
      <c r="C162" s="347"/>
      <c r="D162" s="347"/>
      <c r="E162" s="347"/>
      <c r="F162" s="347"/>
      <c r="G162" s="347"/>
      <c r="H162" s="347"/>
      <c r="I162" s="347"/>
      <c r="J162" s="347"/>
      <c r="K162" s="347"/>
      <c r="L162" s="347"/>
      <c r="M162" s="347"/>
    </row>
    <row r="163" spans="2:13" x14ac:dyDescent="0.35">
      <c r="B163" s="347"/>
      <c r="C163" s="347"/>
      <c r="D163" s="347"/>
      <c r="E163" s="347"/>
      <c r="F163" s="347"/>
      <c r="G163" s="347"/>
      <c r="H163" s="347"/>
      <c r="I163" s="347"/>
      <c r="J163" s="347"/>
      <c r="K163" s="347"/>
      <c r="L163" s="347"/>
      <c r="M163" s="347"/>
    </row>
    <row r="164" spans="2:13" x14ac:dyDescent="0.35">
      <c r="B164" s="347"/>
      <c r="C164" s="347"/>
      <c r="D164" s="347"/>
      <c r="E164" s="347"/>
      <c r="F164" s="347"/>
      <c r="G164" s="347"/>
      <c r="H164" s="347"/>
      <c r="I164" s="347"/>
      <c r="J164" s="347"/>
      <c r="K164" s="347"/>
      <c r="L164" s="347"/>
      <c r="M164" s="347"/>
    </row>
    <row r="165" spans="2:13" x14ac:dyDescent="0.35">
      <c r="B165" s="347"/>
      <c r="C165" s="347"/>
      <c r="D165" s="347"/>
      <c r="E165" s="347"/>
      <c r="F165" s="347"/>
      <c r="G165" s="347"/>
      <c r="H165" s="347"/>
      <c r="I165" s="347"/>
      <c r="J165" s="347"/>
      <c r="K165" s="347"/>
      <c r="L165" s="347"/>
      <c r="M165" s="347"/>
    </row>
    <row r="166" spans="2:13" x14ac:dyDescent="0.35">
      <c r="B166" s="347"/>
      <c r="C166" s="347"/>
      <c r="D166" s="347"/>
      <c r="E166" s="347"/>
      <c r="F166" s="347"/>
      <c r="G166" s="347"/>
      <c r="H166" s="347"/>
      <c r="I166" s="347"/>
      <c r="J166" s="347"/>
      <c r="K166" s="347"/>
      <c r="L166" s="347"/>
      <c r="M166" s="347"/>
    </row>
    <row r="167" spans="2:13" x14ac:dyDescent="0.35">
      <c r="B167" s="347"/>
      <c r="C167" s="347"/>
      <c r="D167" s="347"/>
      <c r="E167" s="347"/>
      <c r="F167" s="347"/>
      <c r="G167" s="347"/>
      <c r="H167" s="347"/>
      <c r="I167" s="347"/>
      <c r="J167" s="347"/>
      <c r="K167" s="347"/>
      <c r="L167" s="347"/>
      <c r="M167" s="347"/>
    </row>
    <row r="168" spans="2:13" x14ac:dyDescent="0.35">
      <c r="B168" s="347"/>
      <c r="C168" s="347"/>
      <c r="D168" s="347"/>
      <c r="E168" s="347"/>
      <c r="F168" s="347"/>
      <c r="G168" s="347"/>
      <c r="H168" s="347"/>
      <c r="I168" s="347"/>
      <c r="J168" s="347"/>
      <c r="K168" s="347"/>
      <c r="L168" s="347"/>
      <c r="M168" s="347"/>
    </row>
    <row r="169" spans="2:13" x14ac:dyDescent="0.35">
      <c r="B169" s="347"/>
      <c r="C169" s="347"/>
      <c r="D169" s="347"/>
      <c r="E169" s="347"/>
      <c r="F169" s="347"/>
      <c r="G169" s="347"/>
      <c r="H169" s="347"/>
      <c r="I169" s="347"/>
      <c r="J169" s="347"/>
      <c r="K169" s="347"/>
      <c r="L169" s="347"/>
      <c r="M169" s="347"/>
    </row>
    <row r="170" spans="2:13" x14ac:dyDescent="0.35">
      <c r="B170" s="347"/>
      <c r="C170" s="347"/>
      <c r="D170" s="347"/>
      <c r="E170" s="347"/>
      <c r="F170" s="347"/>
      <c r="G170" s="347"/>
      <c r="H170" s="347"/>
      <c r="I170" s="347"/>
      <c r="J170" s="347"/>
      <c r="K170" s="347"/>
      <c r="L170" s="347"/>
      <c r="M170" s="347"/>
    </row>
    <row r="171" spans="2:13" x14ac:dyDescent="0.35">
      <c r="B171" s="347"/>
      <c r="C171" s="347"/>
      <c r="D171" s="347"/>
      <c r="E171" s="347"/>
      <c r="F171" s="347"/>
      <c r="G171" s="347"/>
      <c r="H171" s="347"/>
      <c r="I171" s="347"/>
      <c r="J171" s="347"/>
      <c r="K171" s="347"/>
      <c r="L171" s="347"/>
      <c r="M171" s="347"/>
    </row>
    <row r="172" spans="2:13" x14ac:dyDescent="0.35">
      <c r="B172" s="347"/>
      <c r="C172" s="347"/>
      <c r="D172" s="347"/>
      <c r="E172" s="347"/>
      <c r="F172" s="347"/>
      <c r="G172" s="347"/>
      <c r="H172" s="347"/>
      <c r="I172" s="347"/>
      <c r="J172" s="347"/>
      <c r="K172" s="347"/>
      <c r="L172" s="347"/>
      <c r="M172" s="347"/>
    </row>
    <row r="173" spans="2:13" x14ac:dyDescent="0.35">
      <c r="B173" s="347"/>
      <c r="C173" s="347"/>
      <c r="D173" s="347"/>
      <c r="E173" s="347"/>
      <c r="F173" s="347"/>
      <c r="G173" s="347"/>
      <c r="H173" s="347"/>
      <c r="I173" s="347"/>
      <c r="J173" s="347"/>
      <c r="K173" s="347"/>
      <c r="L173" s="347"/>
      <c r="M173" s="347"/>
    </row>
    <row r="174" spans="2:13" x14ac:dyDescent="0.35">
      <c r="B174" s="347"/>
      <c r="C174" s="347"/>
      <c r="D174" s="347"/>
      <c r="E174" s="347"/>
      <c r="F174" s="347"/>
      <c r="G174" s="347"/>
      <c r="H174" s="347"/>
      <c r="I174" s="347"/>
      <c r="J174" s="347"/>
      <c r="K174" s="347"/>
      <c r="L174" s="347"/>
      <c r="M174" s="347"/>
    </row>
    <row r="175" spans="2:13" x14ac:dyDescent="0.35">
      <c r="B175" s="347"/>
      <c r="C175" s="347"/>
      <c r="D175" s="347"/>
      <c r="E175" s="347"/>
      <c r="F175" s="347"/>
      <c r="G175" s="347"/>
      <c r="H175" s="347"/>
      <c r="I175" s="347"/>
      <c r="J175" s="347"/>
      <c r="K175" s="347"/>
      <c r="L175" s="347"/>
      <c r="M175" s="347"/>
    </row>
    <row r="176" spans="2:13" x14ac:dyDescent="0.35">
      <c r="B176" s="347"/>
      <c r="C176" s="347"/>
      <c r="D176" s="347"/>
      <c r="E176" s="347"/>
      <c r="F176" s="347"/>
      <c r="G176" s="347"/>
      <c r="H176" s="347"/>
      <c r="I176" s="347"/>
      <c r="J176" s="347"/>
      <c r="K176" s="347"/>
      <c r="L176" s="347"/>
      <c r="M176" s="347"/>
    </row>
    <row r="177" spans="2:13" x14ac:dyDescent="0.35">
      <c r="B177" s="347"/>
      <c r="C177" s="347"/>
      <c r="D177" s="347"/>
      <c r="E177" s="347"/>
      <c r="F177" s="347"/>
      <c r="G177" s="347"/>
      <c r="H177" s="347"/>
      <c r="I177" s="347"/>
      <c r="J177" s="347"/>
      <c r="K177" s="347"/>
      <c r="L177" s="347"/>
      <c r="M177" s="347"/>
    </row>
    <row r="178" spans="2:13" x14ac:dyDescent="0.35">
      <c r="B178" s="347"/>
      <c r="C178" s="347"/>
      <c r="D178" s="347"/>
      <c r="E178" s="347"/>
      <c r="F178" s="347"/>
      <c r="G178" s="347"/>
      <c r="H178" s="347"/>
      <c r="I178" s="347"/>
      <c r="J178" s="347"/>
      <c r="K178" s="347"/>
      <c r="L178" s="347"/>
      <c r="M178" s="347"/>
    </row>
    <row r="179" spans="2:13" x14ac:dyDescent="0.35">
      <c r="B179" s="347"/>
      <c r="C179" s="347"/>
      <c r="D179" s="347"/>
      <c r="E179" s="347"/>
      <c r="F179" s="347"/>
      <c r="G179" s="347"/>
      <c r="H179" s="347"/>
      <c r="I179" s="347"/>
      <c r="J179" s="347"/>
      <c r="K179" s="347"/>
      <c r="L179" s="347"/>
      <c r="M179" s="347"/>
    </row>
    <row r="180" spans="2:13" x14ac:dyDescent="0.35">
      <c r="B180" s="347"/>
      <c r="C180" s="347"/>
      <c r="D180" s="347"/>
      <c r="E180" s="347"/>
      <c r="F180" s="347"/>
      <c r="G180" s="347"/>
      <c r="H180" s="347"/>
      <c r="I180" s="347"/>
      <c r="J180" s="347"/>
      <c r="K180" s="347"/>
      <c r="L180" s="347"/>
      <c r="M180" s="347"/>
    </row>
    <row r="181" spans="2:13" x14ac:dyDescent="0.35">
      <c r="B181" s="347"/>
      <c r="C181" s="347"/>
      <c r="D181" s="347"/>
      <c r="E181" s="347"/>
      <c r="F181" s="347"/>
      <c r="G181" s="347"/>
      <c r="H181" s="347"/>
      <c r="I181" s="347"/>
      <c r="J181" s="347"/>
      <c r="K181" s="347"/>
      <c r="L181" s="347"/>
      <c r="M181" s="347"/>
    </row>
    <row r="182" spans="2:13" x14ac:dyDescent="0.35">
      <c r="B182" s="347"/>
      <c r="C182" s="347"/>
      <c r="D182" s="347"/>
      <c r="E182" s="347"/>
      <c r="F182" s="347"/>
      <c r="G182" s="347"/>
      <c r="H182" s="347"/>
      <c r="I182" s="347"/>
      <c r="J182" s="347"/>
      <c r="K182" s="347"/>
      <c r="L182" s="347"/>
      <c r="M182" s="347"/>
    </row>
    <row r="183" spans="2:13" x14ac:dyDescent="0.35">
      <c r="B183" s="347"/>
      <c r="C183" s="347"/>
      <c r="D183" s="347"/>
      <c r="E183" s="347"/>
      <c r="F183" s="347"/>
      <c r="G183" s="347"/>
      <c r="H183" s="347"/>
      <c r="I183" s="347"/>
      <c r="J183" s="347"/>
      <c r="K183" s="347"/>
      <c r="L183" s="347"/>
      <c r="M183" s="347"/>
    </row>
    <row r="184" spans="2:13" x14ac:dyDescent="0.35">
      <c r="B184" s="347"/>
      <c r="C184" s="347"/>
      <c r="D184" s="347"/>
      <c r="E184" s="347"/>
      <c r="F184" s="347"/>
      <c r="G184" s="347"/>
      <c r="H184" s="347"/>
      <c r="I184" s="347"/>
      <c r="J184" s="347"/>
      <c r="K184" s="347"/>
      <c r="L184" s="347"/>
      <c r="M184" s="347"/>
    </row>
    <row r="185" spans="2:13" x14ac:dyDescent="0.35">
      <c r="B185" s="347"/>
      <c r="C185" s="347"/>
      <c r="D185" s="347"/>
      <c r="E185" s="347"/>
      <c r="F185" s="347"/>
      <c r="G185" s="347"/>
      <c r="H185" s="347"/>
      <c r="I185" s="347"/>
      <c r="J185" s="347"/>
      <c r="K185" s="347"/>
      <c r="L185" s="347"/>
      <c r="M185" s="347"/>
    </row>
    <row r="186" spans="2:13" x14ac:dyDescent="0.35">
      <c r="B186" s="347"/>
      <c r="C186" s="347"/>
      <c r="D186" s="347"/>
      <c r="E186" s="347"/>
      <c r="F186" s="347"/>
      <c r="G186" s="347"/>
      <c r="H186" s="347"/>
      <c r="I186" s="347"/>
      <c r="J186" s="347"/>
      <c r="K186" s="347"/>
      <c r="L186" s="347"/>
      <c r="M186" s="347"/>
    </row>
    <row r="187" spans="2:13" x14ac:dyDescent="0.35">
      <c r="B187" s="347"/>
      <c r="C187" s="347"/>
      <c r="D187" s="347"/>
      <c r="E187" s="347"/>
      <c r="F187" s="347"/>
      <c r="G187" s="347"/>
      <c r="H187" s="347"/>
      <c r="I187" s="347"/>
      <c r="J187" s="347"/>
      <c r="K187" s="347"/>
      <c r="L187" s="347"/>
      <c r="M187" s="347"/>
    </row>
    <row r="188" spans="2:13" x14ac:dyDescent="0.35">
      <c r="B188" s="347"/>
      <c r="C188" s="347"/>
      <c r="D188" s="347"/>
      <c r="E188" s="347"/>
      <c r="F188" s="347"/>
      <c r="G188" s="347"/>
      <c r="H188" s="347"/>
      <c r="I188" s="347"/>
      <c r="J188" s="347"/>
      <c r="K188" s="347"/>
      <c r="L188" s="347"/>
      <c r="M188" s="347"/>
    </row>
    <row r="189" spans="2:13" x14ac:dyDescent="0.35">
      <c r="B189" s="347"/>
      <c r="C189" s="347"/>
      <c r="D189" s="347"/>
      <c r="E189" s="347"/>
      <c r="F189" s="347"/>
      <c r="G189" s="347"/>
      <c r="H189" s="347"/>
      <c r="I189" s="347"/>
      <c r="J189" s="347"/>
      <c r="K189" s="347"/>
      <c r="L189" s="347"/>
      <c r="M189" s="347"/>
    </row>
    <row r="190" spans="2:13" x14ac:dyDescent="0.35">
      <c r="B190" s="347"/>
      <c r="C190" s="347"/>
      <c r="D190" s="347"/>
      <c r="E190" s="347"/>
      <c r="F190" s="347"/>
      <c r="G190" s="347"/>
      <c r="H190" s="347"/>
      <c r="I190" s="347"/>
      <c r="J190" s="347"/>
      <c r="K190" s="347"/>
      <c r="L190" s="347"/>
      <c r="M190" s="347"/>
    </row>
    <row r="191" spans="2:13" x14ac:dyDescent="0.35">
      <c r="B191" s="347"/>
      <c r="C191" s="347"/>
      <c r="D191" s="347"/>
      <c r="E191" s="347"/>
      <c r="F191" s="347"/>
      <c r="G191" s="347"/>
      <c r="H191" s="347"/>
      <c r="I191" s="347"/>
      <c r="J191" s="347"/>
      <c r="K191" s="347"/>
      <c r="L191" s="347"/>
      <c r="M191" s="347"/>
    </row>
    <row r="192" spans="2:13" x14ac:dyDescent="0.35">
      <c r="B192" s="347"/>
      <c r="C192" s="347"/>
      <c r="D192" s="347"/>
      <c r="E192" s="347"/>
      <c r="F192" s="347"/>
      <c r="G192" s="347"/>
      <c r="H192" s="347"/>
      <c r="I192" s="347"/>
      <c r="J192" s="347"/>
      <c r="K192" s="347"/>
      <c r="L192" s="347"/>
      <c r="M192" s="347"/>
    </row>
    <row r="193" spans="2:13" x14ac:dyDescent="0.35">
      <c r="B193" s="347"/>
      <c r="C193" s="347"/>
      <c r="D193" s="347"/>
      <c r="E193" s="347"/>
      <c r="F193" s="347"/>
      <c r="G193" s="347"/>
      <c r="H193" s="347"/>
      <c r="I193" s="347"/>
      <c r="J193" s="347"/>
      <c r="K193" s="347"/>
      <c r="L193" s="347"/>
      <c r="M193" s="347"/>
    </row>
    <row r="194" spans="2:13" x14ac:dyDescent="0.35">
      <c r="B194" s="347"/>
      <c r="C194" s="347"/>
      <c r="D194" s="347"/>
      <c r="E194" s="347"/>
      <c r="F194" s="347"/>
      <c r="G194" s="347"/>
      <c r="H194" s="347"/>
      <c r="I194" s="347"/>
      <c r="J194" s="347"/>
      <c r="K194" s="347"/>
      <c r="L194" s="347"/>
      <c r="M194" s="347"/>
    </row>
    <row r="195" spans="2:13" x14ac:dyDescent="0.35">
      <c r="B195" s="347"/>
      <c r="C195" s="347"/>
      <c r="D195" s="347"/>
      <c r="E195" s="347"/>
      <c r="F195" s="347"/>
      <c r="G195" s="347"/>
      <c r="H195" s="347"/>
      <c r="I195" s="347"/>
      <c r="J195" s="347"/>
      <c r="K195" s="347"/>
      <c r="L195" s="347"/>
      <c r="M195" s="347"/>
    </row>
    <row r="196" spans="2:13" x14ac:dyDescent="0.35">
      <c r="B196" s="347"/>
      <c r="C196" s="347"/>
      <c r="D196" s="347"/>
      <c r="E196" s="347"/>
      <c r="F196" s="347"/>
      <c r="G196" s="347"/>
      <c r="H196" s="347"/>
      <c r="I196" s="347"/>
      <c r="J196" s="347"/>
      <c r="K196" s="347"/>
      <c r="L196" s="347"/>
      <c r="M196" s="347"/>
    </row>
    <row r="197" spans="2:13" x14ac:dyDescent="0.35">
      <c r="B197" s="347"/>
      <c r="C197" s="347"/>
      <c r="D197" s="347"/>
      <c r="E197" s="347"/>
      <c r="F197" s="347"/>
      <c r="G197" s="347"/>
      <c r="H197" s="347"/>
      <c r="I197" s="347"/>
      <c r="J197" s="347"/>
      <c r="K197" s="347"/>
      <c r="L197" s="347"/>
      <c r="M197" s="347"/>
    </row>
    <row r="198" spans="2:13" x14ac:dyDescent="0.35">
      <c r="B198" s="347"/>
      <c r="C198" s="347"/>
      <c r="D198" s="347"/>
      <c r="E198" s="347"/>
      <c r="F198" s="347"/>
      <c r="G198" s="347"/>
      <c r="H198" s="347"/>
      <c r="I198" s="347"/>
      <c r="J198" s="347"/>
      <c r="K198" s="347"/>
      <c r="L198" s="347"/>
      <c r="M198" s="347"/>
    </row>
    <row r="199" spans="2:13" x14ac:dyDescent="0.35">
      <c r="B199" s="347"/>
      <c r="C199" s="347"/>
      <c r="D199" s="347"/>
      <c r="E199" s="347"/>
      <c r="F199" s="347"/>
      <c r="G199" s="347"/>
      <c r="H199" s="347"/>
      <c r="I199" s="347"/>
      <c r="J199" s="347"/>
      <c r="K199" s="347"/>
      <c r="L199" s="347"/>
      <c r="M199" s="347"/>
    </row>
    <row r="200" spans="2:13" x14ac:dyDescent="0.35">
      <c r="B200" s="347"/>
      <c r="C200" s="347"/>
      <c r="D200" s="347"/>
      <c r="E200" s="347"/>
      <c r="F200" s="347"/>
      <c r="G200" s="347"/>
      <c r="H200" s="347"/>
      <c r="I200" s="347"/>
      <c r="J200" s="347"/>
      <c r="K200" s="347"/>
      <c r="L200" s="347"/>
      <c r="M200" s="347"/>
    </row>
    <row r="201" spans="2:13" x14ac:dyDescent="0.35">
      <c r="B201" s="347"/>
      <c r="C201" s="347"/>
      <c r="D201" s="347"/>
      <c r="E201" s="347"/>
      <c r="F201" s="347"/>
      <c r="G201" s="347"/>
      <c r="H201" s="347"/>
      <c r="I201" s="347"/>
      <c r="J201" s="347"/>
      <c r="K201" s="347"/>
      <c r="L201" s="347"/>
      <c r="M201" s="347"/>
    </row>
    <row r="202" spans="2:13" x14ac:dyDescent="0.35">
      <c r="B202" s="347"/>
      <c r="C202" s="347"/>
      <c r="D202" s="347"/>
      <c r="E202" s="347"/>
      <c r="F202" s="347"/>
      <c r="G202" s="347"/>
      <c r="H202" s="347"/>
      <c r="I202" s="347"/>
      <c r="J202" s="347"/>
      <c r="K202" s="347"/>
      <c r="L202" s="347"/>
      <c r="M202" s="347"/>
    </row>
    <row r="203" spans="2:13" x14ac:dyDescent="0.35">
      <c r="B203" s="347"/>
      <c r="C203" s="347"/>
      <c r="D203" s="347"/>
      <c r="E203" s="347"/>
      <c r="F203" s="347"/>
      <c r="G203" s="347"/>
      <c r="H203" s="347"/>
      <c r="I203" s="347"/>
      <c r="J203" s="347"/>
      <c r="K203" s="347"/>
      <c r="L203" s="347"/>
      <c r="M203" s="347"/>
    </row>
    <row r="204" spans="2:13" x14ac:dyDescent="0.35">
      <c r="B204" s="347"/>
      <c r="C204" s="347"/>
      <c r="D204" s="347"/>
      <c r="E204" s="347"/>
      <c r="F204" s="347"/>
      <c r="G204" s="347"/>
      <c r="H204" s="347"/>
      <c r="I204" s="347"/>
      <c r="J204" s="347"/>
      <c r="K204" s="347"/>
      <c r="L204" s="347"/>
      <c r="M204" s="347"/>
    </row>
    <row r="205" spans="2:13" x14ac:dyDescent="0.35">
      <c r="B205" s="347"/>
      <c r="C205" s="347"/>
      <c r="D205" s="347"/>
      <c r="E205" s="347"/>
      <c r="F205" s="347"/>
      <c r="G205" s="347"/>
      <c r="H205" s="347"/>
      <c r="I205" s="347"/>
      <c r="J205" s="347"/>
      <c r="K205" s="347"/>
      <c r="L205" s="347"/>
      <c r="M205" s="347"/>
    </row>
    <row r="206" spans="2:13" x14ac:dyDescent="0.35">
      <c r="B206" s="347"/>
      <c r="C206" s="347"/>
      <c r="D206" s="347"/>
      <c r="E206" s="347"/>
      <c r="F206" s="347"/>
      <c r="G206" s="347"/>
      <c r="H206" s="347"/>
      <c r="I206" s="347"/>
      <c r="J206" s="347"/>
      <c r="K206" s="347"/>
      <c r="L206" s="347"/>
      <c r="M206" s="347"/>
    </row>
    <row r="207" spans="2:13" x14ac:dyDescent="0.35">
      <c r="B207" s="347"/>
      <c r="C207" s="347"/>
      <c r="D207" s="347"/>
      <c r="E207" s="347"/>
      <c r="F207" s="347"/>
      <c r="G207" s="347"/>
      <c r="H207" s="347"/>
      <c r="I207" s="347"/>
      <c r="J207" s="347"/>
      <c r="K207" s="347"/>
      <c r="L207" s="347"/>
      <c r="M207" s="347"/>
    </row>
    <row r="208" spans="2:13" x14ac:dyDescent="0.35">
      <c r="B208" s="347"/>
      <c r="C208" s="347"/>
      <c r="D208" s="347"/>
      <c r="E208" s="347"/>
      <c r="F208" s="347"/>
      <c r="G208" s="347"/>
      <c r="H208" s="347"/>
      <c r="I208" s="347"/>
      <c r="J208" s="347"/>
      <c r="K208" s="347"/>
      <c r="L208" s="347"/>
      <c r="M208" s="347"/>
    </row>
    <row r="209" spans="2:13" x14ac:dyDescent="0.35">
      <c r="B209" s="347"/>
      <c r="C209" s="347"/>
      <c r="D209" s="347"/>
      <c r="E209" s="347"/>
      <c r="F209" s="347"/>
      <c r="G209" s="347"/>
      <c r="H209" s="347"/>
      <c r="I209" s="347"/>
      <c r="J209" s="347"/>
      <c r="K209" s="347"/>
      <c r="L209" s="347"/>
      <c r="M209" s="347"/>
    </row>
    <row r="210" spans="2:13" x14ac:dyDescent="0.35">
      <c r="B210" s="347"/>
      <c r="C210" s="347"/>
      <c r="D210" s="347"/>
      <c r="E210" s="347"/>
      <c r="F210" s="347"/>
      <c r="G210" s="347"/>
      <c r="H210" s="347"/>
      <c r="I210" s="347"/>
      <c r="J210" s="347"/>
      <c r="K210" s="347"/>
      <c r="L210" s="347"/>
      <c r="M210" s="347"/>
    </row>
    <row r="211" spans="2:13" x14ac:dyDescent="0.35">
      <c r="B211" s="347"/>
      <c r="C211" s="347"/>
      <c r="D211" s="347"/>
      <c r="E211" s="347"/>
      <c r="F211" s="347"/>
      <c r="G211" s="347"/>
      <c r="H211" s="347"/>
      <c r="I211" s="347"/>
      <c r="J211" s="347"/>
      <c r="K211" s="347"/>
      <c r="L211" s="347"/>
      <c r="M211" s="347"/>
    </row>
    <row r="212" spans="2:13" x14ac:dyDescent="0.35">
      <c r="B212" s="347"/>
      <c r="C212" s="347"/>
      <c r="D212" s="347"/>
      <c r="E212" s="347"/>
      <c r="F212" s="347"/>
      <c r="G212" s="347"/>
      <c r="H212" s="347"/>
      <c r="I212" s="347"/>
      <c r="J212" s="347"/>
      <c r="K212" s="347"/>
      <c r="L212" s="347"/>
      <c r="M212" s="347"/>
    </row>
    <row r="213" spans="2:13" x14ac:dyDescent="0.35">
      <c r="B213" s="347"/>
      <c r="C213" s="347"/>
      <c r="D213" s="347"/>
      <c r="E213" s="347"/>
      <c r="F213" s="347"/>
      <c r="G213" s="347"/>
      <c r="H213" s="347"/>
      <c r="I213" s="347"/>
      <c r="J213" s="347"/>
      <c r="K213" s="347"/>
      <c r="L213" s="347"/>
      <c r="M213" s="347"/>
    </row>
    <row r="214" spans="2:13" x14ac:dyDescent="0.35">
      <c r="B214" s="347"/>
      <c r="C214" s="347"/>
      <c r="D214" s="347"/>
      <c r="E214" s="347"/>
      <c r="F214" s="347"/>
      <c r="G214" s="347"/>
      <c r="H214" s="347"/>
      <c r="I214" s="347"/>
      <c r="J214" s="347"/>
      <c r="K214" s="347"/>
      <c r="L214" s="347"/>
      <c r="M214" s="347"/>
    </row>
    <row r="215" spans="2:13" x14ac:dyDescent="0.35">
      <c r="B215" s="347"/>
      <c r="C215" s="347"/>
      <c r="D215" s="347"/>
      <c r="E215" s="347"/>
      <c r="F215" s="347"/>
      <c r="G215" s="347"/>
      <c r="H215" s="347"/>
      <c r="I215" s="347"/>
      <c r="J215" s="347"/>
      <c r="K215" s="347"/>
      <c r="L215" s="347"/>
      <c r="M215" s="347"/>
    </row>
    <row r="216" spans="2:13" x14ac:dyDescent="0.35">
      <c r="B216" s="347"/>
      <c r="C216" s="347"/>
      <c r="D216" s="347"/>
      <c r="E216" s="347"/>
      <c r="F216" s="347"/>
      <c r="G216" s="347"/>
      <c r="H216" s="347"/>
      <c r="I216" s="347"/>
      <c r="J216" s="347"/>
      <c r="K216" s="347"/>
      <c r="L216" s="347"/>
      <c r="M216" s="347"/>
    </row>
    <row r="217" spans="2:13" x14ac:dyDescent="0.35">
      <c r="B217" s="347"/>
      <c r="C217" s="347"/>
      <c r="D217" s="347"/>
      <c r="E217" s="347"/>
      <c r="F217" s="347"/>
      <c r="G217" s="347"/>
      <c r="H217" s="347"/>
      <c r="I217" s="347"/>
      <c r="J217" s="347"/>
      <c r="K217" s="347"/>
      <c r="L217" s="347"/>
      <c r="M217" s="347"/>
    </row>
    <row r="218" spans="2:13" x14ac:dyDescent="0.35">
      <c r="B218" s="347"/>
      <c r="C218" s="347"/>
      <c r="D218" s="347"/>
      <c r="E218" s="347"/>
      <c r="F218" s="347"/>
      <c r="G218" s="347"/>
      <c r="H218" s="347"/>
      <c r="I218" s="347"/>
      <c r="J218" s="347"/>
      <c r="K218" s="347"/>
      <c r="L218" s="347"/>
      <c r="M218" s="347"/>
    </row>
    <row r="219" spans="2:13" x14ac:dyDescent="0.35">
      <c r="B219" s="347"/>
      <c r="C219" s="347"/>
      <c r="D219" s="347"/>
      <c r="E219" s="347"/>
      <c r="F219" s="347"/>
      <c r="G219" s="347"/>
      <c r="H219" s="347"/>
      <c r="I219" s="347"/>
      <c r="J219" s="347"/>
      <c r="K219" s="347"/>
      <c r="L219" s="347"/>
      <c r="M219" s="347"/>
    </row>
    <row r="220" spans="2:13" x14ac:dyDescent="0.35">
      <c r="B220" s="347"/>
      <c r="C220" s="347"/>
      <c r="D220" s="347"/>
      <c r="E220" s="347"/>
      <c r="F220" s="347"/>
      <c r="G220" s="347"/>
      <c r="H220" s="347"/>
      <c r="I220" s="347"/>
      <c r="J220" s="347"/>
      <c r="K220" s="347"/>
      <c r="L220" s="347"/>
      <c r="M220" s="347"/>
    </row>
    <row r="221" spans="2:13" x14ac:dyDescent="0.35">
      <c r="B221" s="347"/>
      <c r="C221" s="347"/>
      <c r="D221" s="347"/>
      <c r="E221" s="347"/>
      <c r="F221" s="347"/>
      <c r="G221" s="347"/>
      <c r="H221" s="347"/>
      <c r="I221" s="347"/>
      <c r="J221" s="347"/>
      <c r="K221" s="347"/>
      <c r="L221" s="347"/>
      <c r="M221" s="347"/>
    </row>
    <row r="222" spans="2:13" x14ac:dyDescent="0.35">
      <c r="B222" s="347"/>
      <c r="C222" s="347"/>
      <c r="D222" s="347"/>
      <c r="E222" s="347"/>
      <c r="F222" s="347"/>
      <c r="G222" s="347"/>
      <c r="H222" s="347"/>
      <c r="I222" s="347"/>
      <c r="J222" s="347"/>
      <c r="K222" s="347"/>
      <c r="L222" s="347"/>
      <c r="M222" s="347"/>
    </row>
    <row r="223" spans="2:13" x14ac:dyDescent="0.35">
      <c r="B223" s="347"/>
      <c r="C223" s="347"/>
      <c r="D223" s="347"/>
      <c r="E223" s="347"/>
      <c r="F223" s="347"/>
      <c r="G223" s="347"/>
      <c r="H223" s="347"/>
      <c r="I223" s="347"/>
      <c r="J223" s="347"/>
      <c r="K223" s="347"/>
      <c r="L223" s="347"/>
      <c r="M223" s="347"/>
    </row>
    <row r="224" spans="2:13" x14ac:dyDescent="0.35">
      <c r="B224" s="347"/>
      <c r="C224" s="347"/>
      <c r="D224" s="347"/>
      <c r="E224" s="347"/>
      <c r="F224" s="347"/>
      <c r="G224" s="347"/>
      <c r="H224" s="347"/>
      <c r="I224" s="347"/>
      <c r="J224" s="347"/>
      <c r="K224" s="347"/>
      <c r="L224" s="347"/>
      <c r="M224" s="347"/>
    </row>
    <row r="225" spans="2:13" x14ac:dyDescent="0.35">
      <c r="B225" s="347"/>
      <c r="C225" s="347"/>
      <c r="D225" s="347"/>
      <c r="E225" s="347"/>
      <c r="F225" s="347"/>
      <c r="G225" s="347"/>
      <c r="H225" s="347"/>
      <c r="I225" s="347"/>
      <c r="J225" s="347"/>
      <c r="K225" s="347"/>
      <c r="L225" s="347"/>
      <c r="M225" s="347"/>
    </row>
    <row r="226" spans="2:13" x14ac:dyDescent="0.35">
      <c r="B226" s="347"/>
      <c r="C226" s="347"/>
      <c r="D226" s="347"/>
      <c r="E226" s="347"/>
      <c r="F226" s="347"/>
      <c r="G226" s="347"/>
      <c r="H226" s="347"/>
      <c r="I226" s="347"/>
      <c r="J226" s="347"/>
      <c r="K226" s="347"/>
      <c r="L226" s="347"/>
      <c r="M226" s="347"/>
    </row>
    <row r="227" spans="2:13" x14ac:dyDescent="0.35">
      <c r="B227" s="347"/>
      <c r="C227" s="347"/>
      <c r="D227" s="347"/>
      <c r="E227" s="347"/>
      <c r="F227" s="347"/>
      <c r="G227" s="347"/>
      <c r="H227" s="347"/>
      <c r="I227" s="347"/>
      <c r="J227" s="347"/>
      <c r="K227" s="347"/>
      <c r="L227" s="347"/>
      <c r="M227" s="347"/>
    </row>
    <row r="228" spans="2:13" x14ac:dyDescent="0.35">
      <c r="B228" s="347"/>
      <c r="C228" s="347"/>
      <c r="D228" s="347"/>
      <c r="E228" s="347"/>
      <c r="F228" s="347"/>
      <c r="G228" s="347"/>
      <c r="H228" s="347"/>
      <c r="I228" s="347"/>
      <c r="J228" s="347"/>
      <c r="K228" s="347"/>
      <c r="L228" s="347"/>
      <c r="M228" s="347"/>
    </row>
    <row r="229" spans="2:13" x14ac:dyDescent="0.35">
      <c r="B229" s="347"/>
      <c r="C229" s="347"/>
      <c r="D229" s="347"/>
      <c r="E229" s="347"/>
      <c r="F229" s="347"/>
      <c r="G229" s="347"/>
      <c r="H229" s="347"/>
      <c r="I229" s="347"/>
      <c r="J229" s="347"/>
      <c r="K229" s="347"/>
      <c r="L229" s="347"/>
      <c r="M229" s="347"/>
    </row>
    <row r="230" spans="2:13" x14ac:dyDescent="0.35">
      <c r="B230" s="347"/>
      <c r="C230" s="347"/>
      <c r="D230" s="347"/>
      <c r="E230" s="347"/>
      <c r="F230" s="347"/>
      <c r="G230" s="347"/>
      <c r="H230" s="347"/>
      <c r="I230" s="347"/>
      <c r="J230" s="347"/>
      <c r="K230" s="347"/>
      <c r="L230" s="347"/>
      <c r="M230" s="347"/>
    </row>
    <row r="231" spans="2:13" x14ac:dyDescent="0.35">
      <c r="B231" s="347"/>
      <c r="C231" s="347"/>
      <c r="D231" s="347"/>
      <c r="E231" s="347"/>
      <c r="F231" s="347"/>
      <c r="G231" s="347"/>
      <c r="H231" s="347"/>
      <c r="I231" s="347"/>
      <c r="J231" s="347"/>
      <c r="K231" s="347"/>
      <c r="L231" s="347"/>
      <c r="M231" s="347"/>
    </row>
    <row r="232" spans="2:13" x14ac:dyDescent="0.35">
      <c r="B232" s="347"/>
      <c r="C232" s="347"/>
      <c r="D232" s="347"/>
      <c r="E232" s="347"/>
      <c r="F232" s="347"/>
      <c r="G232" s="347"/>
      <c r="H232" s="347"/>
      <c r="I232" s="347"/>
      <c r="J232" s="347"/>
      <c r="K232" s="347"/>
      <c r="L232" s="347"/>
      <c r="M232" s="347"/>
    </row>
    <row r="233" spans="2:13" x14ac:dyDescent="0.35">
      <c r="B233" s="347"/>
      <c r="C233" s="347"/>
      <c r="D233" s="347"/>
      <c r="E233" s="347"/>
      <c r="F233" s="347"/>
      <c r="G233" s="347"/>
      <c r="H233" s="347"/>
      <c r="I233" s="347"/>
      <c r="J233" s="347"/>
      <c r="K233" s="347"/>
      <c r="L233" s="347"/>
      <c r="M233" s="347"/>
    </row>
    <row r="234" spans="2:13" x14ac:dyDescent="0.35">
      <c r="B234" s="347"/>
      <c r="C234" s="347"/>
      <c r="D234" s="347"/>
      <c r="E234" s="347"/>
      <c r="F234" s="347"/>
      <c r="G234" s="347"/>
      <c r="H234" s="347"/>
      <c r="I234" s="347"/>
      <c r="J234" s="347"/>
      <c r="K234" s="347"/>
      <c r="L234" s="347"/>
      <c r="M234" s="347"/>
    </row>
    <row r="235" spans="2:13" x14ac:dyDescent="0.35">
      <c r="B235" s="347"/>
      <c r="C235" s="347"/>
      <c r="D235" s="347"/>
      <c r="E235" s="347"/>
      <c r="F235" s="347"/>
      <c r="G235" s="347"/>
      <c r="H235" s="347"/>
      <c r="I235" s="347"/>
      <c r="J235" s="347"/>
      <c r="K235" s="347"/>
      <c r="L235" s="347"/>
      <c r="M235" s="347"/>
    </row>
    <row r="236" spans="2:13" x14ac:dyDescent="0.35">
      <c r="B236" s="347"/>
      <c r="C236" s="347"/>
      <c r="D236" s="347"/>
      <c r="E236" s="347"/>
      <c r="F236" s="347"/>
      <c r="G236" s="347"/>
      <c r="H236" s="347"/>
      <c r="I236" s="347"/>
      <c r="J236" s="347"/>
      <c r="K236" s="347"/>
      <c r="L236" s="347"/>
      <c r="M236" s="347"/>
    </row>
    <row r="237" spans="2:13" x14ac:dyDescent="0.35">
      <c r="B237" s="347"/>
      <c r="C237" s="347"/>
      <c r="D237" s="347"/>
      <c r="E237" s="347"/>
      <c r="F237" s="347"/>
      <c r="G237" s="347"/>
      <c r="H237" s="347"/>
      <c r="I237" s="347"/>
      <c r="J237" s="347"/>
      <c r="K237" s="347"/>
      <c r="L237" s="347"/>
      <c r="M237" s="347"/>
    </row>
    <row r="238" spans="2:13" x14ac:dyDescent="0.35">
      <c r="B238" s="347"/>
      <c r="C238" s="347"/>
      <c r="D238" s="347"/>
      <c r="E238" s="347"/>
      <c r="F238" s="347"/>
      <c r="G238" s="347"/>
      <c r="H238" s="347"/>
      <c r="I238" s="347"/>
      <c r="J238" s="347"/>
      <c r="K238" s="347"/>
      <c r="L238" s="347"/>
      <c r="M238" s="347"/>
    </row>
    <row r="239" spans="2:13" x14ac:dyDescent="0.35">
      <c r="B239" s="347"/>
      <c r="C239" s="347"/>
      <c r="D239" s="347"/>
      <c r="E239" s="347"/>
      <c r="F239" s="347"/>
      <c r="G239" s="347"/>
      <c r="H239" s="347"/>
      <c r="I239" s="347"/>
      <c r="J239" s="347"/>
      <c r="K239" s="347"/>
      <c r="L239" s="347"/>
      <c r="M239" s="347"/>
    </row>
    <row r="240" spans="2:13" x14ac:dyDescent="0.35">
      <c r="B240" s="347"/>
      <c r="C240" s="347"/>
      <c r="D240" s="347"/>
      <c r="E240" s="347"/>
      <c r="F240" s="347"/>
      <c r="G240" s="347"/>
      <c r="H240" s="347"/>
      <c r="I240" s="347"/>
      <c r="J240" s="347"/>
      <c r="K240" s="347"/>
      <c r="L240" s="347"/>
      <c r="M240" s="347"/>
    </row>
    <row r="241" spans="2:13" x14ac:dyDescent="0.35">
      <c r="B241" s="347"/>
      <c r="C241" s="347"/>
      <c r="D241" s="347"/>
      <c r="E241" s="347"/>
      <c r="F241" s="347"/>
      <c r="G241" s="347"/>
      <c r="H241" s="347"/>
      <c r="I241" s="347"/>
      <c r="J241" s="347"/>
      <c r="K241" s="347"/>
      <c r="L241" s="347"/>
      <c r="M241" s="347"/>
    </row>
    <row r="242" spans="2:13" x14ac:dyDescent="0.35">
      <c r="B242" s="347"/>
      <c r="C242" s="347"/>
      <c r="D242" s="347"/>
      <c r="E242" s="347"/>
      <c r="F242" s="347"/>
      <c r="G242" s="347"/>
      <c r="H242" s="347"/>
      <c r="I242" s="347"/>
      <c r="J242" s="347"/>
      <c r="K242" s="347"/>
      <c r="L242" s="347"/>
      <c r="M242" s="347"/>
    </row>
    <row r="243" spans="2:13" x14ac:dyDescent="0.35">
      <c r="B243" s="347"/>
      <c r="C243" s="347"/>
      <c r="D243" s="347"/>
      <c r="E243" s="347"/>
      <c r="F243" s="347"/>
      <c r="G243" s="347"/>
      <c r="H243" s="347"/>
      <c r="I243" s="347"/>
      <c r="J243" s="347"/>
      <c r="K243" s="347"/>
      <c r="L243" s="347"/>
      <c r="M243" s="347"/>
    </row>
    <row r="244" spans="2:13" x14ac:dyDescent="0.35">
      <c r="B244" s="347"/>
      <c r="C244" s="347"/>
      <c r="D244" s="347"/>
      <c r="E244" s="347"/>
      <c r="F244" s="347"/>
      <c r="G244" s="347"/>
      <c r="H244" s="347"/>
      <c r="I244" s="347"/>
      <c r="J244" s="347"/>
      <c r="K244" s="347"/>
      <c r="L244" s="347"/>
      <c r="M244" s="347"/>
    </row>
    <row r="245" spans="2:13" x14ac:dyDescent="0.35">
      <c r="B245" s="347"/>
      <c r="C245" s="347"/>
      <c r="D245" s="347"/>
      <c r="E245" s="347"/>
      <c r="F245" s="347"/>
      <c r="G245" s="347"/>
      <c r="H245" s="347"/>
      <c r="I245" s="347"/>
      <c r="J245" s="347"/>
      <c r="K245" s="347"/>
      <c r="L245" s="347"/>
      <c r="M245" s="347"/>
    </row>
    <row r="246" spans="2:13" x14ac:dyDescent="0.35">
      <c r="B246" s="347"/>
      <c r="C246" s="347"/>
      <c r="D246" s="347"/>
      <c r="E246" s="347"/>
      <c r="F246" s="347"/>
      <c r="G246" s="347"/>
      <c r="H246" s="347"/>
      <c r="I246" s="347"/>
      <c r="J246" s="347"/>
      <c r="K246" s="347"/>
      <c r="L246" s="347"/>
      <c r="M246" s="347"/>
    </row>
    <row r="247" spans="2:13" x14ac:dyDescent="0.35">
      <c r="B247" s="347"/>
      <c r="C247" s="347"/>
      <c r="D247" s="347"/>
      <c r="E247" s="347"/>
      <c r="F247" s="347"/>
      <c r="G247" s="347"/>
      <c r="H247" s="347"/>
      <c r="I247" s="347"/>
      <c r="J247" s="347"/>
      <c r="K247" s="347"/>
      <c r="L247" s="347"/>
      <c r="M247" s="347"/>
    </row>
    <row r="248" spans="2:13" x14ac:dyDescent="0.35">
      <c r="B248" s="347"/>
      <c r="C248" s="347"/>
      <c r="D248" s="347"/>
      <c r="E248" s="347"/>
      <c r="F248" s="347"/>
      <c r="G248" s="347"/>
      <c r="H248" s="347"/>
      <c r="I248" s="347"/>
      <c r="J248" s="347"/>
      <c r="K248" s="347"/>
      <c r="L248" s="347"/>
      <c r="M248" s="347"/>
    </row>
    <row r="249" spans="2:13" x14ac:dyDescent="0.35">
      <c r="B249" s="347"/>
      <c r="C249" s="347"/>
      <c r="D249" s="347"/>
      <c r="E249" s="347"/>
      <c r="F249" s="347"/>
      <c r="G249" s="347"/>
      <c r="H249" s="347"/>
      <c r="I249" s="347"/>
      <c r="J249" s="347"/>
      <c r="K249" s="347"/>
      <c r="L249" s="347"/>
      <c r="M249" s="347"/>
    </row>
    <row r="250" spans="2:13" x14ac:dyDescent="0.35">
      <c r="B250" s="347"/>
      <c r="C250" s="347"/>
      <c r="D250" s="347"/>
      <c r="E250" s="347"/>
      <c r="F250" s="347"/>
      <c r="G250" s="347"/>
      <c r="H250" s="347"/>
      <c r="I250" s="347"/>
      <c r="J250" s="347"/>
      <c r="K250" s="347"/>
      <c r="L250" s="347"/>
      <c r="M250" s="347"/>
    </row>
    <row r="251" spans="2:13" x14ac:dyDescent="0.35">
      <c r="B251" s="347"/>
      <c r="C251" s="347"/>
      <c r="D251" s="347"/>
      <c r="E251" s="347"/>
      <c r="F251" s="347"/>
      <c r="G251" s="347"/>
      <c r="H251" s="347"/>
      <c r="I251" s="347"/>
      <c r="J251" s="347"/>
      <c r="K251" s="347"/>
      <c r="L251" s="347"/>
      <c r="M251" s="347"/>
    </row>
    <row r="252" spans="2:13" x14ac:dyDescent="0.35">
      <c r="B252" s="347"/>
      <c r="C252" s="347"/>
      <c r="D252" s="347"/>
      <c r="E252" s="347"/>
      <c r="F252" s="347"/>
      <c r="G252" s="347"/>
      <c r="H252" s="347"/>
      <c r="I252" s="347"/>
      <c r="J252" s="347"/>
      <c r="K252" s="347"/>
      <c r="L252" s="347"/>
      <c r="M252" s="347"/>
    </row>
    <row r="253" spans="2:13" x14ac:dyDescent="0.35">
      <c r="B253" s="347"/>
      <c r="C253" s="347"/>
      <c r="D253" s="347"/>
      <c r="E253" s="347"/>
      <c r="F253" s="347"/>
      <c r="G253" s="347"/>
      <c r="H253" s="347"/>
      <c r="I253" s="347"/>
      <c r="J253" s="347"/>
      <c r="K253" s="347"/>
      <c r="L253" s="347"/>
      <c r="M253" s="347"/>
    </row>
    <row r="254" spans="2:13" x14ac:dyDescent="0.35">
      <c r="B254" s="347"/>
      <c r="C254" s="347"/>
      <c r="D254" s="347"/>
      <c r="E254" s="347"/>
      <c r="F254" s="347"/>
      <c r="G254" s="347"/>
      <c r="H254" s="347"/>
      <c r="I254" s="347"/>
      <c r="J254" s="347"/>
      <c r="K254" s="347"/>
      <c r="L254" s="347"/>
      <c r="M254" s="347"/>
    </row>
    <row r="255" spans="2:13" x14ac:dyDescent="0.35">
      <c r="B255" s="347"/>
      <c r="C255" s="347"/>
      <c r="D255" s="347"/>
      <c r="E255" s="347"/>
      <c r="F255" s="347"/>
      <c r="G255" s="347"/>
      <c r="H255" s="347"/>
      <c r="I255" s="347"/>
      <c r="J255" s="347"/>
      <c r="K255" s="347"/>
      <c r="L255" s="347"/>
      <c r="M255" s="347"/>
    </row>
    <row r="256" spans="2:13" x14ac:dyDescent="0.35">
      <c r="B256" s="347"/>
      <c r="C256" s="347"/>
      <c r="D256" s="347"/>
      <c r="E256" s="347"/>
      <c r="F256" s="347"/>
      <c r="G256" s="347"/>
      <c r="H256" s="347"/>
      <c r="I256" s="347"/>
      <c r="J256" s="347"/>
      <c r="K256" s="347"/>
      <c r="L256" s="347"/>
      <c r="M256" s="347"/>
    </row>
    <row r="257" spans="2:13" x14ac:dyDescent="0.35">
      <c r="B257" s="347"/>
      <c r="C257" s="347"/>
      <c r="D257" s="347"/>
      <c r="E257" s="347"/>
      <c r="F257" s="347"/>
      <c r="G257" s="347"/>
      <c r="H257" s="347"/>
      <c r="I257" s="347"/>
      <c r="J257" s="347"/>
      <c r="K257" s="347"/>
      <c r="L257" s="347"/>
      <c r="M257" s="347"/>
    </row>
    <row r="258" spans="2:13" x14ac:dyDescent="0.35">
      <c r="B258" s="347"/>
      <c r="C258" s="347"/>
      <c r="D258" s="347"/>
      <c r="E258" s="347"/>
      <c r="F258" s="347"/>
      <c r="G258" s="347"/>
      <c r="H258" s="347"/>
      <c r="I258" s="347"/>
      <c r="J258" s="347"/>
      <c r="K258" s="347"/>
      <c r="L258" s="347"/>
      <c r="M258" s="347"/>
    </row>
    <row r="259" spans="2:13" x14ac:dyDescent="0.35">
      <c r="B259" s="347"/>
      <c r="C259" s="347"/>
      <c r="D259" s="347"/>
      <c r="E259" s="347"/>
      <c r="F259" s="347"/>
      <c r="G259" s="347"/>
      <c r="H259" s="347"/>
      <c r="I259" s="347"/>
      <c r="J259" s="347"/>
      <c r="K259" s="347"/>
      <c r="L259" s="347"/>
      <c r="M259" s="347"/>
    </row>
    <row r="260" spans="2:13" x14ac:dyDescent="0.35">
      <c r="B260" s="347"/>
      <c r="C260" s="347"/>
      <c r="D260" s="347"/>
      <c r="E260" s="347"/>
      <c r="F260" s="347"/>
      <c r="G260" s="347"/>
      <c r="H260" s="347"/>
      <c r="I260" s="347"/>
      <c r="J260" s="347"/>
      <c r="K260" s="347"/>
      <c r="L260" s="347"/>
      <c r="M260" s="347"/>
    </row>
    <row r="261" spans="2:13" x14ac:dyDescent="0.35">
      <c r="B261" s="347"/>
      <c r="C261" s="347"/>
      <c r="D261" s="347"/>
      <c r="E261" s="347"/>
      <c r="F261" s="347"/>
      <c r="G261" s="347"/>
      <c r="H261" s="347"/>
      <c r="I261" s="347"/>
      <c r="J261" s="347"/>
      <c r="K261" s="347"/>
      <c r="L261" s="347"/>
      <c r="M261" s="347"/>
    </row>
    <row r="262" spans="2:13" x14ac:dyDescent="0.35">
      <c r="B262" s="347"/>
      <c r="C262" s="347"/>
      <c r="D262" s="347"/>
      <c r="E262" s="347"/>
      <c r="F262" s="347"/>
      <c r="G262" s="347"/>
      <c r="H262" s="347"/>
      <c r="I262" s="347"/>
      <c r="J262" s="347"/>
      <c r="K262" s="347"/>
      <c r="L262" s="347"/>
      <c r="M262" s="347"/>
    </row>
    <row r="263" spans="2:13" x14ac:dyDescent="0.35">
      <c r="B263" s="347"/>
      <c r="C263" s="347"/>
      <c r="D263" s="347"/>
      <c r="E263" s="347"/>
      <c r="F263" s="347"/>
      <c r="G263" s="347"/>
      <c r="H263" s="347"/>
      <c r="I263" s="347"/>
      <c r="J263" s="347"/>
      <c r="K263" s="347"/>
      <c r="L263" s="347"/>
      <c r="M263" s="347"/>
    </row>
    <row r="264" spans="2:13" x14ac:dyDescent="0.35">
      <c r="B264" s="347"/>
      <c r="C264" s="347"/>
      <c r="D264" s="347"/>
      <c r="E264" s="347"/>
      <c r="F264" s="347"/>
      <c r="G264" s="347"/>
      <c r="H264" s="347"/>
      <c r="I264" s="347"/>
      <c r="J264" s="347"/>
      <c r="K264" s="347"/>
      <c r="L264" s="347"/>
      <c r="M264" s="347"/>
    </row>
    <row r="265" spans="2:13" x14ac:dyDescent="0.35">
      <c r="B265" s="347"/>
      <c r="C265" s="347"/>
      <c r="D265" s="347"/>
      <c r="E265" s="347"/>
      <c r="F265" s="347"/>
      <c r="G265" s="347"/>
      <c r="H265" s="347"/>
      <c r="I265" s="347"/>
      <c r="J265" s="347"/>
      <c r="K265" s="347"/>
      <c r="L265" s="347"/>
      <c r="M265" s="347"/>
    </row>
    <row r="266" spans="2:13" x14ac:dyDescent="0.35">
      <c r="B266" s="347"/>
      <c r="C266" s="347"/>
      <c r="D266" s="347"/>
      <c r="E266" s="347"/>
      <c r="F266" s="347"/>
      <c r="G266" s="347"/>
      <c r="H266" s="347"/>
      <c r="I266" s="347"/>
      <c r="J266" s="347"/>
      <c r="K266" s="347"/>
      <c r="L266" s="347"/>
      <c r="M266" s="347"/>
    </row>
    <row r="267" spans="2:13" x14ac:dyDescent="0.35">
      <c r="B267" s="347"/>
      <c r="C267" s="347"/>
      <c r="D267" s="347"/>
      <c r="E267" s="347"/>
      <c r="F267" s="347"/>
      <c r="G267" s="347"/>
      <c r="H267" s="347"/>
      <c r="I267" s="347"/>
      <c r="J267" s="347"/>
      <c r="K267" s="347"/>
      <c r="L267" s="347"/>
      <c r="M267" s="347"/>
    </row>
    <row r="268" spans="2:13" x14ac:dyDescent="0.35">
      <c r="B268" s="347"/>
      <c r="C268" s="347"/>
      <c r="D268" s="347"/>
      <c r="E268" s="347"/>
      <c r="F268" s="347"/>
      <c r="G268" s="347"/>
      <c r="H268" s="347"/>
      <c r="I268" s="347"/>
      <c r="J268" s="347"/>
      <c r="K268" s="347"/>
      <c r="L268" s="347"/>
      <c r="M268" s="347"/>
    </row>
    <row r="269" spans="2:13" x14ac:dyDescent="0.35">
      <c r="B269" s="347"/>
      <c r="C269" s="347"/>
      <c r="D269" s="347"/>
      <c r="E269" s="347"/>
      <c r="F269" s="347"/>
      <c r="G269" s="347"/>
      <c r="H269" s="347"/>
      <c r="I269" s="347"/>
      <c r="J269" s="347"/>
      <c r="K269" s="347"/>
      <c r="L269" s="347"/>
      <c r="M269" s="347"/>
    </row>
    <row r="270" spans="2:13" x14ac:dyDescent="0.35">
      <c r="B270" s="347"/>
      <c r="C270" s="347"/>
      <c r="D270" s="347"/>
      <c r="E270" s="347"/>
      <c r="F270" s="347"/>
      <c r="G270" s="347"/>
      <c r="H270" s="347"/>
      <c r="I270" s="347"/>
      <c r="J270" s="347"/>
      <c r="K270" s="347"/>
      <c r="L270" s="347"/>
      <c r="M270" s="347"/>
    </row>
    <row r="271" spans="2:13" x14ac:dyDescent="0.35">
      <c r="B271" s="347"/>
      <c r="C271" s="347"/>
      <c r="D271" s="347"/>
      <c r="E271" s="347"/>
      <c r="F271" s="347"/>
      <c r="G271" s="347"/>
      <c r="H271" s="347"/>
      <c r="I271" s="347"/>
      <c r="J271" s="347"/>
      <c r="K271" s="347"/>
      <c r="L271" s="347"/>
      <c r="M271" s="347"/>
    </row>
    <row r="272" spans="2:13" x14ac:dyDescent="0.35">
      <c r="B272" s="347"/>
      <c r="C272" s="347"/>
      <c r="D272" s="347"/>
      <c r="E272" s="347"/>
      <c r="F272" s="347"/>
      <c r="G272" s="347"/>
      <c r="H272" s="347"/>
      <c r="I272" s="347"/>
      <c r="J272" s="347"/>
      <c r="K272" s="347"/>
      <c r="L272" s="347"/>
      <c r="M272" s="347"/>
    </row>
    <row r="273" spans="2:13" x14ac:dyDescent="0.35">
      <c r="B273" s="347"/>
      <c r="C273" s="347"/>
      <c r="D273" s="347"/>
      <c r="E273" s="347"/>
      <c r="F273" s="347"/>
      <c r="G273" s="347"/>
      <c r="H273" s="347"/>
      <c r="I273" s="347"/>
      <c r="J273" s="347"/>
      <c r="K273" s="347"/>
      <c r="L273" s="347"/>
      <c r="M273" s="347"/>
    </row>
    <row r="274" spans="2:13" x14ac:dyDescent="0.35">
      <c r="B274" s="347"/>
      <c r="C274" s="347"/>
      <c r="D274" s="347"/>
      <c r="E274" s="347"/>
      <c r="F274" s="347"/>
      <c r="G274" s="347"/>
      <c r="H274" s="347"/>
      <c r="I274" s="347"/>
      <c r="J274" s="347"/>
      <c r="K274" s="347"/>
      <c r="L274" s="347"/>
      <c r="M274" s="347"/>
    </row>
    <row r="275" spans="2:13" x14ac:dyDescent="0.35">
      <c r="B275" s="347"/>
      <c r="C275" s="347"/>
      <c r="D275" s="347"/>
      <c r="E275" s="347"/>
      <c r="F275" s="347"/>
      <c r="G275" s="347"/>
      <c r="H275" s="347"/>
      <c r="I275" s="347"/>
      <c r="J275" s="347"/>
      <c r="K275" s="347"/>
      <c r="L275" s="347"/>
      <c r="M275" s="347"/>
    </row>
    <row r="276" spans="2:13" x14ac:dyDescent="0.35">
      <c r="B276" s="347"/>
      <c r="C276" s="347"/>
      <c r="D276" s="347"/>
      <c r="E276" s="347"/>
      <c r="F276" s="347"/>
      <c r="G276" s="347"/>
      <c r="H276" s="347"/>
      <c r="I276" s="347"/>
      <c r="J276" s="347"/>
      <c r="K276" s="347"/>
      <c r="L276" s="347"/>
      <c r="M276" s="347"/>
    </row>
    <row r="277" spans="2:13" x14ac:dyDescent="0.35">
      <c r="B277" s="347"/>
      <c r="C277" s="347"/>
      <c r="D277" s="347"/>
      <c r="E277" s="347"/>
      <c r="F277" s="347"/>
      <c r="G277" s="347"/>
      <c r="H277" s="347"/>
      <c r="I277" s="347"/>
      <c r="J277" s="347"/>
      <c r="K277" s="347"/>
      <c r="L277" s="347"/>
      <c r="M277" s="347"/>
    </row>
    <row r="278" spans="2:13" x14ac:dyDescent="0.35">
      <c r="B278" s="347"/>
      <c r="C278" s="347"/>
      <c r="D278" s="347"/>
      <c r="E278" s="347"/>
      <c r="F278" s="347"/>
      <c r="G278" s="347"/>
      <c r="H278" s="347"/>
      <c r="I278" s="347"/>
      <c r="J278" s="347"/>
      <c r="K278" s="347"/>
      <c r="L278" s="347"/>
      <c r="M278" s="347"/>
    </row>
    <row r="279" spans="2:13" x14ac:dyDescent="0.35">
      <c r="B279" s="347"/>
      <c r="C279" s="347"/>
      <c r="D279" s="347"/>
      <c r="E279" s="347"/>
      <c r="F279" s="347"/>
      <c r="G279" s="347"/>
      <c r="H279" s="347"/>
      <c r="I279" s="347"/>
      <c r="J279" s="347"/>
      <c r="K279" s="347"/>
      <c r="L279" s="347"/>
      <c r="M279" s="347"/>
    </row>
    <row r="280" spans="2:13" x14ac:dyDescent="0.35">
      <c r="B280" s="347"/>
      <c r="C280" s="347"/>
      <c r="D280" s="347"/>
      <c r="E280" s="347"/>
      <c r="F280" s="347"/>
      <c r="G280" s="347"/>
      <c r="H280" s="347"/>
      <c r="I280" s="347"/>
      <c r="J280" s="347"/>
      <c r="K280" s="347"/>
      <c r="L280" s="347"/>
      <c r="M280" s="347"/>
    </row>
    <row r="281" spans="2:13" x14ac:dyDescent="0.35">
      <c r="B281" s="347"/>
      <c r="C281" s="347"/>
      <c r="D281" s="347"/>
      <c r="E281" s="347"/>
      <c r="F281" s="347"/>
      <c r="G281" s="347"/>
      <c r="H281" s="347"/>
      <c r="I281" s="347"/>
      <c r="J281" s="347"/>
      <c r="K281" s="347"/>
      <c r="L281" s="347"/>
      <c r="M281" s="347"/>
    </row>
    <row r="282" spans="2:13" x14ac:dyDescent="0.35">
      <c r="B282" s="347"/>
      <c r="C282" s="347"/>
      <c r="D282" s="347"/>
      <c r="E282" s="347"/>
      <c r="F282" s="347"/>
      <c r="G282" s="347"/>
      <c r="H282" s="347"/>
      <c r="I282" s="347"/>
      <c r="J282" s="347"/>
      <c r="K282" s="347"/>
      <c r="L282" s="347"/>
      <c r="M282" s="347"/>
    </row>
    <row r="283" spans="2:13" x14ac:dyDescent="0.35">
      <c r="B283" s="347"/>
      <c r="C283" s="347"/>
      <c r="D283" s="347"/>
      <c r="E283" s="347"/>
      <c r="F283" s="347"/>
      <c r="G283" s="347"/>
      <c r="H283" s="347"/>
      <c r="I283" s="347"/>
      <c r="J283" s="347"/>
      <c r="K283" s="347"/>
      <c r="L283" s="347"/>
      <c r="M283" s="347"/>
    </row>
    <row r="284" spans="2:13" x14ac:dyDescent="0.35">
      <c r="B284" s="347"/>
      <c r="C284" s="347"/>
      <c r="D284" s="347"/>
      <c r="E284" s="347"/>
      <c r="F284" s="347"/>
      <c r="G284" s="347"/>
      <c r="H284" s="347"/>
      <c r="I284" s="347"/>
      <c r="J284" s="347"/>
      <c r="K284" s="347"/>
      <c r="L284" s="347"/>
      <c r="M284" s="347"/>
    </row>
    <row r="285" spans="2:13" x14ac:dyDescent="0.35">
      <c r="B285" s="347"/>
      <c r="C285" s="347"/>
      <c r="D285" s="347"/>
      <c r="E285" s="347"/>
      <c r="F285" s="347"/>
      <c r="G285" s="347"/>
      <c r="H285" s="347"/>
      <c r="I285" s="347"/>
      <c r="J285" s="347"/>
      <c r="K285" s="347"/>
      <c r="L285" s="347"/>
      <c r="M285" s="347"/>
    </row>
    <row r="286" spans="2:13" x14ac:dyDescent="0.35">
      <c r="B286" s="347"/>
      <c r="C286" s="347"/>
      <c r="D286" s="347"/>
      <c r="E286" s="347"/>
      <c r="F286" s="347"/>
      <c r="G286" s="347"/>
      <c r="H286" s="347"/>
      <c r="I286" s="347"/>
      <c r="J286" s="347"/>
      <c r="K286" s="347"/>
      <c r="L286" s="347"/>
      <c r="M286" s="347"/>
    </row>
    <row r="287" spans="2:13" x14ac:dyDescent="0.35">
      <c r="B287" s="347"/>
      <c r="C287" s="347"/>
      <c r="D287" s="347"/>
      <c r="E287" s="347"/>
      <c r="F287" s="347"/>
      <c r="G287" s="347"/>
      <c r="H287" s="347"/>
      <c r="I287" s="347"/>
      <c r="J287" s="347"/>
      <c r="K287" s="347"/>
      <c r="L287" s="347"/>
      <c r="M287" s="347"/>
    </row>
    <row r="288" spans="2:13" x14ac:dyDescent="0.35">
      <c r="B288" s="347"/>
      <c r="C288" s="347"/>
      <c r="D288" s="347"/>
      <c r="E288" s="347"/>
      <c r="F288" s="347"/>
      <c r="G288" s="347"/>
      <c r="H288" s="347"/>
      <c r="I288" s="347"/>
      <c r="J288" s="347"/>
      <c r="K288" s="347"/>
      <c r="L288" s="347"/>
      <c r="M288" s="347"/>
    </row>
    <row r="289" spans="2:13" x14ac:dyDescent="0.35">
      <c r="B289" s="347"/>
      <c r="C289" s="347"/>
      <c r="D289" s="347"/>
      <c r="E289" s="347"/>
      <c r="F289" s="347"/>
      <c r="G289" s="347"/>
      <c r="H289" s="347"/>
      <c r="I289" s="347"/>
      <c r="J289" s="347"/>
      <c r="K289" s="347"/>
      <c r="L289" s="347"/>
      <c r="M289" s="347"/>
    </row>
    <row r="290" spans="2:13" x14ac:dyDescent="0.35">
      <c r="B290" s="347"/>
      <c r="C290" s="347"/>
      <c r="D290" s="347"/>
      <c r="E290" s="347"/>
      <c r="F290" s="347"/>
      <c r="G290" s="347"/>
      <c r="H290" s="347"/>
      <c r="I290" s="347"/>
      <c r="J290" s="347"/>
      <c r="K290" s="347"/>
      <c r="L290" s="347"/>
      <c r="M290" s="347"/>
    </row>
    <row r="291" spans="2:13" x14ac:dyDescent="0.35">
      <c r="B291" s="347"/>
      <c r="C291" s="347"/>
      <c r="D291" s="347"/>
      <c r="E291" s="347"/>
      <c r="F291" s="347"/>
      <c r="G291" s="347"/>
      <c r="H291" s="347"/>
      <c r="I291" s="347"/>
      <c r="J291" s="347"/>
      <c r="K291" s="347"/>
      <c r="L291" s="347"/>
      <c r="M291" s="347"/>
    </row>
    <row r="292" spans="2:13" x14ac:dyDescent="0.35">
      <c r="B292" s="347"/>
      <c r="C292" s="347"/>
      <c r="D292" s="347"/>
      <c r="E292" s="347"/>
      <c r="F292" s="347"/>
      <c r="G292" s="347"/>
      <c r="H292" s="347"/>
      <c r="I292" s="347"/>
      <c r="J292" s="347"/>
      <c r="K292" s="347"/>
      <c r="L292" s="347"/>
      <c r="M292" s="347"/>
    </row>
    <row r="293" spans="2:13" x14ac:dyDescent="0.35">
      <c r="B293" s="347"/>
      <c r="C293" s="347"/>
      <c r="D293" s="347"/>
      <c r="E293" s="347"/>
      <c r="F293" s="347"/>
      <c r="G293" s="347"/>
      <c r="H293" s="347"/>
      <c r="I293" s="347"/>
      <c r="J293" s="347"/>
      <c r="K293" s="347"/>
      <c r="L293" s="347"/>
      <c r="M293" s="347"/>
    </row>
    <row r="294" spans="2:13" x14ac:dyDescent="0.35">
      <c r="B294" s="347"/>
      <c r="C294" s="347"/>
      <c r="D294" s="347"/>
      <c r="E294" s="347"/>
      <c r="F294" s="347"/>
      <c r="G294" s="347"/>
      <c r="H294" s="347"/>
      <c r="I294" s="347"/>
      <c r="J294" s="347"/>
      <c r="K294" s="347"/>
      <c r="L294" s="347"/>
      <c r="M294" s="347"/>
    </row>
    <row r="295" spans="2:13" x14ac:dyDescent="0.35">
      <c r="B295" s="347"/>
      <c r="C295" s="347"/>
      <c r="D295" s="347"/>
      <c r="E295" s="347"/>
      <c r="F295" s="347"/>
      <c r="G295" s="347"/>
      <c r="H295" s="347"/>
      <c r="I295" s="347"/>
      <c r="J295" s="347"/>
      <c r="K295" s="347"/>
      <c r="L295" s="347"/>
      <c r="M295" s="347"/>
    </row>
    <row r="296" spans="2:13" x14ac:dyDescent="0.35">
      <c r="B296" s="347"/>
      <c r="C296" s="347"/>
      <c r="D296" s="347"/>
      <c r="E296" s="347"/>
      <c r="F296" s="347"/>
      <c r="G296" s="347"/>
      <c r="H296" s="347"/>
      <c r="I296" s="347"/>
      <c r="J296" s="347"/>
      <c r="K296" s="347"/>
      <c r="L296" s="347"/>
      <c r="M296" s="347"/>
    </row>
    <row r="297" spans="2:13" x14ac:dyDescent="0.35">
      <c r="B297" s="347"/>
      <c r="C297" s="347"/>
      <c r="D297" s="347"/>
      <c r="E297" s="347"/>
      <c r="F297" s="347"/>
      <c r="G297" s="347"/>
      <c r="H297" s="347"/>
      <c r="I297" s="347"/>
      <c r="J297" s="347"/>
      <c r="K297" s="347"/>
      <c r="L297" s="347"/>
      <c r="M297" s="347"/>
    </row>
    <row r="298" spans="2:13" x14ac:dyDescent="0.35">
      <c r="B298" s="347"/>
      <c r="C298" s="347"/>
      <c r="D298" s="347"/>
      <c r="E298" s="347"/>
      <c r="F298" s="347"/>
      <c r="G298" s="347"/>
      <c r="H298" s="347"/>
      <c r="I298" s="347"/>
      <c r="J298" s="347"/>
      <c r="K298" s="347"/>
      <c r="L298" s="347"/>
      <c r="M298" s="347"/>
    </row>
    <row r="299" spans="2:13" x14ac:dyDescent="0.35">
      <c r="B299" s="347"/>
      <c r="C299" s="347"/>
      <c r="D299" s="347"/>
      <c r="E299" s="347"/>
      <c r="F299" s="347"/>
      <c r="G299" s="347"/>
      <c r="H299" s="347"/>
      <c r="I299" s="347"/>
      <c r="J299" s="347"/>
      <c r="K299" s="347"/>
      <c r="L299" s="347"/>
      <c r="M299" s="347"/>
    </row>
    <row r="300" spans="2:13" x14ac:dyDescent="0.35">
      <c r="B300" s="347"/>
      <c r="C300" s="347"/>
      <c r="D300" s="347"/>
      <c r="E300" s="347"/>
      <c r="F300" s="347"/>
      <c r="G300" s="347"/>
      <c r="H300" s="347"/>
      <c r="I300" s="347"/>
      <c r="J300" s="347"/>
      <c r="K300" s="347"/>
      <c r="L300" s="347"/>
      <c r="M300" s="347"/>
    </row>
    <row r="301" spans="2:13" x14ac:dyDescent="0.35">
      <c r="B301" s="347"/>
      <c r="C301" s="347"/>
      <c r="D301" s="347"/>
      <c r="E301" s="347"/>
      <c r="F301" s="347"/>
      <c r="G301" s="347"/>
      <c r="H301" s="347"/>
      <c r="I301" s="347"/>
      <c r="J301" s="347"/>
      <c r="K301" s="347"/>
      <c r="L301" s="347"/>
      <c r="M301" s="347"/>
    </row>
    <row r="302" spans="2:13" x14ac:dyDescent="0.35">
      <c r="B302" s="347"/>
      <c r="C302" s="347"/>
      <c r="D302" s="347"/>
      <c r="E302" s="347"/>
      <c r="F302" s="347"/>
      <c r="G302" s="347"/>
      <c r="H302" s="347"/>
      <c r="I302" s="347"/>
      <c r="J302" s="347"/>
      <c r="K302" s="347"/>
      <c r="L302" s="347"/>
      <c r="M302" s="347"/>
    </row>
    <row r="303" spans="2:13" x14ac:dyDescent="0.35">
      <c r="B303" s="347"/>
      <c r="C303" s="347"/>
      <c r="D303" s="347"/>
      <c r="E303" s="347"/>
      <c r="F303" s="347"/>
      <c r="G303" s="347"/>
      <c r="H303" s="347"/>
      <c r="I303" s="347"/>
      <c r="J303" s="347"/>
      <c r="K303" s="347"/>
      <c r="L303" s="347"/>
      <c r="M303" s="347"/>
    </row>
    <row r="304" spans="2:13" x14ac:dyDescent="0.35">
      <c r="B304" s="347"/>
      <c r="C304" s="347"/>
      <c r="D304" s="347"/>
      <c r="E304" s="347"/>
      <c r="F304" s="347"/>
      <c r="G304" s="347"/>
      <c r="H304" s="347"/>
      <c r="I304" s="347"/>
      <c r="J304" s="347"/>
      <c r="K304" s="347"/>
      <c r="L304" s="347"/>
      <c r="M304" s="347"/>
    </row>
    <row r="305" spans="2:13" x14ac:dyDescent="0.35">
      <c r="B305" s="347"/>
      <c r="C305" s="347"/>
      <c r="D305" s="347"/>
      <c r="E305" s="347"/>
      <c r="F305" s="347"/>
      <c r="G305" s="347"/>
      <c r="H305" s="347"/>
      <c r="I305" s="347"/>
      <c r="J305" s="347"/>
      <c r="K305" s="347"/>
      <c r="L305" s="347"/>
      <c r="M305" s="347"/>
    </row>
    <row r="306" spans="2:13" x14ac:dyDescent="0.35">
      <c r="B306" s="347"/>
      <c r="C306" s="347"/>
      <c r="D306" s="347"/>
      <c r="E306" s="347"/>
      <c r="F306" s="347"/>
      <c r="G306" s="347"/>
      <c r="H306" s="347"/>
      <c r="I306" s="347"/>
      <c r="J306" s="347"/>
      <c r="K306" s="347"/>
      <c r="L306" s="347"/>
      <c r="M306" s="347"/>
    </row>
    <row r="307" spans="2:13" x14ac:dyDescent="0.35">
      <c r="B307" s="347"/>
      <c r="C307" s="347"/>
      <c r="D307" s="347"/>
      <c r="E307" s="347"/>
      <c r="F307" s="347"/>
      <c r="G307" s="347"/>
      <c r="H307" s="347"/>
      <c r="I307" s="347"/>
      <c r="J307" s="347"/>
      <c r="K307" s="347"/>
      <c r="L307" s="347"/>
      <c r="M307" s="347"/>
    </row>
    <row r="308" spans="2:13" x14ac:dyDescent="0.35">
      <c r="B308" s="347"/>
      <c r="C308" s="347"/>
      <c r="D308" s="347"/>
      <c r="E308" s="347"/>
      <c r="F308" s="347"/>
      <c r="G308" s="347"/>
      <c r="H308" s="347"/>
      <c r="I308" s="347"/>
      <c r="J308" s="347"/>
      <c r="K308" s="347"/>
      <c r="L308" s="347"/>
      <c r="M308" s="347"/>
    </row>
    <row r="309" spans="2:13" x14ac:dyDescent="0.35">
      <c r="B309" s="347"/>
      <c r="C309" s="347"/>
      <c r="D309" s="347"/>
      <c r="E309" s="347"/>
      <c r="F309" s="347"/>
      <c r="G309" s="347"/>
      <c r="H309" s="347"/>
      <c r="I309" s="347"/>
      <c r="J309" s="347"/>
      <c r="K309" s="347"/>
      <c r="L309" s="347"/>
      <c r="M309" s="347"/>
    </row>
    <row r="310" spans="2:13" x14ac:dyDescent="0.35">
      <c r="B310" s="347"/>
      <c r="C310" s="347"/>
      <c r="D310" s="347"/>
      <c r="E310" s="347"/>
      <c r="F310" s="347"/>
      <c r="G310" s="347"/>
      <c r="H310" s="347"/>
      <c r="I310" s="347"/>
      <c r="J310" s="347"/>
      <c r="K310" s="347"/>
      <c r="L310" s="347"/>
      <c r="M310" s="347"/>
    </row>
    <row r="311" spans="2:13" x14ac:dyDescent="0.35">
      <c r="B311" s="347"/>
      <c r="C311" s="347"/>
      <c r="D311" s="347"/>
      <c r="E311" s="347"/>
      <c r="F311" s="347"/>
      <c r="G311" s="347"/>
      <c r="H311" s="347"/>
      <c r="I311" s="347"/>
      <c r="J311" s="347"/>
      <c r="K311" s="347"/>
      <c r="L311" s="347"/>
      <c r="M311" s="347"/>
    </row>
    <row r="312" spans="2:13" x14ac:dyDescent="0.35">
      <c r="B312" s="347"/>
      <c r="C312" s="347"/>
      <c r="D312" s="347"/>
      <c r="E312" s="347"/>
      <c r="F312" s="347"/>
      <c r="G312" s="347"/>
      <c r="H312" s="347"/>
      <c r="I312" s="347"/>
      <c r="J312" s="347"/>
      <c r="K312" s="347"/>
      <c r="L312" s="347"/>
      <c r="M312" s="347"/>
    </row>
    <row r="313" spans="2:13" x14ac:dyDescent="0.35">
      <c r="B313" s="347"/>
      <c r="C313" s="347"/>
      <c r="D313" s="347"/>
      <c r="E313" s="347"/>
      <c r="F313" s="347"/>
      <c r="G313" s="347"/>
      <c r="H313" s="347"/>
      <c r="I313" s="347"/>
      <c r="J313" s="347"/>
      <c r="K313" s="347"/>
      <c r="L313" s="347"/>
      <c r="M313" s="347"/>
    </row>
    <row r="314" spans="2:13" x14ac:dyDescent="0.35">
      <c r="B314" s="347"/>
      <c r="C314" s="347"/>
      <c r="D314" s="347"/>
      <c r="E314" s="347"/>
      <c r="F314" s="347"/>
      <c r="G314" s="347"/>
      <c r="H314" s="347"/>
      <c r="I314" s="347"/>
      <c r="J314" s="347"/>
      <c r="K314" s="347"/>
      <c r="L314" s="347"/>
      <c r="M314" s="347"/>
    </row>
    <row r="315" spans="2:13" x14ac:dyDescent="0.35">
      <c r="B315" s="347"/>
      <c r="C315" s="347"/>
      <c r="D315" s="347"/>
      <c r="E315" s="347"/>
      <c r="F315" s="347"/>
      <c r="G315" s="347"/>
      <c r="H315" s="347"/>
      <c r="I315" s="347"/>
      <c r="J315" s="347"/>
      <c r="K315" s="347"/>
      <c r="L315" s="347"/>
      <c r="M315" s="347"/>
    </row>
    <row r="316" spans="2:13" x14ac:dyDescent="0.35">
      <c r="B316" s="347"/>
      <c r="C316" s="347"/>
      <c r="D316" s="347"/>
      <c r="E316" s="347"/>
      <c r="F316" s="347"/>
      <c r="G316" s="347"/>
      <c r="H316" s="347"/>
      <c r="I316" s="347"/>
      <c r="J316" s="347"/>
      <c r="K316" s="347"/>
      <c r="L316" s="347"/>
      <c r="M316" s="347"/>
    </row>
    <row r="317" spans="2:13" x14ac:dyDescent="0.35">
      <c r="B317" s="347"/>
      <c r="C317" s="347"/>
      <c r="D317" s="347"/>
      <c r="E317" s="347"/>
      <c r="F317" s="347"/>
      <c r="G317" s="347"/>
      <c r="H317" s="347"/>
      <c r="I317" s="347"/>
      <c r="J317" s="347"/>
      <c r="K317" s="347"/>
      <c r="L317" s="347"/>
      <c r="M317" s="347"/>
    </row>
    <row r="318" spans="2:13" x14ac:dyDescent="0.35">
      <c r="B318" s="347"/>
      <c r="C318" s="347"/>
      <c r="D318" s="347"/>
      <c r="E318" s="347"/>
      <c r="F318" s="347"/>
      <c r="G318" s="347"/>
      <c r="H318" s="347"/>
      <c r="I318" s="347"/>
      <c r="J318" s="347"/>
      <c r="K318" s="347"/>
      <c r="L318" s="347"/>
      <c r="M318" s="347"/>
    </row>
    <row r="319" spans="2:13" x14ac:dyDescent="0.35">
      <c r="B319" s="347"/>
      <c r="C319" s="347"/>
      <c r="D319" s="347"/>
      <c r="E319" s="347"/>
      <c r="F319" s="347"/>
      <c r="G319" s="347"/>
      <c r="H319" s="347"/>
      <c r="I319" s="347"/>
      <c r="J319" s="347"/>
      <c r="K319" s="347"/>
      <c r="L319" s="347"/>
      <c r="M319" s="347"/>
    </row>
    <row r="320" spans="2:13" x14ac:dyDescent="0.35">
      <c r="B320" s="347"/>
      <c r="C320" s="347"/>
      <c r="D320" s="347"/>
      <c r="E320" s="347"/>
      <c r="F320" s="347"/>
      <c r="G320" s="347"/>
      <c r="H320" s="347"/>
      <c r="I320" s="347"/>
      <c r="J320" s="347"/>
      <c r="K320" s="347"/>
      <c r="L320" s="347"/>
      <c r="M320" s="347"/>
    </row>
    <row r="321" spans="2:13" x14ac:dyDescent="0.35">
      <c r="B321" s="347"/>
      <c r="C321" s="347"/>
      <c r="D321" s="347"/>
      <c r="E321" s="347"/>
      <c r="F321" s="347"/>
      <c r="G321" s="347"/>
      <c r="H321" s="347"/>
      <c r="I321" s="347"/>
      <c r="J321" s="347"/>
      <c r="K321" s="347"/>
      <c r="L321" s="347"/>
      <c r="M321" s="347"/>
    </row>
    <row r="322" spans="2:13" x14ac:dyDescent="0.35">
      <c r="B322" s="347"/>
      <c r="C322" s="347"/>
      <c r="D322" s="347"/>
      <c r="E322" s="347"/>
      <c r="F322" s="347"/>
      <c r="G322" s="347"/>
      <c r="H322" s="347"/>
      <c r="I322" s="347"/>
      <c r="J322" s="347"/>
      <c r="K322" s="347"/>
      <c r="L322" s="347"/>
      <c r="M322" s="347"/>
    </row>
    <row r="323" spans="2:13" x14ac:dyDescent="0.35">
      <c r="B323" s="347"/>
      <c r="C323" s="347"/>
      <c r="D323" s="347"/>
      <c r="E323" s="347"/>
      <c r="F323" s="347"/>
      <c r="G323" s="347"/>
      <c r="H323" s="347"/>
      <c r="I323" s="347"/>
      <c r="J323" s="347"/>
      <c r="K323" s="347"/>
      <c r="L323" s="347"/>
      <c r="M323" s="347"/>
    </row>
    <row r="324" spans="2:13" x14ac:dyDescent="0.35">
      <c r="B324" s="347"/>
      <c r="C324" s="347"/>
      <c r="D324" s="347"/>
      <c r="E324" s="347"/>
      <c r="F324" s="347"/>
      <c r="G324" s="347"/>
      <c r="H324" s="347"/>
      <c r="I324" s="347"/>
      <c r="J324" s="347"/>
      <c r="K324" s="347"/>
      <c r="L324" s="347"/>
      <c r="M324" s="347"/>
    </row>
    <row r="325" spans="2:13" x14ac:dyDescent="0.35">
      <c r="B325" s="347"/>
      <c r="C325" s="347"/>
      <c r="D325" s="347"/>
      <c r="E325" s="347"/>
      <c r="F325" s="347"/>
      <c r="G325" s="347"/>
      <c r="H325" s="347"/>
      <c r="I325" s="347"/>
      <c r="J325" s="347"/>
      <c r="K325" s="347"/>
      <c r="L325" s="347"/>
      <c r="M325" s="347"/>
    </row>
    <row r="326" spans="2:13" x14ac:dyDescent="0.35">
      <c r="B326" s="347"/>
      <c r="C326" s="347"/>
      <c r="D326" s="347"/>
      <c r="E326" s="347"/>
      <c r="F326" s="347"/>
      <c r="G326" s="347"/>
      <c r="H326" s="347"/>
      <c r="I326" s="347"/>
      <c r="J326" s="347"/>
      <c r="K326" s="347"/>
      <c r="L326" s="347"/>
      <c r="M326" s="347"/>
    </row>
    <row r="327" spans="2:13" x14ac:dyDescent="0.35">
      <c r="B327" s="347"/>
      <c r="C327" s="347"/>
      <c r="D327" s="347"/>
      <c r="E327" s="347"/>
      <c r="F327" s="347"/>
      <c r="G327" s="347"/>
      <c r="H327" s="347"/>
      <c r="I327" s="347"/>
      <c r="J327" s="347"/>
      <c r="K327" s="347"/>
      <c r="L327" s="347"/>
      <c r="M327" s="347"/>
    </row>
    <row r="328" spans="2:13" x14ac:dyDescent="0.35">
      <c r="B328" s="347"/>
      <c r="C328" s="347"/>
      <c r="D328" s="347"/>
      <c r="E328" s="347"/>
      <c r="F328" s="347"/>
      <c r="G328" s="347"/>
      <c r="H328" s="347"/>
      <c r="I328" s="347"/>
      <c r="J328" s="347"/>
      <c r="K328" s="347"/>
      <c r="L328" s="347"/>
      <c r="M328" s="347"/>
    </row>
    <row r="329" spans="2:13" x14ac:dyDescent="0.35">
      <c r="B329" s="347"/>
      <c r="C329" s="347"/>
      <c r="D329" s="347"/>
      <c r="E329" s="347"/>
      <c r="F329" s="347"/>
      <c r="G329" s="347"/>
      <c r="H329" s="347"/>
      <c r="I329" s="347"/>
      <c r="J329" s="347"/>
      <c r="K329" s="347"/>
      <c r="L329" s="347"/>
      <c r="M329" s="347"/>
    </row>
    <row r="330" spans="2:13" x14ac:dyDescent="0.35">
      <c r="B330" s="347"/>
      <c r="C330" s="347"/>
      <c r="D330" s="347"/>
      <c r="E330" s="347"/>
      <c r="F330" s="347"/>
      <c r="G330" s="347"/>
      <c r="H330" s="347"/>
      <c r="I330" s="347"/>
      <c r="J330" s="347"/>
      <c r="K330" s="347"/>
      <c r="L330" s="347"/>
      <c r="M330" s="347"/>
    </row>
    <row r="331" spans="2:13" x14ac:dyDescent="0.35">
      <c r="B331" s="347"/>
      <c r="C331" s="347"/>
      <c r="D331" s="347"/>
      <c r="E331" s="347"/>
      <c r="F331" s="347"/>
      <c r="G331" s="347"/>
      <c r="H331" s="347"/>
      <c r="I331" s="347"/>
      <c r="J331" s="347"/>
      <c r="K331" s="347"/>
      <c r="L331" s="347"/>
      <c r="M331" s="347"/>
    </row>
    <row r="332" spans="2:13" x14ac:dyDescent="0.35">
      <c r="B332" s="347"/>
      <c r="C332" s="347"/>
      <c r="D332" s="347"/>
      <c r="E332" s="347"/>
      <c r="F332" s="347"/>
      <c r="G332" s="347"/>
      <c r="H332" s="347"/>
      <c r="I332" s="347"/>
      <c r="J332" s="347"/>
      <c r="K332" s="347"/>
      <c r="L332" s="347"/>
      <c r="M332" s="347"/>
    </row>
    <row r="333" spans="2:13" x14ac:dyDescent="0.35">
      <c r="B333" s="347"/>
      <c r="C333" s="347"/>
      <c r="D333" s="347"/>
      <c r="E333" s="347"/>
      <c r="F333" s="347"/>
      <c r="G333" s="347"/>
      <c r="H333" s="347"/>
      <c r="I333" s="347"/>
      <c r="J333" s="347"/>
      <c r="K333" s="347"/>
      <c r="L333" s="347"/>
      <c r="M333" s="347"/>
    </row>
    <row r="334" spans="2:13" x14ac:dyDescent="0.35">
      <c r="B334" s="347"/>
      <c r="C334" s="347"/>
      <c r="D334" s="347"/>
      <c r="E334" s="347"/>
      <c r="F334" s="347"/>
      <c r="G334" s="347"/>
      <c r="H334" s="347"/>
      <c r="I334" s="347"/>
      <c r="J334" s="347"/>
      <c r="K334" s="347"/>
      <c r="L334" s="347"/>
      <c r="M334" s="347"/>
    </row>
    <row r="335" spans="2:13" x14ac:dyDescent="0.35">
      <c r="B335" s="347"/>
      <c r="C335" s="347"/>
      <c r="D335" s="347"/>
      <c r="E335" s="347"/>
      <c r="F335" s="347"/>
      <c r="G335" s="347"/>
      <c r="H335" s="347"/>
      <c r="I335" s="347"/>
      <c r="J335" s="347"/>
      <c r="K335" s="347"/>
      <c r="L335" s="347"/>
      <c r="M335" s="347"/>
    </row>
    <row r="336" spans="2:13" x14ac:dyDescent="0.35">
      <c r="B336" s="347"/>
      <c r="C336" s="347"/>
      <c r="D336" s="347"/>
      <c r="E336" s="347"/>
      <c r="F336" s="347"/>
      <c r="G336" s="347"/>
      <c r="H336" s="347"/>
      <c r="I336" s="347"/>
      <c r="J336" s="347"/>
      <c r="K336" s="347"/>
      <c r="L336" s="347"/>
      <c r="M336" s="347"/>
    </row>
    <row r="337" spans="2:13" x14ac:dyDescent="0.35">
      <c r="B337" s="347"/>
      <c r="C337" s="347"/>
      <c r="D337" s="347"/>
      <c r="E337" s="347"/>
      <c r="F337" s="347"/>
      <c r="G337" s="347"/>
      <c r="H337" s="347"/>
      <c r="I337" s="347"/>
      <c r="J337" s="347"/>
      <c r="K337" s="347"/>
      <c r="L337" s="347"/>
      <c r="M337" s="347"/>
    </row>
    <row r="338" spans="2:13" x14ac:dyDescent="0.35">
      <c r="B338" s="347"/>
      <c r="C338" s="347"/>
      <c r="D338" s="347"/>
      <c r="E338" s="347"/>
      <c r="F338" s="347"/>
      <c r="G338" s="347"/>
      <c r="H338" s="347"/>
      <c r="I338" s="347"/>
      <c r="J338" s="347"/>
      <c r="K338" s="347"/>
      <c r="L338" s="347"/>
      <c r="M338" s="347"/>
    </row>
    <row r="339" spans="2:13" x14ac:dyDescent="0.35">
      <c r="B339" s="347"/>
      <c r="C339" s="347"/>
      <c r="D339" s="347"/>
      <c r="E339" s="347"/>
      <c r="F339" s="347"/>
      <c r="G339" s="347"/>
      <c r="H339" s="347"/>
      <c r="I339" s="347"/>
      <c r="J339" s="347"/>
      <c r="K339" s="347"/>
      <c r="L339" s="347"/>
      <c r="M339" s="347"/>
    </row>
    <row r="340" spans="2:13" x14ac:dyDescent="0.35">
      <c r="B340" s="347"/>
      <c r="C340" s="347"/>
      <c r="D340" s="347"/>
      <c r="E340" s="347"/>
      <c r="F340" s="347"/>
      <c r="G340" s="347"/>
      <c r="H340" s="347"/>
      <c r="I340" s="347"/>
      <c r="J340" s="347"/>
      <c r="K340" s="347"/>
      <c r="L340" s="347"/>
      <c r="M340" s="347"/>
    </row>
    <row r="341" spans="2:13" x14ac:dyDescent="0.35">
      <c r="B341" s="347"/>
      <c r="C341" s="347"/>
      <c r="D341" s="347"/>
      <c r="E341" s="347"/>
      <c r="F341" s="347"/>
      <c r="G341" s="347"/>
      <c r="H341" s="347"/>
      <c r="I341" s="347"/>
      <c r="J341" s="347"/>
      <c r="K341" s="347"/>
      <c r="L341" s="347"/>
      <c r="M341" s="347"/>
    </row>
    <row r="342" spans="2:13" x14ac:dyDescent="0.35">
      <c r="B342" s="347"/>
      <c r="C342" s="347"/>
      <c r="D342" s="347"/>
      <c r="E342" s="347"/>
      <c r="F342" s="347"/>
      <c r="G342" s="347"/>
      <c r="H342" s="347"/>
      <c r="I342" s="347"/>
      <c r="J342" s="347"/>
      <c r="K342" s="347"/>
      <c r="L342" s="347"/>
      <c r="M342" s="347"/>
    </row>
    <row r="343" spans="2:13" x14ac:dyDescent="0.35">
      <c r="B343" s="347"/>
      <c r="C343" s="347"/>
      <c r="D343" s="347"/>
      <c r="E343" s="347"/>
      <c r="F343" s="347"/>
      <c r="G343" s="347"/>
      <c r="H343" s="347"/>
      <c r="I343" s="347"/>
      <c r="J343" s="347"/>
      <c r="K343" s="347"/>
      <c r="L343" s="347"/>
      <c r="M343" s="347"/>
    </row>
    <row r="344" spans="2:13" x14ac:dyDescent="0.35">
      <c r="B344" s="347"/>
      <c r="C344" s="347"/>
      <c r="D344" s="347"/>
      <c r="E344" s="347"/>
      <c r="F344" s="347"/>
      <c r="G344" s="347"/>
      <c r="H344" s="347"/>
      <c r="I344" s="347"/>
      <c r="J344" s="347"/>
      <c r="K344" s="347"/>
      <c r="L344" s="347"/>
      <c r="M344" s="347"/>
    </row>
    <row r="345" spans="2:13" x14ac:dyDescent="0.35">
      <c r="B345" s="347"/>
      <c r="C345" s="347"/>
      <c r="D345" s="347"/>
      <c r="E345" s="347"/>
      <c r="F345" s="347"/>
      <c r="G345" s="347"/>
      <c r="H345" s="347"/>
      <c r="I345" s="347"/>
      <c r="J345" s="347"/>
      <c r="K345" s="347"/>
      <c r="L345" s="347"/>
      <c r="M345" s="347"/>
    </row>
    <row r="346" spans="2:13" x14ac:dyDescent="0.35">
      <c r="B346" s="347"/>
      <c r="C346" s="347"/>
      <c r="D346" s="347"/>
      <c r="E346" s="347"/>
      <c r="F346" s="347"/>
      <c r="G346" s="347"/>
      <c r="H346" s="347"/>
      <c r="I346" s="347"/>
      <c r="J346" s="347"/>
      <c r="K346" s="347"/>
      <c r="L346" s="347"/>
      <c r="M346" s="347"/>
    </row>
    <row r="347" spans="2:13" x14ac:dyDescent="0.35">
      <c r="B347" s="347"/>
      <c r="C347" s="347"/>
      <c r="D347" s="347"/>
      <c r="E347" s="347"/>
      <c r="F347" s="347"/>
      <c r="G347" s="347"/>
      <c r="H347" s="347"/>
      <c r="I347" s="347"/>
      <c r="J347" s="347"/>
      <c r="K347" s="347"/>
      <c r="L347" s="347"/>
      <c r="M347" s="347"/>
    </row>
    <row r="348" spans="2:13" x14ac:dyDescent="0.35">
      <c r="B348" s="347"/>
      <c r="C348" s="347"/>
      <c r="D348" s="347"/>
      <c r="E348" s="347"/>
      <c r="F348" s="347"/>
      <c r="G348" s="347"/>
      <c r="H348" s="347"/>
      <c r="I348" s="347"/>
      <c r="J348" s="347"/>
      <c r="K348" s="347"/>
      <c r="L348" s="347"/>
      <c r="M348" s="347"/>
    </row>
    <row r="349" spans="2:13" x14ac:dyDescent="0.35">
      <c r="B349" s="347"/>
      <c r="C349" s="347"/>
      <c r="D349" s="347"/>
      <c r="E349" s="347"/>
      <c r="F349" s="347"/>
      <c r="G349" s="347"/>
      <c r="H349" s="347"/>
      <c r="I349" s="347"/>
      <c r="J349" s="347"/>
      <c r="K349" s="347"/>
      <c r="L349" s="347"/>
      <c r="M349" s="347"/>
    </row>
    <row r="350" spans="2:13" x14ac:dyDescent="0.35">
      <c r="B350" s="347"/>
      <c r="C350" s="347"/>
      <c r="D350" s="347"/>
      <c r="E350" s="347"/>
      <c r="F350" s="347"/>
      <c r="G350" s="347"/>
      <c r="H350" s="347"/>
      <c r="I350" s="347"/>
      <c r="J350" s="347"/>
      <c r="K350" s="347"/>
      <c r="L350" s="347"/>
      <c r="M350" s="347"/>
    </row>
    <row r="351" spans="2:13" x14ac:dyDescent="0.35">
      <c r="B351" s="347"/>
      <c r="C351" s="347"/>
      <c r="D351" s="347"/>
      <c r="E351" s="347"/>
      <c r="F351" s="347"/>
      <c r="G351" s="347"/>
      <c r="H351" s="347"/>
      <c r="I351" s="347"/>
      <c r="J351" s="347"/>
      <c r="K351" s="347"/>
      <c r="L351" s="347"/>
      <c r="M351" s="347"/>
    </row>
    <row r="352" spans="2:13" x14ac:dyDescent="0.35">
      <c r="B352" s="347"/>
      <c r="C352" s="347"/>
      <c r="D352" s="347"/>
      <c r="E352" s="347"/>
      <c r="F352" s="347"/>
      <c r="G352" s="347"/>
      <c r="H352" s="347"/>
      <c r="I352" s="347"/>
      <c r="J352" s="347"/>
      <c r="K352" s="347"/>
      <c r="L352" s="347"/>
      <c r="M352" s="347"/>
    </row>
    <row r="353" spans="2:13" x14ac:dyDescent="0.35">
      <c r="B353" s="347"/>
      <c r="C353" s="347"/>
      <c r="D353" s="347"/>
      <c r="E353" s="347"/>
      <c r="F353" s="347"/>
      <c r="G353" s="347"/>
      <c r="H353" s="347"/>
      <c r="I353" s="347"/>
      <c r="J353" s="347"/>
      <c r="K353" s="347"/>
      <c r="L353" s="347"/>
      <c r="M353" s="347"/>
    </row>
    <row r="354" spans="2:13" x14ac:dyDescent="0.35">
      <c r="B354" s="347"/>
      <c r="C354" s="347"/>
      <c r="D354" s="347"/>
      <c r="E354" s="347"/>
      <c r="F354" s="347"/>
      <c r="G354" s="347"/>
      <c r="H354" s="347"/>
      <c r="I354" s="347"/>
      <c r="J354" s="347"/>
      <c r="K354" s="347"/>
      <c r="L354" s="347"/>
      <c r="M354" s="347"/>
    </row>
    <row r="355" spans="2:13" x14ac:dyDescent="0.35">
      <c r="B355" s="347"/>
      <c r="C355" s="347"/>
      <c r="D355" s="347"/>
      <c r="E355" s="347"/>
      <c r="F355" s="347"/>
      <c r="G355" s="347"/>
      <c r="H355" s="347"/>
      <c r="I355" s="347"/>
      <c r="J355" s="347"/>
      <c r="K355" s="347"/>
      <c r="L355" s="347"/>
      <c r="M355" s="347"/>
    </row>
    <row r="356" spans="2:13" x14ac:dyDescent="0.35">
      <c r="B356" s="347"/>
      <c r="C356" s="347"/>
      <c r="D356" s="347"/>
      <c r="E356" s="347"/>
      <c r="F356" s="347"/>
      <c r="G356" s="347"/>
      <c r="H356" s="347"/>
      <c r="I356" s="347"/>
      <c r="J356" s="347"/>
      <c r="K356" s="347"/>
      <c r="L356" s="347"/>
      <c r="M356" s="347"/>
    </row>
    <row r="357" spans="2:13" x14ac:dyDescent="0.35">
      <c r="B357" s="347"/>
      <c r="C357" s="347"/>
      <c r="D357" s="347"/>
      <c r="E357" s="347"/>
      <c r="F357" s="347"/>
      <c r="G357" s="347"/>
      <c r="H357" s="347"/>
      <c r="I357" s="347"/>
      <c r="J357" s="347"/>
      <c r="K357" s="347"/>
      <c r="L357" s="347"/>
      <c r="M357" s="347"/>
    </row>
    <row r="358" spans="2:13" x14ac:dyDescent="0.35">
      <c r="B358" s="347"/>
      <c r="C358" s="347"/>
      <c r="D358" s="347"/>
      <c r="E358" s="347"/>
      <c r="F358" s="347"/>
      <c r="G358" s="347"/>
      <c r="H358" s="347"/>
      <c r="I358" s="347"/>
      <c r="J358" s="347"/>
      <c r="K358" s="347"/>
      <c r="L358" s="347"/>
      <c r="M358" s="347"/>
    </row>
    <row r="359" spans="2:13" x14ac:dyDescent="0.35">
      <c r="B359" s="347"/>
      <c r="C359" s="347"/>
      <c r="D359" s="347"/>
      <c r="E359" s="347"/>
      <c r="F359" s="347"/>
      <c r="G359" s="347"/>
      <c r="H359" s="347"/>
      <c r="I359" s="347"/>
      <c r="J359" s="347"/>
      <c r="K359" s="347"/>
      <c r="L359" s="347"/>
      <c r="M359" s="347"/>
    </row>
    <row r="360" spans="2:13" x14ac:dyDescent="0.35">
      <c r="B360" s="347"/>
      <c r="C360" s="347"/>
      <c r="D360" s="347"/>
      <c r="E360" s="347"/>
      <c r="F360" s="347"/>
      <c r="G360" s="347"/>
      <c r="H360" s="347"/>
      <c r="I360" s="347"/>
      <c r="J360" s="347"/>
      <c r="K360" s="347"/>
      <c r="L360" s="347"/>
      <c r="M360" s="347"/>
    </row>
    <row r="361" spans="2:13" x14ac:dyDescent="0.35">
      <c r="B361" s="347"/>
      <c r="C361" s="347"/>
      <c r="D361" s="347"/>
      <c r="E361" s="347"/>
      <c r="F361" s="347"/>
      <c r="G361" s="347"/>
      <c r="H361" s="347"/>
      <c r="I361" s="347"/>
      <c r="J361" s="347"/>
      <c r="K361" s="347"/>
      <c r="L361" s="347"/>
      <c r="M361" s="347"/>
    </row>
    <row r="362" spans="2:13" x14ac:dyDescent="0.35">
      <c r="B362" s="347"/>
      <c r="C362" s="347"/>
      <c r="D362" s="347"/>
      <c r="E362" s="347"/>
      <c r="F362" s="347"/>
      <c r="G362" s="347"/>
      <c r="H362" s="347"/>
      <c r="I362" s="347"/>
      <c r="J362" s="347"/>
      <c r="K362" s="347"/>
      <c r="L362" s="347"/>
      <c r="M362" s="347"/>
    </row>
    <row r="363" spans="2:13" x14ac:dyDescent="0.35">
      <c r="B363" s="347"/>
      <c r="C363" s="347"/>
      <c r="D363" s="347"/>
      <c r="E363" s="347"/>
      <c r="F363" s="347"/>
      <c r="G363" s="347"/>
      <c r="H363" s="347"/>
      <c r="I363" s="347"/>
      <c r="J363" s="347"/>
      <c r="K363" s="347"/>
      <c r="L363" s="347"/>
      <c r="M363" s="347"/>
    </row>
    <row r="364" spans="2:13" x14ac:dyDescent="0.35">
      <c r="B364" s="347"/>
      <c r="C364" s="347"/>
      <c r="D364" s="347"/>
      <c r="E364" s="347"/>
      <c r="F364" s="347"/>
      <c r="G364" s="347"/>
      <c r="H364" s="347"/>
      <c r="I364" s="347"/>
      <c r="J364" s="347"/>
      <c r="K364" s="347"/>
      <c r="L364" s="347"/>
      <c r="M364" s="347"/>
    </row>
    <row r="365" spans="2:13" x14ac:dyDescent="0.35">
      <c r="B365" s="347"/>
      <c r="C365" s="347"/>
      <c r="D365" s="347"/>
      <c r="E365" s="347"/>
      <c r="F365" s="347"/>
      <c r="G365" s="347"/>
      <c r="H365" s="347"/>
      <c r="I365" s="347"/>
      <c r="J365" s="347"/>
      <c r="K365" s="347"/>
      <c r="L365" s="347"/>
      <c r="M365" s="347"/>
    </row>
    <row r="366" spans="2:13" x14ac:dyDescent="0.35">
      <c r="B366" s="347"/>
      <c r="C366" s="347"/>
      <c r="D366" s="347"/>
      <c r="E366" s="347"/>
      <c r="F366" s="347"/>
      <c r="G366" s="347"/>
      <c r="H366" s="347"/>
      <c r="I366" s="347"/>
      <c r="J366" s="347"/>
      <c r="K366" s="347"/>
      <c r="L366" s="347"/>
      <c r="M366" s="347"/>
    </row>
    <row r="367" spans="2:13" x14ac:dyDescent="0.35">
      <c r="B367" s="347"/>
      <c r="C367" s="347"/>
      <c r="D367" s="347"/>
      <c r="E367" s="347"/>
      <c r="F367" s="347"/>
      <c r="G367" s="347"/>
      <c r="H367" s="347"/>
      <c r="I367" s="347"/>
      <c r="J367" s="347"/>
      <c r="K367" s="347"/>
      <c r="L367" s="347"/>
      <c r="M367" s="347"/>
    </row>
    <row r="368" spans="2:13" x14ac:dyDescent="0.35">
      <c r="B368" s="347"/>
      <c r="C368" s="347"/>
      <c r="D368" s="347"/>
      <c r="E368" s="347"/>
      <c r="F368" s="347"/>
      <c r="G368" s="347"/>
      <c r="H368" s="347"/>
      <c r="I368" s="347"/>
      <c r="J368" s="347"/>
      <c r="K368" s="347"/>
      <c r="L368" s="347"/>
      <c r="M368" s="347"/>
    </row>
    <row r="369" spans="2:13" x14ac:dyDescent="0.35">
      <c r="B369" s="347"/>
      <c r="C369" s="347"/>
      <c r="D369" s="347"/>
      <c r="E369" s="347"/>
      <c r="F369" s="347"/>
      <c r="G369" s="347"/>
      <c r="H369" s="347"/>
      <c r="I369" s="347"/>
      <c r="J369" s="347"/>
      <c r="K369" s="347"/>
      <c r="L369" s="347"/>
      <c r="M369" s="347"/>
    </row>
    <row r="370" spans="2:13" x14ac:dyDescent="0.35">
      <c r="B370" s="347"/>
      <c r="C370" s="347"/>
      <c r="D370" s="347"/>
      <c r="E370" s="347"/>
      <c r="F370" s="347"/>
      <c r="G370" s="347"/>
      <c r="H370" s="347"/>
      <c r="I370" s="347"/>
      <c r="J370" s="347"/>
      <c r="K370" s="347"/>
      <c r="L370" s="347"/>
      <c r="M370" s="347"/>
    </row>
    <row r="371" spans="2:13" x14ac:dyDescent="0.35">
      <c r="B371" s="347"/>
      <c r="C371" s="347"/>
      <c r="D371" s="347"/>
      <c r="E371" s="347"/>
      <c r="F371" s="347"/>
      <c r="G371" s="347"/>
      <c r="H371" s="347"/>
      <c r="I371" s="347"/>
      <c r="J371" s="347"/>
      <c r="K371" s="347"/>
      <c r="L371" s="347"/>
      <c r="M371" s="347"/>
    </row>
    <row r="372" spans="2:13" x14ac:dyDescent="0.35">
      <c r="B372" s="347"/>
      <c r="C372" s="347"/>
      <c r="D372" s="347"/>
      <c r="E372" s="347"/>
      <c r="F372" s="347"/>
      <c r="G372" s="347"/>
      <c r="H372" s="347"/>
      <c r="I372" s="347"/>
      <c r="J372" s="347"/>
      <c r="K372" s="347"/>
      <c r="L372" s="347"/>
      <c r="M372" s="347"/>
    </row>
    <row r="373" spans="2:13" x14ac:dyDescent="0.35">
      <c r="B373" s="347"/>
      <c r="C373" s="347"/>
      <c r="D373" s="347"/>
      <c r="E373" s="347"/>
      <c r="F373" s="347"/>
      <c r="G373" s="347"/>
      <c r="H373" s="347"/>
      <c r="I373" s="347"/>
      <c r="J373" s="347"/>
      <c r="K373" s="347"/>
      <c r="L373" s="347"/>
      <c r="M373" s="347"/>
    </row>
    <row r="374" spans="2:13" x14ac:dyDescent="0.35">
      <c r="B374" s="347"/>
      <c r="C374" s="347"/>
      <c r="D374" s="347"/>
      <c r="E374" s="347"/>
      <c r="F374" s="347"/>
      <c r="G374" s="347"/>
      <c r="H374" s="347"/>
      <c r="I374" s="347"/>
      <c r="J374" s="347"/>
      <c r="K374" s="347"/>
      <c r="L374" s="347"/>
      <c r="M374" s="347"/>
    </row>
    <row r="375" spans="2:13" x14ac:dyDescent="0.35">
      <c r="B375" s="347"/>
      <c r="C375" s="347"/>
      <c r="D375" s="347"/>
      <c r="E375" s="347"/>
      <c r="F375" s="347"/>
      <c r="G375" s="347"/>
      <c r="H375" s="347"/>
      <c r="I375" s="347"/>
      <c r="J375" s="347"/>
      <c r="K375" s="347"/>
      <c r="L375" s="347"/>
      <c r="M375" s="347"/>
    </row>
    <row r="376" spans="2:13" x14ac:dyDescent="0.35">
      <c r="B376" s="347"/>
      <c r="C376" s="347"/>
      <c r="D376" s="347"/>
      <c r="E376" s="347"/>
      <c r="F376" s="347"/>
      <c r="G376" s="347"/>
      <c r="H376" s="347"/>
      <c r="I376" s="347"/>
      <c r="J376" s="347"/>
      <c r="K376" s="347"/>
      <c r="L376" s="347"/>
      <c r="M376" s="347"/>
    </row>
    <row r="377" spans="2:13" x14ac:dyDescent="0.35">
      <c r="B377" s="347"/>
      <c r="C377" s="347"/>
      <c r="D377" s="347"/>
      <c r="E377" s="347"/>
      <c r="F377" s="347"/>
      <c r="G377" s="347"/>
      <c r="H377" s="347"/>
      <c r="I377" s="347"/>
      <c r="J377" s="347"/>
      <c r="K377" s="347"/>
      <c r="L377" s="347"/>
      <c r="M377" s="347"/>
    </row>
    <row r="378" spans="2:13" x14ac:dyDescent="0.35">
      <c r="B378" s="347"/>
      <c r="C378" s="347"/>
      <c r="D378" s="347"/>
      <c r="E378" s="347"/>
      <c r="F378" s="347"/>
      <c r="G378" s="347"/>
      <c r="H378" s="347"/>
      <c r="I378" s="347"/>
      <c r="J378" s="347"/>
      <c r="K378" s="347"/>
      <c r="L378" s="347"/>
      <c r="M378" s="347"/>
    </row>
    <row r="379" spans="2:13" x14ac:dyDescent="0.35">
      <c r="B379" s="347"/>
      <c r="C379" s="347"/>
      <c r="D379" s="347"/>
      <c r="E379" s="347"/>
      <c r="F379" s="347"/>
      <c r="G379" s="347"/>
      <c r="H379" s="347"/>
      <c r="I379" s="347"/>
      <c r="J379" s="347"/>
      <c r="K379" s="347"/>
      <c r="L379" s="347"/>
      <c r="M379" s="347"/>
    </row>
    <row r="380" spans="2:13" x14ac:dyDescent="0.35">
      <c r="B380" s="347"/>
      <c r="C380" s="347"/>
      <c r="D380" s="347"/>
      <c r="E380" s="347"/>
      <c r="F380" s="347"/>
      <c r="G380" s="347"/>
      <c r="H380" s="347"/>
      <c r="I380" s="347"/>
      <c r="J380" s="347"/>
      <c r="K380" s="347"/>
      <c r="L380" s="347"/>
      <c r="M380" s="347"/>
    </row>
    <row r="381" spans="2:13" x14ac:dyDescent="0.35">
      <c r="B381" s="347"/>
      <c r="C381" s="347"/>
      <c r="D381" s="347"/>
      <c r="E381" s="347"/>
      <c r="F381" s="347"/>
      <c r="G381" s="347"/>
      <c r="H381" s="347"/>
      <c r="I381" s="347"/>
      <c r="J381" s="347"/>
      <c r="K381" s="347"/>
      <c r="L381" s="347"/>
      <c r="M381" s="347"/>
    </row>
    <row r="382" spans="2:13" x14ac:dyDescent="0.35">
      <c r="B382" s="347"/>
      <c r="C382" s="347"/>
      <c r="D382" s="347"/>
      <c r="E382" s="347"/>
      <c r="F382" s="347"/>
      <c r="G382" s="347"/>
      <c r="H382" s="347"/>
      <c r="I382" s="347"/>
      <c r="J382" s="347"/>
      <c r="K382" s="347"/>
      <c r="L382" s="347"/>
      <c r="M382" s="347"/>
    </row>
    <row r="383" spans="2:13" x14ac:dyDescent="0.35">
      <c r="B383" s="347"/>
      <c r="C383" s="347"/>
      <c r="D383" s="347"/>
      <c r="E383" s="347"/>
      <c r="F383" s="347"/>
      <c r="G383" s="347"/>
      <c r="H383" s="347"/>
      <c r="I383" s="347"/>
      <c r="J383" s="347"/>
      <c r="K383" s="347"/>
      <c r="L383" s="347"/>
      <c r="M383" s="347"/>
    </row>
    <row r="384" spans="2:13" x14ac:dyDescent="0.35">
      <c r="B384" s="347"/>
      <c r="C384" s="347"/>
      <c r="D384" s="347"/>
      <c r="E384" s="347"/>
      <c r="F384" s="347"/>
      <c r="G384" s="347"/>
      <c r="H384" s="347"/>
      <c r="I384" s="347"/>
      <c r="J384" s="347"/>
      <c r="K384" s="347"/>
      <c r="L384" s="347"/>
      <c r="M384" s="347"/>
    </row>
    <row r="385" spans="2:13" x14ac:dyDescent="0.35">
      <c r="B385" s="347"/>
      <c r="C385" s="347"/>
      <c r="D385" s="347"/>
      <c r="E385" s="347"/>
      <c r="F385" s="347"/>
      <c r="G385" s="347"/>
      <c r="H385" s="347"/>
      <c r="I385" s="347"/>
      <c r="J385" s="347"/>
      <c r="K385" s="347"/>
      <c r="L385" s="347"/>
      <c r="M385" s="347"/>
    </row>
    <row r="386" spans="2:13" x14ac:dyDescent="0.35">
      <c r="B386" s="347"/>
      <c r="C386" s="347"/>
      <c r="D386" s="347"/>
      <c r="E386" s="347"/>
      <c r="F386" s="347"/>
      <c r="G386" s="347"/>
      <c r="H386" s="347"/>
      <c r="I386" s="347"/>
      <c r="J386" s="347"/>
      <c r="K386" s="347"/>
      <c r="L386" s="347"/>
      <c r="M386" s="347"/>
    </row>
    <row r="387" spans="2:13" x14ac:dyDescent="0.35">
      <c r="B387" s="347"/>
      <c r="C387" s="347"/>
      <c r="D387" s="347"/>
      <c r="E387" s="347"/>
      <c r="F387" s="347"/>
      <c r="G387" s="347"/>
      <c r="H387" s="347"/>
      <c r="I387" s="347"/>
      <c r="J387" s="347"/>
      <c r="K387" s="347"/>
      <c r="L387" s="347"/>
      <c r="M387" s="347"/>
    </row>
    <row r="388" spans="2:13" x14ac:dyDescent="0.35">
      <c r="B388" s="347"/>
      <c r="C388" s="347"/>
      <c r="D388" s="347"/>
      <c r="E388" s="347"/>
      <c r="F388" s="347"/>
      <c r="G388" s="347"/>
      <c r="H388" s="347"/>
      <c r="I388" s="347"/>
      <c r="J388" s="347"/>
      <c r="K388" s="347"/>
      <c r="L388" s="347"/>
      <c r="M388" s="347"/>
    </row>
    <row r="389" spans="2:13" x14ac:dyDescent="0.35">
      <c r="B389" s="347"/>
      <c r="C389" s="347"/>
      <c r="D389" s="347"/>
      <c r="E389" s="347"/>
      <c r="F389" s="347"/>
      <c r="G389" s="347"/>
      <c r="H389" s="347"/>
      <c r="I389" s="347"/>
      <c r="J389" s="347"/>
      <c r="K389" s="347"/>
      <c r="L389" s="347"/>
      <c r="M389" s="347"/>
    </row>
    <row r="390" spans="2:13" x14ac:dyDescent="0.35">
      <c r="B390" s="347"/>
      <c r="C390" s="347"/>
      <c r="D390" s="347"/>
      <c r="E390" s="347"/>
      <c r="F390" s="347"/>
      <c r="G390" s="347"/>
      <c r="H390" s="347"/>
      <c r="I390" s="347"/>
      <c r="J390" s="347"/>
      <c r="K390" s="347"/>
      <c r="L390" s="347"/>
      <c r="M390" s="347"/>
    </row>
    <row r="391" spans="2:13" x14ac:dyDescent="0.35">
      <c r="B391" s="347"/>
      <c r="C391" s="347"/>
      <c r="D391" s="347"/>
      <c r="E391" s="347"/>
      <c r="F391" s="347"/>
      <c r="G391" s="347"/>
      <c r="H391" s="347"/>
      <c r="I391" s="347"/>
      <c r="J391" s="347"/>
      <c r="K391" s="347"/>
      <c r="L391" s="347"/>
      <c r="M391" s="347"/>
    </row>
    <row r="392" spans="2:13" x14ac:dyDescent="0.35">
      <c r="B392" s="347"/>
      <c r="C392" s="347"/>
      <c r="D392" s="347"/>
      <c r="E392" s="347"/>
      <c r="F392" s="347"/>
      <c r="G392" s="347"/>
      <c r="H392" s="347"/>
      <c r="I392" s="347"/>
      <c r="J392" s="347"/>
      <c r="K392" s="347"/>
      <c r="L392" s="347"/>
      <c r="M392" s="347"/>
    </row>
    <row r="393" spans="2:13" x14ac:dyDescent="0.35">
      <c r="B393" s="347"/>
      <c r="C393" s="347"/>
      <c r="D393" s="347"/>
      <c r="E393" s="347"/>
      <c r="F393" s="347"/>
      <c r="G393" s="347"/>
      <c r="H393" s="347"/>
      <c r="I393" s="347"/>
      <c r="J393" s="347"/>
      <c r="K393" s="347"/>
      <c r="L393" s="347"/>
      <c r="M393" s="347"/>
    </row>
    <row r="394" spans="2:13" x14ac:dyDescent="0.35">
      <c r="B394" s="347"/>
      <c r="C394" s="347"/>
      <c r="D394" s="347"/>
      <c r="E394" s="347"/>
      <c r="F394" s="347"/>
      <c r="G394" s="347"/>
      <c r="H394" s="347"/>
      <c r="I394" s="347"/>
      <c r="J394" s="347"/>
      <c r="K394" s="347"/>
      <c r="L394" s="347"/>
      <c r="M394" s="347"/>
    </row>
    <row r="395" spans="2:13" x14ac:dyDescent="0.35">
      <c r="B395" s="347"/>
      <c r="C395" s="347"/>
      <c r="D395" s="347"/>
      <c r="E395" s="347"/>
      <c r="F395" s="347"/>
      <c r="G395" s="347"/>
      <c r="H395" s="347"/>
      <c r="I395" s="347"/>
      <c r="J395" s="347"/>
      <c r="K395" s="347"/>
      <c r="L395" s="347"/>
      <c r="M395" s="347"/>
    </row>
    <row r="396" spans="2:13" x14ac:dyDescent="0.35">
      <c r="B396" s="347"/>
      <c r="C396" s="347"/>
      <c r="D396" s="347"/>
      <c r="E396" s="347"/>
      <c r="F396" s="347"/>
      <c r="G396" s="347"/>
      <c r="H396" s="347"/>
      <c r="I396" s="347"/>
      <c r="J396" s="347"/>
      <c r="K396" s="347"/>
      <c r="L396" s="347"/>
      <c r="M396" s="347"/>
    </row>
    <row r="397" spans="2:13" x14ac:dyDescent="0.35">
      <c r="B397" s="347"/>
      <c r="C397" s="347"/>
      <c r="D397" s="347"/>
      <c r="E397" s="347"/>
      <c r="F397" s="347"/>
      <c r="G397" s="347"/>
      <c r="H397" s="347"/>
      <c r="I397" s="347"/>
      <c r="J397" s="347"/>
      <c r="K397" s="347"/>
      <c r="L397" s="347"/>
      <c r="M397" s="347"/>
    </row>
    <row r="398" spans="2:13" x14ac:dyDescent="0.35">
      <c r="B398" s="347"/>
      <c r="C398" s="347"/>
      <c r="D398" s="347"/>
      <c r="E398" s="347"/>
      <c r="F398" s="347"/>
      <c r="G398" s="347"/>
      <c r="H398" s="347"/>
      <c r="I398" s="347"/>
      <c r="J398" s="347"/>
      <c r="K398" s="347"/>
      <c r="L398" s="347"/>
      <c r="M398" s="347"/>
    </row>
    <row r="399" spans="2:13" x14ac:dyDescent="0.35">
      <c r="B399" s="347"/>
      <c r="C399" s="347"/>
      <c r="D399" s="347"/>
      <c r="E399" s="347"/>
      <c r="F399" s="347"/>
      <c r="G399" s="347"/>
      <c r="H399" s="347"/>
      <c r="I399" s="347"/>
      <c r="J399" s="347"/>
      <c r="K399" s="347"/>
      <c r="L399" s="347"/>
      <c r="M399" s="347"/>
    </row>
    <row r="400" spans="2:13" x14ac:dyDescent="0.35">
      <c r="B400" s="347"/>
      <c r="C400" s="347"/>
      <c r="D400" s="347"/>
      <c r="E400" s="347"/>
      <c r="F400" s="347"/>
      <c r="G400" s="347"/>
      <c r="H400" s="347"/>
      <c r="I400" s="347"/>
      <c r="J400" s="347"/>
      <c r="K400" s="347"/>
      <c r="L400" s="347"/>
      <c r="M400" s="347"/>
    </row>
  </sheetData>
  <mergeCells count="377">
    <mergeCell ref="B397:M397"/>
    <mergeCell ref="B398:M398"/>
    <mergeCell ref="B399:M399"/>
    <mergeCell ref="B400:M400"/>
    <mergeCell ref="B4:M4"/>
    <mergeCell ref="B7:M7"/>
    <mergeCell ref="B8:M8"/>
    <mergeCell ref="B10:M10"/>
    <mergeCell ref="B11:M11"/>
    <mergeCell ref="B391:M391"/>
    <mergeCell ref="B392:M392"/>
    <mergeCell ref="B393:M393"/>
    <mergeCell ref="B394:M394"/>
    <mergeCell ref="B395:M395"/>
    <mergeCell ref="B396:M396"/>
    <mergeCell ref="B385:M385"/>
    <mergeCell ref="B386:M386"/>
    <mergeCell ref="B387:M387"/>
    <mergeCell ref="B388:M388"/>
    <mergeCell ref="B389:M389"/>
    <mergeCell ref="B390:M390"/>
    <mergeCell ref="B379:M379"/>
    <mergeCell ref="B380:M380"/>
    <mergeCell ref="B381:M381"/>
    <mergeCell ref="B382:M382"/>
    <mergeCell ref="B383:M383"/>
    <mergeCell ref="B384:M384"/>
    <mergeCell ref="B373:M373"/>
    <mergeCell ref="B374:M374"/>
    <mergeCell ref="B375:M375"/>
    <mergeCell ref="B376:M376"/>
    <mergeCell ref="B377:M377"/>
    <mergeCell ref="B378:M378"/>
    <mergeCell ref="B367:M367"/>
    <mergeCell ref="B368:M368"/>
    <mergeCell ref="B369:M369"/>
    <mergeCell ref="B370:M370"/>
    <mergeCell ref="B371:M371"/>
    <mergeCell ref="B372:M372"/>
    <mergeCell ref="B361:M361"/>
    <mergeCell ref="B362:M362"/>
    <mergeCell ref="B363:M363"/>
    <mergeCell ref="B364:M364"/>
    <mergeCell ref="B365:M365"/>
    <mergeCell ref="B366:M366"/>
    <mergeCell ref="B355:M355"/>
    <mergeCell ref="B356:M356"/>
    <mergeCell ref="B357:M357"/>
    <mergeCell ref="B358:M358"/>
    <mergeCell ref="B359:M359"/>
    <mergeCell ref="B360:M360"/>
    <mergeCell ref="B349:M349"/>
    <mergeCell ref="B350:M350"/>
    <mergeCell ref="B351:M351"/>
    <mergeCell ref="B352:M352"/>
    <mergeCell ref="B353:M353"/>
    <mergeCell ref="B354:M354"/>
    <mergeCell ref="B343:M343"/>
    <mergeCell ref="B344:M344"/>
    <mergeCell ref="B345:M345"/>
    <mergeCell ref="B346:M346"/>
    <mergeCell ref="B347:M347"/>
    <mergeCell ref="B348:M348"/>
    <mergeCell ref="B337:M337"/>
    <mergeCell ref="B338:M338"/>
    <mergeCell ref="B339:M339"/>
    <mergeCell ref="B340:M340"/>
    <mergeCell ref="B341:M341"/>
    <mergeCell ref="B342:M342"/>
    <mergeCell ref="B331:M331"/>
    <mergeCell ref="B332:M332"/>
    <mergeCell ref="B333:M333"/>
    <mergeCell ref="B334:M334"/>
    <mergeCell ref="B335:M335"/>
    <mergeCell ref="B336:M336"/>
    <mergeCell ref="B325:M325"/>
    <mergeCell ref="B326:M326"/>
    <mergeCell ref="B327:M327"/>
    <mergeCell ref="B328:M328"/>
    <mergeCell ref="B329:M329"/>
    <mergeCell ref="B330:M330"/>
    <mergeCell ref="B319:M319"/>
    <mergeCell ref="B320:M320"/>
    <mergeCell ref="B321:M321"/>
    <mergeCell ref="B322:M322"/>
    <mergeCell ref="B323:M323"/>
    <mergeCell ref="B324:M324"/>
    <mergeCell ref="B313:M313"/>
    <mergeCell ref="B314:M314"/>
    <mergeCell ref="B315:M315"/>
    <mergeCell ref="B316:M316"/>
    <mergeCell ref="B317:M317"/>
    <mergeCell ref="B318:M318"/>
    <mergeCell ref="B307:M307"/>
    <mergeCell ref="B308:M308"/>
    <mergeCell ref="B309:M309"/>
    <mergeCell ref="B310:M310"/>
    <mergeCell ref="B311:M311"/>
    <mergeCell ref="B312:M312"/>
    <mergeCell ref="B301:M301"/>
    <mergeCell ref="B302:M302"/>
    <mergeCell ref="B303:M303"/>
    <mergeCell ref="B304:M304"/>
    <mergeCell ref="B305:M305"/>
    <mergeCell ref="B306:M306"/>
    <mergeCell ref="B295:M295"/>
    <mergeCell ref="B296:M296"/>
    <mergeCell ref="B297:M297"/>
    <mergeCell ref="B298:M298"/>
    <mergeCell ref="B299:M299"/>
    <mergeCell ref="B300:M300"/>
    <mergeCell ref="B289:M289"/>
    <mergeCell ref="B290:M290"/>
    <mergeCell ref="B291:M291"/>
    <mergeCell ref="B292:M292"/>
    <mergeCell ref="B293:M293"/>
    <mergeCell ref="B294:M294"/>
    <mergeCell ref="B283:M283"/>
    <mergeCell ref="B284:M284"/>
    <mergeCell ref="B285:M285"/>
    <mergeCell ref="B286:M286"/>
    <mergeCell ref="B287:M287"/>
    <mergeCell ref="B288:M288"/>
    <mergeCell ref="B277:M277"/>
    <mergeCell ref="B278:M278"/>
    <mergeCell ref="B279:M279"/>
    <mergeCell ref="B280:M280"/>
    <mergeCell ref="B281:M281"/>
    <mergeCell ref="B282:M282"/>
    <mergeCell ref="B271:M271"/>
    <mergeCell ref="B272:M272"/>
    <mergeCell ref="B273:M273"/>
    <mergeCell ref="B274:M274"/>
    <mergeCell ref="B275:M275"/>
    <mergeCell ref="B276:M276"/>
    <mergeCell ref="B265:M265"/>
    <mergeCell ref="B266:M266"/>
    <mergeCell ref="B267:M267"/>
    <mergeCell ref="B268:M268"/>
    <mergeCell ref="B269:M269"/>
    <mergeCell ref="B270:M270"/>
    <mergeCell ref="B259:M259"/>
    <mergeCell ref="B260:M260"/>
    <mergeCell ref="B261:M261"/>
    <mergeCell ref="B262:M262"/>
    <mergeCell ref="B263:M263"/>
    <mergeCell ref="B264:M264"/>
    <mergeCell ref="B253:M253"/>
    <mergeCell ref="B254:M254"/>
    <mergeCell ref="B255:M255"/>
    <mergeCell ref="B256:M256"/>
    <mergeCell ref="B257:M257"/>
    <mergeCell ref="B258:M258"/>
    <mergeCell ref="B247:M247"/>
    <mergeCell ref="B248:M248"/>
    <mergeCell ref="B249:M249"/>
    <mergeCell ref="B250:M250"/>
    <mergeCell ref="B251:M251"/>
    <mergeCell ref="B252:M252"/>
    <mergeCell ref="B241:M241"/>
    <mergeCell ref="B242:M242"/>
    <mergeCell ref="B243:M243"/>
    <mergeCell ref="B244:M244"/>
    <mergeCell ref="B245:M245"/>
    <mergeCell ref="B246:M246"/>
    <mergeCell ref="B235:M235"/>
    <mergeCell ref="B236:M236"/>
    <mergeCell ref="B237:M237"/>
    <mergeCell ref="B238:M238"/>
    <mergeCell ref="B239:M239"/>
    <mergeCell ref="B240:M240"/>
    <mergeCell ref="B229:M229"/>
    <mergeCell ref="B230:M230"/>
    <mergeCell ref="B231:M231"/>
    <mergeCell ref="B232:M232"/>
    <mergeCell ref="B233:M233"/>
    <mergeCell ref="B234:M234"/>
    <mergeCell ref="B223:M223"/>
    <mergeCell ref="B224:M224"/>
    <mergeCell ref="B225:M225"/>
    <mergeCell ref="B226:M226"/>
    <mergeCell ref="B227:M227"/>
    <mergeCell ref="B228:M228"/>
    <mergeCell ref="B217:M217"/>
    <mergeCell ref="B218:M218"/>
    <mergeCell ref="B219:M219"/>
    <mergeCell ref="B220:M220"/>
    <mergeCell ref="B221:M221"/>
    <mergeCell ref="B222:M222"/>
    <mergeCell ref="B211:M211"/>
    <mergeCell ref="B212:M212"/>
    <mergeCell ref="B213:M213"/>
    <mergeCell ref="B214:M214"/>
    <mergeCell ref="B215:M215"/>
    <mergeCell ref="B216:M216"/>
    <mergeCell ref="B205:M205"/>
    <mergeCell ref="B206:M206"/>
    <mergeCell ref="B207:M207"/>
    <mergeCell ref="B208:M208"/>
    <mergeCell ref="B209:M209"/>
    <mergeCell ref="B210:M210"/>
    <mergeCell ref="B199:M199"/>
    <mergeCell ref="B200:M200"/>
    <mergeCell ref="B201:M201"/>
    <mergeCell ref="B202:M202"/>
    <mergeCell ref="B203:M203"/>
    <mergeCell ref="B204:M204"/>
    <mergeCell ref="B193:M193"/>
    <mergeCell ref="B194:M194"/>
    <mergeCell ref="B195:M195"/>
    <mergeCell ref="B196:M196"/>
    <mergeCell ref="B197:M197"/>
    <mergeCell ref="B198:M198"/>
    <mergeCell ref="B187:M187"/>
    <mergeCell ref="B188:M188"/>
    <mergeCell ref="B189:M189"/>
    <mergeCell ref="B190:M190"/>
    <mergeCell ref="B191:M191"/>
    <mergeCell ref="B192:M192"/>
    <mergeCell ref="B181:M181"/>
    <mergeCell ref="B182:M182"/>
    <mergeCell ref="B183:M183"/>
    <mergeCell ref="B184:M184"/>
    <mergeCell ref="B185:M185"/>
    <mergeCell ref="B186:M186"/>
    <mergeCell ref="B175:M175"/>
    <mergeCell ref="B176:M176"/>
    <mergeCell ref="B177:M177"/>
    <mergeCell ref="B178:M178"/>
    <mergeCell ref="B179:M179"/>
    <mergeCell ref="B180:M180"/>
    <mergeCell ref="B169:M169"/>
    <mergeCell ref="B170:M170"/>
    <mergeCell ref="B171:M171"/>
    <mergeCell ref="B172:M172"/>
    <mergeCell ref="B173:M173"/>
    <mergeCell ref="B174:M174"/>
    <mergeCell ref="B163:M163"/>
    <mergeCell ref="B164:M164"/>
    <mergeCell ref="B165:M165"/>
    <mergeCell ref="B166:M166"/>
    <mergeCell ref="B167:M167"/>
    <mergeCell ref="B168:M168"/>
    <mergeCell ref="B157:M157"/>
    <mergeCell ref="B158:M158"/>
    <mergeCell ref="B159:M159"/>
    <mergeCell ref="B160:M160"/>
    <mergeCell ref="B161:M161"/>
    <mergeCell ref="B162:M162"/>
    <mergeCell ref="B151:M151"/>
    <mergeCell ref="B152:M152"/>
    <mergeCell ref="B153:M153"/>
    <mergeCell ref="B154:M154"/>
    <mergeCell ref="B155:M155"/>
    <mergeCell ref="B156:M156"/>
    <mergeCell ref="B145:M145"/>
    <mergeCell ref="B146:M146"/>
    <mergeCell ref="B147:M147"/>
    <mergeCell ref="B148:M148"/>
    <mergeCell ref="B149:M149"/>
    <mergeCell ref="B150:M150"/>
    <mergeCell ref="B139:M139"/>
    <mergeCell ref="B140:M140"/>
    <mergeCell ref="B141:M141"/>
    <mergeCell ref="B142:M142"/>
    <mergeCell ref="B143:M143"/>
    <mergeCell ref="B144:M144"/>
    <mergeCell ref="B133:M133"/>
    <mergeCell ref="B134:M134"/>
    <mergeCell ref="B135:M135"/>
    <mergeCell ref="B136:M136"/>
    <mergeCell ref="B137:M137"/>
    <mergeCell ref="B138:M138"/>
    <mergeCell ref="B127:M127"/>
    <mergeCell ref="B128:M128"/>
    <mergeCell ref="B129:M129"/>
    <mergeCell ref="B130:M130"/>
    <mergeCell ref="B131:M131"/>
    <mergeCell ref="B132:M132"/>
    <mergeCell ref="B121:M121"/>
    <mergeCell ref="B122:M122"/>
    <mergeCell ref="B123:M123"/>
    <mergeCell ref="B124:M124"/>
    <mergeCell ref="B125:M125"/>
    <mergeCell ref="B126:M126"/>
    <mergeCell ref="B115:M115"/>
    <mergeCell ref="B116:M116"/>
    <mergeCell ref="B117:M117"/>
    <mergeCell ref="B118:M118"/>
    <mergeCell ref="B119:M119"/>
    <mergeCell ref="B120:M120"/>
    <mergeCell ref="B109:M109"/>
    <mergeCell ref="B110:M110"/>
    <mergeCell ref="B111:M111"/>
    <mergeCell ref="B112:M112"/>
    <mergeCell ref="B113:M113"/>
    <mergeCell ref="B114:M114"/>
    <mergeCell ref="B103:M103"/>
    <mergeCell ref="B104:M104"/>
    <mergeCell ref="B105:M105"/>
    <mergeCell ref="B106:M106"/>
    <mergeCell ref="B107:M107"/>
    <mergeCell ref="B108:M108"/>
    <mergeCell ref="B97:M97"/>
    <mergeCell ref="B98:M98"/>
    <mergeCell ref="B99:M99"/>
    <mergeCell ref="B100:M100"/>
    <mergeCell ref="B101:M101"/>
    <mergeCell ref="B102:M102"/>
    <mergeCell ref="B91:M91"/>
    <mergeCell ref="B92:M92"/>
    <mergeCell ref="B93:M93"/>
    <mergeCell ref="B94:M94"/>
    <mergeCell ref="B95:M95"/>
    <mergeCell ref="B96:M96"/>
    <mergeCell ref="B85:M85"/>
    <mergeCell ref="B86:M86"/>
    <mergeCell ref="B87:M87"/>
    <mergeCell ref="B88:M88"/>
    <mergeCell ref="B89:M89"/>
    <mergeCell ref="B90:M90"/>
    <mergeCell ref="B77:M77"/>
    <mergeCell ref="B81:M81"/>
    <mergeCell ref="B82:M82"/>
    <mergeCell ref="B83:M83"/>
    <mergeCell ref="B84:M84"/>
    <mergeCell ref="B74:M74"/>
    <mergeCell ref="B75:M75"/>
    <mergeCell ref="B62:M62"/>
    <mergeCell ref="B64:M64"/>
    <mergeCell ref="B65:M65"/>
    <mergeCell ref="B78:M78"/>
    <mergeCell ref="B79:M79"/>
    <mergeCell ref="B69:M69"/>
    <mergeCell ref="B70:M70"/>
    <mergeCell ref="B71:M71"/>
    <mergeCell ref="B73:M73"/>
    <mergeCell ref="B72:M72"/>
    <mergeCell ref="B58:M58"/>
    <mergeCell ref="B59:M59"/>
    <mergeCell ref="B60:M60"/>
    <mergeCell ref="B61:M61"/>
    <mergeCell ref="B16:M16"/>
    <mergeCell ref="B17:M17"/>
    <mergeCell ref="B66:M66"/>
    <mergeCell ref="B67:M67"/>
    <mergeCell ref="B63:M63"/>
    <mergeCell ref="B35:M35"/>
    <mergeCell ref="B52:M52"/>
    <mergeCell ref="B53:M53"/>
    <mergeCell ref="B57:M57"/>
    <mergeCell ref="B46:M46"/>
    <mergeCell ref="B47:M47"/>
    <mergeCell ref="B48:M48"/>
    <mergeCell ref="B49:M49"/>
    <mergeCell ref="B50:M50"/>
    <mergeCell ref="B51:M51"/>
    <mergeCell ref="B41:M41"/>
    <mergeCell ref="B42:M42"/>
    <mergeCell ref="B43:M43"/>
    <mergeCell ref="B44:M44"/>
    <mergeCell ref="B45:M45"/>
    <mergeCell ref="B3:M3"/>
    <mergeCell ref="B5:M5"/>
    <mergeCell ref="B15:M15"/>
    <mergeCell ref="B40:M40"/>
    <mergeCell ref="B13:M13"/>
    <mergeCell ref="B14:M14"/>
    <mergeCell ref="B24:M24"/>
    <mergeCell ref="B29:M29"/>
    <mergeCell ref="B30:M30"/>
    <mergeCell ref="B32:M32"/>
    <mergeCell ref="B33:M33"/>
    <mergeCell ref="B37:M37"/>
    <mergeCell ref="B38:M38"/>
    <mergeCell ref="B18:M18"/>
    <mergeCell ref="B26:M26"/>
  </mergeCells>
  <dataValidations count="1">
    <dataValidation type="list" allowBlank="1" showInputMessage="1" showErrorMessage="1" sqref="O44" xr:uid="{00000000-0002-0000-0B00-000000000000}">
      <formula1>"High,Medium,Low"</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D2:I23"/>
  <sheetViews>
    <sheetView showGridLines="0" workbookViewId="0">
      <selection activeCell="E8" sqref="E8"/>
    </sheetView>
  </sheetViews>
  <sheetFormatPr defaultRowHeight="14.5" x14ac:dyDescent="0.35"/>
  <cols>
    <col min="5" max="5" width="112.54296875" customWidth="1"/>
    <col min="6" max="7" width="8.7265625" style="85" hidden="1" customWidth="1"/>
    <col min="8" max="8" width="8.7265625" hidden="1" customWidth="1"/>
    <col min="9" max="9" width="11.453125" hidden="1" customWidth="1"/>
    <col min="10" max="10" width="20.453125" customWidth="1"/>
    <col min="11" max="11" width="8.7265625" customWidth="1"/>
  </cols>
  <sheetData>
    <row r="2" spans="4:9" ht="15" thickBot="1" x14ac:dyDescent="0.4"/>
    <row r="3" spans="4:9" ht="15" thickBot="1" x14ac:dyDescent="0.4">
      <c r="D3" s="84" t="s">
        <v>385</v>
      </c>
      <c r="E3" s="84" t="s">
        <v>386</v>
      </c>
      <c r="F3" s="88"/>
      <c r="G3" s="89"/>
    </row>
    <row r="4" spans="4:9" ht="64" customHeight="1" thickBot="1" x14ac:dyDescent="0.4">
      <c r="E4" s="96" t="str" cm="1">
        <f t="array" ref="E4:G4">'Step 1'!C75:E75</f>
        <v>Modification has been applied. The SOW and the Framework Service agreement(FSA) is mere extension of term period that would not be combined with the original SOW and FSA as the same has not been entered into at or near the same time. The pricing of the services also represent the additional services that would be provided in the future and do not relate to the original SOW and FSA. A contract modification is applied when there is  a change in the scope or price (or both) of a contract.</v>
      </c>
      <c r="F4" s="86">
        <v>0</v>
      </c>
      <c r="G4" s="87">
        <v>0</v>
      </c>
    </row>
    <row r="5" spans="4:9" ht="15" thickBot="1" x14ac:dyDescent="0.4"/>
    <row r="6" spans="4:9" ht="15" thickBot="1" x14ac:dyDescent="0.4">
      <c r="D6" s="84" t="s">
        <v>387</v>
      </c>
      <c r="E6" s="84" t="s">
        <v>386</v>
      </c>
      <c r="F6" s="88"/>
      <c r="G6" s="89"/>
    </row>
    <row r="7" spans="4:9" ht="78.5" thickBot="1" x14ac:dyDescent="0.4">
      <c r="E7" s="95" t="str" cm="1">
        <f t="array" ref="E7:I7">'Step 2'!D29:H29</f>
        <v>As per above evaluation, we conclude that “F&amp;A ISB Services (FTE Based) and F&amp;A ISB Services (UTP Based) are two performance obligations by applying series guidance. 
Recurring Technology Services  cannot benefit the Customer on standalone basis.These are considered as setup activities and are needed to satisfy the main performance obligation. Technology services do not pass any incremental benefit to the customer nor customer can use it on its own. These services are performed so that ABC can carry out the main promised services to the customer and hence, it is not capable of being distinct.Hence are inputs to the overall combined output of the contract.</v>
      </c>
      <c r="F7" s="86">
        <v>0</v>
      </c>
      <c r="G7" s="87">
        <v>0</v>
      </c>
      <c r="H7">
        <v>0</v>
      </c>
      <c r="I7">
        <v>0</v>
      </c>
    </row>
    <row r="8" spans="4:9" ht="15" thickBot="1" x14ac:dyDescent="0.4"/>
    <row r="9" spans="4:9" ht="15" thickBot="1" x14ac:dyDescent="0.4">
      <c r="D9" s="84" t="s">
        <v>388</v>
      </c>
      <c r="E9" s="84" t="s">
        <v>386</v>
      </c>
      <c r="F9" s="88"/>
      <c r="G9" s="89"/>
    </row>
    <row r="10" spans="4:9" ht="203.5" customHeight="1" thickBot="1" x14ac:dyDescent="0.4">
      <c r="E10" s="153" t="str" cm="1">
        <f t="array" ref="E10:G10">'Step 3'!D65:F65</f>
        <v>Service credits/ performance credit : In this case service credits/ performance credits are measured on monthly basis. Since the measurement period is a month, estimation of service level credits/ performance credit can be foregone as the estimated amount per month and actuals will almost be the same.  This will be accounted as reduction to revenue on monthly basis in case of service level default.
Service Credit should be recorded as reduction to revenue on monthly basis based on service level default &amp; related percentages stated in the contract. Since the measurement period is quarterly for some metrics, estimation of service credits at the inception should be estimated using expected value method after applying the constraints to the amount,if any.
Earnback will be estimated using Most Likely Method as there would be only two possible outcomes. In preceding Contract Year, if yearly performance average for a Service Level &gt; Target Performance Level for such Critical Service Level, then not to pay any Performance Credits accrued during the preceding Contract Year and if  in preceding Contract Year, yearly performance average for a Service Level &lt; Target Performance Level for such Critical Service Level, then pay  Performance Credits accrued during the preceding Contract Year. Estimated Earnback can be recognized as revenue on annual basis. 
Conditional Discount is measured using estimated value method at the inception and included in thr transaction price by applying constraints. These estimates  will be visited at each reporting period. The discount is recorded as reduction to revenue over the measurement period on monthly basis.
Volume Discount: The estimated Volume discount should be accounted as reduction to revenue on monthly basis over the measurement period i.e the relevant contract year for which volume discount has been calculated.
Gain share should be estimated and recognized when negotiations/ discussions with client are at an advanced stage. Most likely method will be used for estimation as per ASC 606. However, the estimates made for variable considerations are subject to the variable consideration constraints, if any. Gain share is assessed when negotiation is at the advance stage applying most likely method after applying the constraints to the amount , if any . Hence, the significant reversal of revenue is not probable
Most Favored Pricing  is a variable consideration and it will be measured using most likely method as per ASC 606. The retrospective price protection clauses change the price paid for goods or services already transferred. As per the current understanding this clause will not trigger and the Company does not expect any reimbursement to XYZ Music under this clause. 
Productivity Gains - Most Likely Outcome Method - Productivity gain is a variable consideration under ASC 606 which needs to be estimated over the period using the most likely method. If the outcome is estimated using the most likely method, the minimum committed amount is included in the transaction price after considering any constraint to the amount, if any.
Conclusion: The Productivity benefits are in the nature of efficiency gains which will be passed on to client. This will be recorded as reduction of revenue in the form of reduction in monthly charges.</v>
      </c>
      <c r="F10" s="86">
        <v>0</v>
      </c>
      <c r="G10" s="87">
        <v>0</v>
      </c>
    </row>
    <row r="11" spans="4:9" ht="30" customHeight="1" thickBot="1" x14ac:dyDescent="0.4">
      <c r="E11" s="95" cm="1">
        <f t="array" ref="E11:G11">'Step 3'!D81:F81</f>
        <v>0</v>
      </c>
      <c r="F11" s="86">
        <v>0</v>
      </c>
      <c r="G11" s="87">
        <v>0</v>
      </c>
    </row>
    <row r="12" spans="4:9" ht="30" customHeight="1" thickBot="1" x14ac:dyDescent="0.4">
      <c r="E12" s="95" t="str" cm="1">
        <f t="array" ref="E12:G12">'Step 3'!D104:F104</f>
        <v>Consideration payble is accounted for as a reduction of the transaction price</v>
      </c>
      <c r="F12" s="86">
        <v>0</v>
      </c>
      <c r="G12" s="87">
        <v>0</v>
      </c>
    </row>
    <row r="13" spans="4:9" ht="30" customHeight="1" thickBot="1" x14ac:dyDescent="0.4">
      <c r="E13" s="95" t="str" cm="1">
        <f t="array" ref="E13:G13">'Step 3'!D117:F117</f>
        <v>No financing component</v>
      </c>
      <c r="F13" s="86">
        <v>0</v>
      </c>
      <c r="G13" s="87">
        <v>0</v>
      </c>
    </row>
    <row r="14" spans="4:9" ht="15" thickBot="1" x14ac:dyDescent="0.4"/>
    <row r="15" spans="4:9" ht="15" thickBot="1" x14ac:dyDescent="0.4">
      <c r="D15" s="84" t="s">
        <v>389</v>
      </c>
      <c r="E15" s="84" t="s">
        <v>386</v>
      </c>
      <c r="F15" s="88"/>
      <c r="G15" s="89"/>
    </row>
    <row r="16" spans="4:9" ht="55.5" customHeight="1" thickBot="1" x14ac:dyDescent="0.4">
      <c r="E16" s="96" t="str" cm="1">
        <f t="array" ref="E16:G16">'Step 4'!D23:F23</f>
        <v>Transaction price will not required to be allocated as the contractual price is considered as the standalone price for each performance obligation. The Contractual price stated for each PO is in range of margins which are provided to other customers in similar circumstances and geographies.</v>
      </c>
      <c r="F16" s="86">
        <v>0</v>
      </c>
      <c r="G16" s="87">
        <v>0</v>
      </c>
    </row>
    <row r="17" spans="4:7" ht="30" customHeight="1" thickBot="1" x14ac:dyDescent="0.4">
      <c r="E17" s="96" t="str" cm="1">
        <f t="array" ref="E17:G17">'Step 4'!D39:F39</f>
        <v>Not required to be allocated as service credits and earnback have been separately given in the contract for each PO</v>
      </c>
      <c r="F17" s="98">
        <v>0</v>
      </c>
      <c r="G17" s="98">
        <v>0</v>
      </c>
    </row>
    <row r="18" spans="4:7" ht="15" thickBot="1" x14ac:dyDescent="0.4"/>
    <row r="19" spans="4:7" ht="15" thickBot="1" x14ac:dyDescent="0.4">
      <c r="D19" s="84" t="s">
        <v>391</v>
      </c>
      <c r="E19" s="84" t="s">
        <v>386</v>
      </c>
    </row>
    <row r="20" spans="4:7" ht="15" thickBot="1" x14ac:dyDescent="0.4">
      <c r="E20" s="96" t="str">
        <f>'Step 5'!H17</f>
        <v>Performance obligation is satisfied over time</v>
      </c>
    </row>
    <row r="21" spans="4:7" ht="15" thickBot="1" x14ac:dyDescent="0.4">
      <c r="E21" s="96" t="str">
        <f>'Step 5'!H18</f>
        <v>Performance obligation is satisfied over time</v>
      </c>
    </row>
    <row r="22" spans="4:7" ht="15" thickBot="1" x14ac:dyDescent="0.4">
      <c r="E22" s="96" t="str">
        <f>'Step 5'!H19</f>
        <v/>
      </c>
    </row>
    <row r="23" spans="4:7" ht="15" thickBot="1" x14ac:dyDescent="0.4">
      <c r="E23" s="96" t="str">
        <f>'Step 5'!H20</f>
        <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J73"/>
  <sheetViews>
    <sheetView showGridLines="0" workbookViewId="0">
      <pane ySplit="1" topLeftCell="A2" activePane="bottomLeft" state="frozen"/>
      <selection pane="bottomLeft" activeCell="H12" sqref="H12"/>
    </sheetView>
  </sheetViews>
  <sheetFormatPr defaultRowHeight="14.5" outlineLevelCol="1" x14ac:dyDescent="0.35"/>
  <cols>
    <col min="1" max="2" width="15.7265625" customWidth="1"/>
    <col min="3" max="5" width="15.7265625" hidden="1" customWidth="1" outlineLevel="1"/>
    <col min="6" max="6" width="15.7265625" customWidth="1" collapsed="1"/>
    <col min="7" max="10" width="15.7265625" customWidth="1"/>
  </cols>
  <sheetData>
    <row r="1" spans="1:10" ht="15" customHeight="1" x14ac:dyDescent="0.35">
      <c r="A1" s="2" t="s">
        <v>11</v>
      </c>
      <c r="B1" s="2" t="s">
        <v>12</v>
      </c>
      <c r="C1" s="2" t="s">
        <v>122</v>
      </c>
      <c r="D1" s="2" t="s">
        <v>123</v>
      </c>
      <c r="E1" s="2" t="s">
        <v>124</v>
      </c>
      <c r="F1" s="2" t="s">
        <v>0</v>
      </c>
      <c r="G1" s="2" t="s">
        <v>13</v>
      </c>
      <c r="H1" s="2" t="s">
        <v>14</v>
      </c>
      <c r="I1" s="2" t="s">
        <v>15</v>
      </c>
      <c r="J1" s="11" t="s">
        <v>126</v>
      </c>
    </row>
    <row r="2" spans="1:10" ht="15" customHeight="1" x14ac:dyDescent="0.35">
      <c r="A2" s="1" t="s">
        <v>1</v>
      </c>
      <c r="B2" s="1" t="s">
        <v>42</v>
      </c>
      <c r="C2" s="1"/>
      <c r="D2" s="1"/>
      <c r="E2" s="1"/>
      <c r="F2" s="3">
        <v>43466</v>
      </c>
      <c r="G2" s="3">
        <v>43471</v>
      </c>
      <c r="H2" s="1" t="s">
        <v>17</v>
      </c>
      <c r="I2" s="4">
        <v>0.2</v>
      </c>
      <c r="J2" s="10" t="str">
        <f ca="1">IF(H2="Completed","G",IF(H2="In Progress",IF(TODAY()&gt;G2,"A","G"),IF(H2="Pending",IF(TODAY()&gt;F2,"R",""),"")))</f>
        <v>G</v>
      </c>
    </row>
    <row r="3" spans="1:10" ht="15" customHeight="1" x14ac:dyDescent="0.35">
      <c r="A3" s="1" t="s">
        <v>2</v>
      </c>
      <c r="B3" s="1" t="s">
        <v>42</v>
      </c>
      <c r="C3" s="1"/>
      <c r="D3" s="1"/>
      <c r="E3" s="1"/>
      <c r="F3" s="3">
        <v>43469</v>
      </c>
      <c r="G3" s="3">
        <v>43474</v>
      </c>
      <c r="H3" s="1" t="s">
        <v>17</v>
      </c>
      <c r="I3" s="4">
        <v>0.62</v>
      </c>
      <c r="J3" s="10" t="str">
        <f t="shared" ref="J3:J66" ca="1" si="0">IF(H3="Completed","G",IF(H3="In Progress",IF(TODAY()&gt;G3,"A","G"),IF(H3="Pending",IF(TODAY()&gt;F3,"R",""),"")))</f>
        <v>G</v>
      </c>
    </row>
    <row r="4" spans="1:10" ht="15" customHeight="1" x14ac:dyDescent="0.35">
      <c r="A4" s="1" t="s">
        <v>3</v>
      </c>
      <c r="B4" s="1" t="s">
        <v>55</v>
      </c>
      <c r="C4" s="1"/>
      <c r="D4" s="1"/>
      <c r="E4" s="1"/>
      <c r="F4" s="3">
        <v>43472</v>
      </c>
      <c r="G4" s="3">
        <v>43476</v>
      </c>
      <c r="H4" s="1" t="s">
        <v>17</v>
      </c>
      <c r="I4" s="4">
        <v>0</v>
      </c>
      <c r="J4" s="10" t="str">
        <f t="shared" ca="1" si="0"/>
        <v>G</v>
      </c>
    </row>
    <row r="5" spans="1:10" ht="15" customHeight="1" x14ac:dyDescent="0.35">
      <c r="A5" s="1" t="s">
        <v>4</v>
      </c>
      <c r="B5" s="1" t="s">
        <v>54</v>
      </c>
      <c r="C5" s="1"/>
      <c r="D5" s="1"/>
      <c r="E5" s="1"/>
      <c r="F5" s="3">
        <v>43475</v>
      </c>
      <c r="G5" s="3">
        <v>43477</v>
      </c>
      <c r="H5" s="1" t="s">
        <v>118</v>
      </c>
      <c r="I5" s="4">
        <v>0.42</v>
      </c>
      <c r="J5" s="10" t="str">
        <f t="shared" ca="1" si="0"/>
        <v>A</v>
      </c>
    </row>
    <row r="6" spans="1:10" ht="15" customHeight="1" x14ac:dyDescent="0.35">
      <c r="A6" s="1" t="s">
        <v>5</v>
      </c>
      <c r="B6" s="1" t="s">
        <v>54</v>
      </c>
      <c r="C6" s="1"/>
      <c r="D6" s="1"/>
      <c r="E6" s="1"/>
      <c r="F6" s="3">
        <v>43476</v>
      </c>
      <c r="G6" s="3">
        <v>43485</v>
      </c>
      <c r="H6" s="1" t="s">
        <v>17</v>
      </c>
      <c r="I6" s="4">
        <v>0.33</v>
      </c>
      <c r="J6" s="10" t="str">
        <f t="shared" ca="1" si="0"/>
        <v>G</v>
      </c>
    </row>
    <row r="7" spans="1:10" ht="15" customHeight="1" x14ac:dyDescent="0.35">
      <c r="A7" s="1" t="s">
        <v>6</v>
      </c>
      <c r="B7" s="1" t="s">
        <v>44</v>
      </c>
      <c r="C7" s="1"/>
      <c r="D7" s="1"/>
      <c r="E7" s="1"/>
      <c r="F7" s="3">
        <v>43486</v>
      </c>
      <c r="G7" s="3">
        <v>43490</v>
      </c>
      <c r="H7" s="1" t="s">
        <v>17</v>
      </c>
      <c r="I7" s="4">
        <v>0.78</v>
      </c>
      <c r="J7" s="10" t="str">
        <f t="shared" ca="1" si="0"/>
        <v>G</v>
      </c>
    </row>
    <row r="8" spans="1:10" ht="15" customHeight="1" x14ac:dyDescent="0.35">
      <c r="A8" s="1" t="s">
        <v>7</v>
      </c>
      <c r="B8" s="1" t="s">
        <v>20</v>
      </c>
      <c r="C8" s="1"/>
      <c r="D8" s="1"/>
      <c r="E8" s="1"/>
      <c r="F8" s="3">
        <v>43489</v>
      </c>
      <c r="G8" s="3">
        <v>43495</v>
      </c>
      <c r="H8" s="1" t="s">
        <v>17</v>
      </c>
      <c r="I8" s="4">
        <v>1</v>
      </c>
      <c r="J8" s="10" t="str">
        <f t="shared" ca="1" si="0"/>
        <v>G</v>
      </c>
    </row>
    <row r="9" spans="1:10" ht="15" customHeight="1" x14ac:dyDescent="0.35">
      <c r="A9" s="1" t="s">
        <v>8</v>
      </c>
      <c r="B9" s="1" t="s">
        <v>19</v>
      </c>
      <c r="C9" s="1"/>
      <c r="D9" s="1"/>
      <c r="E9" s="1"/>
      <c r="F9" s="3">
        <v>43495</v>
      </c>
      <c r="G9" s="3">
        <v>43499</v>
      </c>
      <c r="H9" s="1" t="s">
        <v>17</v>
      </c>
      <c r="I9" s="4">
        <v>0</v>
      </c>
      <c r="J9" s="10" t="str">
        <f t="shared" ca="1" si="0"/>
        <v>G</v>
      </c>
    </row>
    <row r="10" spans="1:10" ht="15" customHeight="1" x14ac:dyDescent="0.35">
      <c r="A10" s="1" t="s">
        <v>9</v>
      </c>
      <c r="B10" s="1" t="s">
        <v>45</v>
      </c>
      <c r="C10" s="1"/>
      <c r="D10" s="1"/>
      <c r="E10" s="1"/>
      <c r="F10" s="3">
        <v>43504</v>
      </c>
      <c r="G10" s="3">
        <v>43508</v>
      </c>
      <c r="H10" s="1" t="s">
        <v>17</v>
      </c>
      <c r="I10" s="4">
        <v>0</v>
      </c>
      <c r="J10" s="10" t="str">
        <f t="shared" ca="1" si="0"/>
        <v>G</v>
      </c>
    </row>
    <row r="11" spans="1:10" ht="15" customHeight="1" x14ac:dyDescent="0.35">
      <c r="A11" s="1" t="s">
        <v>10</v>
      </c>
      <c r="B11" s="1" t="s">
        <v>48</v>
      </c>
      <c r="C11" s="1"/>
      <c r="D11" s="1"/>
      <c r="E11" s="1"/>
      <c r="F11" s="3">
        <v>43506</v>
      </c>
      <c r="G11" s="3">
        <v>43513</v>
      </c>
      <c r="H11" s="1" t="s">
        <v>17</v>
      </c>
      <c r="I11" s="4">
        <v>0</v>
      </c>
      <c r="J11" s="10" t="str">
        <f t="shared" ca="1" si="0"/>
        <v>G</v>
      </c>
    </row>
    <row r="12" spans="1:10" ht="15" customHeight="1" x14ac:dyDescent="0.35">
      <c r="A12" s="1" t="s">
        <v>56</v>
      </c>
      <c r="B12" s="1" t="s">
        <v>55</v>
      </c>
      <c r="C12" s="1"/>
      <c r="D12" s="1"/>
      <c r="E12" s="1"/>
      <c r="F12" s="3">
        <v>43512</v>
      </c>
      <c r="G12" s="3">
        <v>43520</v>
      </c>
      <c r="H12" s="1" t="s">
        <v>118</v>
      </c>
      <c r="I12" s="4">
        <v>1</v>
      </c>
      <c r="J12" s="10" t="str">
        <f t="shared" ca="1" si="0"/>
        <v>A</v>
      </c>
    </row>
    <row r="13" spans="1:10" ht="15" customHeight="1" x14ac:dyDescent="0.35">
      <c r="A13" s="1" t="s">
        <v>57</v>
      </c>
      <c r="B13" s="1" t="s">
        <v>18</v>
      </c>
      <c r="C13" s="1"/>
      <c r="D13" s="1"/>
      <c r="E13" s="1"/>
      <c r="F13" s="3">
        <v>43519</v>
      </c>
      <c r="G13" s="3">
        <v>43529</v>
      </c>
      <c r="H13" s="1" t="s">
        <v>118</v>
      </c>
      <c r="I13" s="4">
        <v>0</v>
      </c>
      <c r="J13" s="10" t="str">
        <f t="shared" ca="1" si="0"/>
        <v>A</v>
      </c>
    </row>
    <row r="14" spans="1:10" ht="15" customHeight="1" x14ac:dyDescent="0.35">
      <c r="A14" s="1" t="s">
        <v>58</v>
      </c>
      <c r="B14" s="1" t="s">
        <v>50</v>
      </c>
      <c r="C14" s="1"/>
      <c r="D14" s="1"/>
      <c r="E14" s="1"/>
      <c r="F14" s="3">
        <v>43530</v>
      </c>
      <c r="G14" s="3">
        <v>43533</v>
      </c>
      <c r="H14" s="1" t="s">
        <v>118</v>
      </c>
      <c r="I14" s="4">
        <v>0</v>
      </c>
      <c r="J14" s="10" t="str">
        <f t="shared" ca="1" si="0"/>
        <v>A</v>
      </c>
    </row>
    <row r="15" spans="1:10" ht="15" customHeight="1" x14ac:dyDescent="0.35">
      <c r="A15" s="1" t="s">
        <v>59</v>
      </c>
      <c r="B15" s="1" t="s">
        <v>20</v>
      </c>
      <c r="C15" s="1"/>
      <c r="D15" s="1"/>
      <c r="E15" s="1"/>
      <c r="F15" s="3">
        <v>43531</v>
      </c>
      <c r="G15" s="3">
        <v>43536</v>
      </c>
      <c r="H15" s="1" t="s">
        <v>118</v>
      </c>
      <c r="I15" s="4">
        <v>0</v>
      </c>
      <c r="J15" s="10" t="str">
        <f t="shared" ca="1" si="0"/>
        <v>A</v>
      </c>
    </row>
    <row r="16" spans="1:10" ht="15" customHeight="1" x14ac:dyDescent="0.35">
      <c r="A16" s="1" t="s">
        <v>60</v>
      </c>
      <c r="B16" s="1" t="s">
        <v>52</v>
      </c>
      <c r="C16" s="1"/>
      <c r="D16" s="1"/>
      <c r="E16" s="1"/>
      <c r="F16" s="3">
        <v>43537</v>
      </c>
      <c r="G16" s="3">
        <v>43540</v>
      </c>
      <c r="H16" s="1" t="s">
        <v>118</v>
      </c>
      <c r="I16" s="4">
        <v>1</v>
      </c>
      <c r="J16" s="10" t="str">
        <f t="shared" ca="1" si="0"/>
        <v>A</v>
      </c>
    </row>
    <row r="17" spans="1:10" ht="15" customHeight="1" x14ac:dyDescent="0.35">
      <c r="A17" s="1" t="s">
        <v>61</v>
      </c>
      <c r="B17" s="1" t="s">
        <v>41</v>
      </c>
      <c r="C17" s="1"/>
      <c r="D17" s="1"/>
      <c r="E17" s="1"/>
      <c r="F17" s="3">
        <v>43539</v>
      </c>
      <c r="G17" s="3">
        <v>43547</v>
      </c>
      <c r="H17" s="1" t="s">
        <v>118</v>
      </c>
      <c r="I17" s="4">
        <v>1</v>
      </c>
      <c r="J17" s="10" t="str">
        <f t="shared" ca="1" si="0"/>
        <v>A</v>
      </c>
    </row>
    <row r="18" spans="1:10" ht="15" customHeight="1" x14ac:dyDescent="0.35">
      <c r="A18" s="1" t="s">
        <v>62</v>
      </c>
      <c r="B18" s="1" t="s">
        <v>41</v>
      </c>
      <c r="C18" s="1"/>
      <c r="D18" s="1"/>
      <c r="E18" s="1"/>
      <c r="F18" s="3">
        <v>43546</v>
      </c>
      <c r="G18" s="3">
        <v>43550</v>
      </c>
      <c r="H18" s="1" t="s">
        <v>118</v>
      </c>
      <c r="I18" s="4">
        <v>0.57999999999999996</v>
      </c>
      <c r="J18" s="10" t="str">
        <f t="shared" ca="1" si="0"/>
        <v>A</v>
      </c>
    </row>
    <row r="19" spans="1:10" ht="15" customHeight="1" x14ac:dyDescent="0.35">
      <c r="A19" s="1" t="s">
        <v>63</v>
      </c>
      <c r="B19" s="1" t="s">
        <v>53</v>
      </c>
      <c r="C19" s="1"/>
      <c r="D19" s="1"/>
      <c r="E19" s="1"/>
      <c r="F19" s="3">
        <v>43550</v>
      </c>
      <c r="G19" s="3">
        <v>43554</v>
      </c>
      <c r="H19" s="1" t="s">
        <v>118</v>
      </c>
      <c r="I19" s="4">
        <v>0.3</v>
      </c>
      <c r="J19" s="10" t="str">
        <f t="shared" ca="1" si="0"/>
        <v>A</v>
      </c>
    </row>
    <row r="20" spans="1:10" ht="15" customHeight="1" x14ac:dyDescent="0.35">
      <c r="A20" s="1" t="s">
        <v>64</v>
      </c>
      <c r="B20" s="1" t="s">
        <v>41</v>
      </c>
      <c r="C20" s="1"/>
      <c r="D20" s="1"/>
      <c r="E20" s="1"/>
      <c r="F20" s="3">
        <v>43554</v>
      </c>
      <c r="G20" s="3">
        <v>43562</v>
      </c>
      <c r="H20" s="1" t="s">
        <v>118</v>
      </c>
      <c r="I20" s="4">
        <v>0</v>
      </c>
      <c r="J20" s="10" t="str">
        <f t="shared" ca="1" si="0"/>
        <v>A</v>
      </c>
    </row>
    <row r="21" spans="1:10" ht="15" customHeight="1" x14ac:dyDescent="0.35">
      <c r="A21" s="1" t="s">
        <v>65</v>
      </c>
      <c r="B21" s="1" t="s">
        <v>20</v>
      </c>
      <c r="C21" s="1"/>
      <c r="D21" s="1"/>
      <c r="E21" s="1"/>
      <c r="F21" s="3">
        <v>43560</v>
      </c>
      <c r="G21" s="3">
        <v>43563</v>
      </c>
      <c r="H21" s="1" t="s">
        <v>17</v>
      </c>
      <c r="I21" s="4">
        <v>0</v>
      </c>
      <c r="J21" s="10" t="str">
        <f t="shared" ca="1" si="0"/>
        <v>G</v>
      </c>
    </row>
    <row r="22" spans="1:10" ht="15" customHeight="1" x14ac:dyDescent="0.35">
      <c r="A22" s="1" t="s">
        <v>66</v>
      </c>
      <c r="B22" s="1" t="s">
        <v>45</v>
      </c>
      <c r="C22" s="1"/>
      <c r="D22" s="1"/>
      <c r="E22" s="1"/>
      <c r="F22" s="3">
        <v>43562</v>
      </c>
      <c r="G22" s="3">
        <v>43569</v>
      </c>
      <c r="H22" s="1" t="s">
        <v>17</v>
      </c>
      <c r="I22" s="4">
        <v>1</v>
      </c>
      <c r="J22" s="10" t="str">
        <f t="shared" ca="1" si="0"/>
        <v>G</v>
      </c>
    </row>
    <row r="23" spans="1:10" ht="15" customHeight="1" x14ac:dyDescent="0.35">
      <c r="A23" s="1" t="s">
        <v>67</v>
      </c>
      <c r="B23" s="1" t="s">
        <v>46</v>
      </c>
      <c r="C23" s="1"/>
      <c r="D23" s="1"/>
      <c r="E23" s="1"/>
      <c r="F23" s="3">
        <v>43570</v>
      </c>
      <c r="G23" s="3">
        <v>43577</v>
      </c>
      <c r="H23" s="1" t="s">
        <v>16</v>
      </c>
      <c r="I23" s="4">
        <v>0</v>
      </c>
      <c r="J23" s="10" t="str">
        <f t="shared" ca="1" si="0"/>
        <v>R</v>
      </c>
    </row>
    <row r="24" spans="1:10" ht="15" customHeight="1" x14ac:dyDescent="0.35">
      <c r="A24" s="1" t="s">
        <v>68</v>
      </c>
      <c r="B24" s="1" t="s">
        <v>49</v>
      </c>
      <c r="C24" s="1"/>
      <c r="D24" s="1"/>
      <c r="E24" s="1"/>
      <c r="F24" s="3">
        <v>43576</v>
      </c>
      <c r="G24" s="3">
        <v>43579</v>
      </c>
      <c r="H24" s="1" t="s">
        <v>16</v>
      </c>
      <c r="I24" s="4">
        <v>0.69</v>
      </c>
      <c r="J24" s="10" t="str">
        <f t="shared" ca="1" si="0"/>
        <v>R</v>
      </c>
    </row>
    <row r="25" spans="1:10" ht="15" customHeight="1" x14ac:dyDescent="0.35">
      <c r="A25" s="1" t="s">
        <v>69</v>
      </c>
      <c r="B25" s="1" t="s">
        <v>43</v>
      </c>
      <c r="C25" s="1"/>
      <c r="D25" s="1"/>
      <c r="E25" s="1"/>
      <c r="F25" s="3">
        <v>43578</v>
      </c>
      <c r="G25" s="3">
        <v>43580</v>
      </c>
      <c r="H25" s="1" t="s">
        <v>16</v>
      </c>
      <c r="I25" s="4">
        <v>1</v>
      </c>
      <c r="J25" s="10" t="str">
        <f t="shared" ca="1" si="0"/>
        <v>R</v>
      </c>
    </row>
    <row r="26" spans="1:10" ht="15" customHeight="1" x14ac:dyDescent="0.35">
      <c r="A26" s="1" t="s">
        <v>70</v>
      </c>
      <c r="B26" s="1" t="s">
        <v>47</v>
      </c>
      <c r="C26" s="1"/>
      <c r="D26" s="1"/>
      <c r="E26" s="1"/>
      <c r="F26" s="3">
        <v>43579</v>
      </c>
      <c r="G26" s="3">
        <v>43586</v>
      </c>
      <c r="H26" s="1" t="s">
        <v>16</v>
      </c>
      <c r="I26" s="4">
        <v>0.28000000000000003</v>
      </c>
      <c r="J26" s="10" t="str">
        <f t="shared" ca="1" si="0"/>
        <v>R</v>
      </c>
    </row>
    <row r="27" spans="1:10" ht="15" customHeight="1" x14ac:dyDescent="0.35">
      <c r="A27" s="1" t="s">
        <v>71</v>
      </c>
      <c r="B27" s="1" t="s">
        <v>47</v>
      </c>
      <c r="C27" s="1"/>
      <c r="D27" s="1"/>
      <c r="E27" s="1"/>
      <c r="F27" s="3">
        <v>43585</v>
      </c>
      <c r="G27" s="3">
        <v>43591</v>
      </c>
      <c r="H27" s="1" t="s">
        <v>16</v>
      </c>
      <c r="I27" s="4">
        <v>0.42</v>
      </c>
      <c r="J27" s="10" t="str">
        <f t="shared" ca="1" si="0"/>
        <v>R</v>
      </c>
    </row>
    <row r="28" spans="1:10" ht="15" customHeight="1" x14ac:dyDescent="0.35">
      <c r="A28" s="1" t="s">
        <v>72</v>
      </c>
      <c r="B28" s="1" t="s">
        <v>21</v>
      </c>
      <c r="C28" s="1"/>
      <c r="D28" s="1"/>
      <c r="E28" s="1"/>
      <c r="F28" s="3">
        <v>43591</v>
      </c>
      <c r="G28" s="3">
        <v>43597</v>
      </c>
      <c r="H28" s="1" t="s">
        <v>16</v>
      </c>
      <c r="I28" s="4">
        <v>0</v>
      </c>
      <c r="J28" s="10" t="str">
        <f t="shared" ca="1" si="0"/>
        <v>R</v>
      </c>
    </row>
    <row r="29" spans="1:10" ht="15" customHeight="1" x14ac:dyDescent="0.35">
      <c r="A29" s="1" t="s">
        <v>73</v>
      </c>
      <c r="B29" s="1" t="s">
        <v>41</v>
      </c>
      <c r="C29" s="1"/>
      <c r="D29" s="1"/>
      <c r="E29" s="1"/>
      <c r="F29" s="3">
        <v>43596</v>
      </c>
      <c r="G29" s="3">
        <v>43599</v>
      </c>
      <c r="H29" s="1" t="s">
        <v>16</v>
      </c>
      <c r="I29" s="4">
        <v>0.77</v>
      </c>
      <c r="J29" s="10" t="str">
        <f t="shared" ca="1" si="0"/>
        <v>R</v>
      </c>
    </row>
    <row r="30" spans="1:10" ht="15" customHeight="1" x14ac:dyDescent="0.35">
      <c r="A30" s="1" t="s">
        <v>74</v>
      </c>
      <c r="B30" s="1" t="s">
        <v>51</v>
      </c>
      <c r="C30" s="1"/>
      <c r="D30" s="1"/>
      <c r="E30" s="1"/>
      <c r="F30" s="3">
        <v>43598</v>
      </c>
      <c r="G30" s="3">
        <v>43608</v>
      </c>
      <c r="H30" s="1" t="s">
        <v>16</v>
      </c>
      <c r="I30" s="4">
        <v>0</v>
      </c>
      <c r="J30" s="10" t="str">
        <f t="shared" ca="1" si="0"/>
        <v>R</v>
      </c>
    </row>
    <row r="31" spans="1:10" ht="15" customHeight="1" x14ac:dyDescent="0.35">
      <c r="A31" s="1" t="s">
        <v>75</v>
      </c>
      <c r="B31" s="1" t="s">
        <v>55</v>
      </c>
      <c r="C31" s="1"/>
      <c r="D31" s="1"/>
      <c r="E31" s="1"/>
      <c r="F31" s="3">
        <v>43609</v>
      </c>
      <c r="G31" s="3">
        <v>43615</v>
      </c>
      <c r="H31" s="1" t="s">
        <v>16</v>
      </c>
      <c r="I31" s="4">
        <v>1</v>
      </c>
      <c r="J31" s="10" t="str">
        <f t="shared" ca="1" si="0"/>
        <v>R</v>
      </c>
    </row>
    <row r="32" spans="1:10" ht="15" customHeight="1" x14ac:dyDescent="0.35">
      <c r="A32" s="1" t="s">
        <v>76</v>
      </c>
      <c r="B32" s="1" t="s">
        <v>55</v>
      </c>
      <c r="C32" s="1"/>
      <c r="D32" s="1"/>
      <c r="E32" s="1"/>
      <c r="F32" s="3">
        <v>43615</v>
      </c>
      <c r="G32" s="3">
        <v>43618</v>
      </c>
      <c r="H32" s="1" t="s">
        <v>16</v>
      </c>
      <c r="I32" s="4">
        <v>1</v>
      </c>
      <c r="J32" s="10" t="str">
        <f t="shared" ca="1" si="0"/>
        <v>R</v>
      </c>
    </row>
    <row r="33" spans="1:10" ht="15" customHeight="1" x14ac:dyDescent="0.35">
      <c r="A33" s="1" t="s">
        <v>77</v>
      </c>
      <c r="B33" s="1" t="s">
        <v>20</v>
      </c>
      <c r="C33" s="1"/>
      <c r="D33" s="1"/>
      <c r="E33" s="1"/>
      <c r="F33" s="3">
        <v>43618</v>
      </c>
      <c r="G33" s="3">
        <v>43628</v>
      </c>
      <c r="H33" s="1" t="s">
        <v>16</v>
      </c>
      <c r="I33" s="4">
        <v>1</v>
      </c>
      <c r="J33" s="10" t="str">
        <f t="shared" ca="1" si="0"/>
        <v>R</v>
      </c>
    </row>
    <row r="34" spans="1:10" ht="15" customHeight="1" x14ac:dyDescent="0.35">
      <c r="A34" s="1" t="s">
        <v>78</v>
      </c>
      <c r="B34" s="1" t="s">
        <v>18</v>
      </c>
      <c r="C34" s="1"/>
      <c r="D34" s="1"/>
      <c r="E34" s="1"/>
      <c r="F34" s="3">
        <v>43628</v>
      </c>
      <c r="G34" s="3">
        <v>43637</v>
      </c>
      <c r="H34" s="1" t="s">
        <v>16</v>
      </c>
      <c r="I34" s="4">
        <v>0.46</v>
      </c>
      <c r="J34" s="10" t="str">
        <f t="shared" ca="1" si="0"/>
        <v>R</v>
      </c>
    </row>
    <row r="35" spans="1:10" ht="15" customHeight="1" x14ac:dyDescent="0.35">
      <c r="A35" s="1" t="s">
        <v>79</v>
      </c>
      <c r="B35" s="1" t="s">
        <v>54</v>
      </c>
      <c r="C35" s="1"/>
      <c r="D35" s="1"/>
      <c r="E35" s="1"/>
      <c r="F35" s="3">
        <v>43636</v>
      </c>
      <c r="G35" s="3">
        <v>43639</v>
      </c>
      <c r="H35" s="1" t="s">
        <v>16</v>
      </c>
      <c r="I35" s="4">
        <v>0</v>
      </c>
      <c r="J35" s="10" t="str">
        <f t="shared" ca="1" si="0"/>
        <v>R</v>
      </c>
    </row>
    <row r="36" spans="1:10" ht="15" customHeight="1" x14ac:dyDescent="0.35">
      <c r="A36" s="1" t="s">
        <v>80</v>
      </c>
      <c r="B36" s="1" t="s">
        <v>22</v>
      </c>
      <c r="C36" s="1"/>
      <c r="D36" s="1"/>
      <c r="E36" s="1"/>
      <c r="F36" s="3">
        <v>43640</v>
      </c>
      <c r="G36" s="3">
        <v>43646</v>
      </c>
      <c r="H36" s="1" t="s">
        <v>16</v>
      </c>
      <c r="I36" s="4">
        <v>0</v>
      </c>
      <c r="J36" s="10" t="str">
        <f t="shared" ca="1" si="0"/>
        <v>R</v>
      </c>
    </row>
    <row r="37" spans="1:10" ht="15" customHeight="1" x14ac:dyDescent="0.35">
      <c r="A37" s="1" t="s">
        <v>81</v>
      </c>
      <c r="B37" s="1" t="s">
        <v>55</v>
      </c>
      <c r="C37" s="1"/>
      <c r="D37" s="1"/>
      <c r="E37" s="1"/>
      <c r="F37" s="3">
        <v>43647</v>
      </c>
      <c r="G37" s="3">
        <v>43651</v>
      </c>
      <c r="H37" s="1" t="s">
        <v>16</v>
      </c>
      <c r="I37" s="4">
        <v>0.27</v>
      </c>
      <c r="J37" s="10" t="str">
        <f t="shared" ca="1" si="0"/>
        <v>R</v>
      </c>
    </row>
    <row r="38" spans="1:10" ht="15" customHeight="1" x14ac:dyDescent="0.35">
      <c r="A38" s="1" t="s">
        <v>82</v>
      </c>
      <c r="B38" s="1" t="s">
        <v>22</v>
      </c>
      <c r="C38" s="1"/>
      <c r="D38" s="1"/>
      <c r="E38" s="1"/>
      <c r="F38" s="3">
        <v>43649</v>
      </c>
      <c r="G38" s="3">
        <v>43655</v>
      </c>
      <c r="H38" s="1" t="s">
        <v>16</v>
      </c>
      <c r="I38" s="4">
        <v>0</v>
      </c>
      <c r="J38" s="10" t="str">
        <f t="shared" ca="1" si="0"/>
        <v>R</v>
      </c>
    </row>
    <row r="39" spans="1:10" ht="15" customHeight="1" x14ac:dyDescent="0.35">
      <c r="A39" s="1" t="s">
        <v>83</v>
      </c>
      <c r="B39" s="1" t="s">
        <v>19</v>
      </c>
      <c r="C39" s="1"/>
      <c r="D39" s="1"/>
      <c r="E39" s="1"/>
      <c r="F39" s="3">
        <v>43656</v>
      </c>
      <c r="G39" s="3">
        <v>43658</v>
      </c>
      <c r="H39" s="1" t="s">
        <v>16</v>
      </c>
      <c r="I39" s="4">
        <v>0</v>
      </c>
      <c r="J39" s="10" t="str">
        <f t="shared" ca="1" si="0"/>
        <v>R</v>
      </c>
    </row>
    <row r="40" spans="1:10" ht="15" customHeight="1" x14ac:dyDescent="0.35">
      <c r="A40" s="1" t="s">
        <v>84</v>
      </c>
      <c r="B40" s="1" t="s">
        <v>53</v>
      </c>
      <c r="C40" s="1"/>
      <c r="D40" s="1"/>
      <c r="E40" s="1"/>
      <c r="F40" s="3">
        <v>43657</v>
      </c>
      <c r="G40" s="3">
        <v>43659</v>
      </c>
      <c r="H40" s="1" t="s">
        <v>16</v>
      </c>
      <c r="I40" s="4">
        <v>0.72</v>
      </c>
      <c r="J40" s="10" t="str">
        <f t="shared" ca="1" si="0"/>
        <v>R</v>
      </c>
    </row>
    <row r="41" spans="1:10" ht="15" customHeight="1" x14ac:dyDescent="0.35">
      <c r="A41" s="1" t="s">
        <v>85</v>
      </c>
      <c r="B41" s="1" t="s">
        <v>52</v>
      </c>
      <c r="C41" s="1"/>
      <c r="D41" s="1"/>
      <c r="E41" s="1"/>
      <c r="F41" s="3">
        <v>43657</v>
      </c>
      <c r="G41" s="3">
        <v>43664</v>
      </c>
      <c r="H41" s="1" t="s">
        <v>16</v>
      </c>
      <c r="I41" s="4">
        <v>0</v>
      </c>
      <c r="J41" s="10" t="str">
        <f t="shared" ca="1" si="0"/>
        <v>R</v>
      </c>
    </row>
    <row r="42" spans="1:10" ht="15" customHeight="1" x14ac:dyDescent="0.35">
      <c r="A42" s="1" t="s">
        <v>86</v>
      </c>
      <c r="B42" s="1" t="s">
        <v>48</v>
      </c>
      <c r="C42" s="1"/>
      <c r="D42" s="1"/>
      <c r="E42" s="1"/>
      <c r="F42" s="3">
        <v>43662</v>
      </c>
      <c r="G42" s="3">
        <v>43672</v>
      </c>
      <c r="H42" s="1" t="s">
        <v>16</v>
      </c>
      <c r="I42" s="4">
        <v>1</v>
      </c>
      <c r="J42" s="10" t="str">
        <f t="shared" ca="1" si="0"/>
        <v>R</v>
      </c>
    </row>
    <row r="43" spans="1:10" ht="15" customHeight="1" x14ac:dyDescent="0.35">
      <c r="A43" s="1" t="s">
        <v>87</v>
      </c>
      <c r="B43" s="1" t="s">
        <v>22</v>
      </c>
      <c r="C43" s="1"/>
      <c r="D43" s="1"/>
      <c r="E43" s="1"/>
      <c r="F43" s="3">
        <v>43673</v>
      </c>
      <c r="G43" s="3">
        <v>43681</v>
      </c>
      <c r="H43" s="1" t="s">
        <v>16</v>
      </c>
      <c r="I43" s="4">
        <v>0.72</v>
      </c>
      <c r="J43" s="10" t="str">
        <f t="shared" ca="1" si="0"/>
        <v>R</v>
      </c>
    </row>
    <row r="44" spans="1:10" ht="15" customHeight="1" x14ac:dyDescent="0.35">
      <c r="A44" s="1" t="s">
        <v>88</v>
      </c>
      <c r="B44" s="1" t="s">
        <v>55</v>
      </c>
      <c r="C44" s="1"/>
      <c r="D44" s="1"/>
      <c r="E44" s="1"/>
      <c r="F44" s="3">
        <v>43681</v>
      </c>
      <c r="G44" s="3">
        <v>43684</v>
      </c>
      <c r="H44" s="1" t="s">
        <v>16</v>
      </c>
      <c r="I44" s="4">
        <v>0.28999999999999998</v>
      </c>
      <c r="J44" s="10" t="str">
        <f t="shared" ca="1" si="0"/>
        <v>R</v>
      </c>
    </row>
    <row r="45" spans="1:10" ht="15" customHeight="1" x14ac:dyDescent="0.35">
      <c r="A45" s="1" t="s">
        <v>89</v>
      </c>
      <c r="B45" s="1" t="s">
        <v>51</v>
      </c>
      <c r="C45" s="1"/>
      <c r="D45" s="1"/>
      <c r="E45" s="1"/>
      <c r="F45" s="3">
        <v>43684</v>
      </c>
      <c r="G45" s="3">
        <v>43689</v>
      </c>
      <c r="H45" s="1" t="s">
        <v>16</v>
      </c>
      <c r="I45" s="4">
        <v>0</v>
      </c>
      <c r="J45" s="10" t="str">
        <f t="shared" ca="1" si="0"/>
        <v>R</v>
      </c>
    </row>
    <row r="46" spans="1:10" ht="15" customHeight="1" x14ac:dyDescent="0.35">
      <c r="A46" s="1" t="s">
        <v>90</v>
      </c>
      <c r="B46" s="1" t="s">
        <v>50</v>
      </c>
      <c r="C46" s="1"/>
      <c r="D46" s="1"/>
      <c r="E46" s="1"/>
      <c r="F46" s="3">
        <v>43689</v>
      </c>
      <c r="G46" s="3">
        <v>43696</v>
      </c>
      <c r="H46" s="1" t="s">
        <v>16</v>
      </c>
      <c r="I46" s="4">
        <v>0.85</v>
      </c>
      <c r="J46" s="10" t="str">
        <f t="shared" ca="1" si="0"/>
        <v>R</v>
      </c>
    </row>
    <row r="47" spans="1:10" ht="15" customHeight="1" x14ac:dyDescent="0.35">
      <c r="A47" s="1" t="s">
        <v>91</v>
      </c>
      <c r="B47" s="1" t="s">
        <v>22</v>
      </c>
      <c r="C47" s="1"/>
      <c r="D47" s="1"/>
      <c r="E47" s="1"/>
      <c r="F47" s="3">
        <v>43697</v>
      </c>
      <c r="G47" s="3">
        <v>43703</v>
      </c>
      <c r="H47" s="1" t="s">
        <v>16</v>
      </c>
      <c r="I47" s="4">
        <v>1</v>
      </c>
      <c r="J47" s="10" t="str">
        <f t="shared" ca="1" si="0"/>
        <v>R</v>
      </c>
    </row>
    <row r="48" spans="1:10" ht="15" customHeight="1" x14ac:dyDescent="0.35">
      <c r="A48" s="1" t="s">
        <v>92</v>
      </c>
      <c r="B48" s="1" t="s">
        <v>55</v>
      </c>
      <c r="C48" s="1"/>
      <c r="D48" s="1"/>
      <c r="E48" s="1"/>
      <c r="F48" s="3">
        <v>43704</v>
      </c>
      <c r="G48" s="3">
        <v>43713</v>
      </c>
      <c r="H48" s="1" t="s">
        <v>16</v>
      </c>
      <c r="I48" s="4">
        <v>1</v>
      </c>
      <c r="J48" s="10" t="str">
        <f t="shared" ca="1" si="0"/>
        <v>R</v>
      </c>
    </row>
    <row r="49" spans="1:10" ht="15" customHeight="1" x14ac:dyDescent="0.35">
      <c r="A49" s="1" t="s">
        <v>93</v>
      </c>
      <c r="B49" s="1" t="s">
        <v>47</v>
      </c>
      <c r="C49" s="1"/>
      <c r="D49" s="1"/>
      <c r="E49" s="1"/>
      <c r="F49" s="3">
        <v>43713</v>
      </c>
      <c r="G49" s="3">
        <v>43719</v>
      </c>
      <c r="H49" s="1" t="s">
        <v>16</v>
      </c>
      <c r="I49" s="4">
        <v>0</v>
      </c>
      <c r="J49" s="10" t="str">
        <f t="shared" ca="1" si="0"/>
        <v>R</v>
      </c>
    </row>
    <row r="50" spans="1:10" ht="15" customHeight="1" x14ac:dyDescent="0.35">
      <c r="A50" s="1" t="s">
        <v>94</v>
      </c>
      <c r="B50" s="1" t="s">
        <v>19</v>
      </c>
      <c r="C50" s="1"/>
      <c r="D50" s="1"/>
      <c r="E50" s="1"/>
      <c r="F50" s="3">
        <v>43720</v>
      </c>
      <c r="G50" s="3">
        <v>43724</v>
      </c>
      <c r="H50" s="1" t="s">
        <v>16</v>
      </c>
      <c r="I50" s="4">
        <v>0.65</v>
      </c>
      <c r="J50" s="10" t="str">
        <f t="shared" ca="1" si="0"/>
        <v>R</v>
      </c>
    </row>
    <row r="51" spans="1:10" ht="15" customHeight="1" x14ac:dyDescent="0.35">
      <c r="A51" s="1" t="s">
        <v>95</v>
      </c>
      <c r="B51" s="1" t="s">
        <v>44</v>
      </c>
      <c r="C51" s="1"/>
      <c r="D51" s="1"/>
      <c r="E51" s="1"/>
      <c r="F51" s="3">
        <v>43722</v>
      </c>
      <c r="G51" s="3">
        <v>43730</v>
      </c>
      <c r="H51" s="1" t="s">
        <v>16</v>
      </c>
      <c r="I51" s="4">
        <v>1</v>
      </c>
      <c r="J51" s="10" t="str">
        <f t="shared" ca="1" si="0"/>
        <v>R</v>
      </c>
    </row>
    <row r="52" spans="1:10" ht="15" customHeight="1" x14ac:dyDescent="0.35">
      <c r="A52" s="1" t="s">
        <v>96</v>
      </c>
      <c r="B52" s="1" t="s">
        <v>43</v>
      </c>
      <c r="C52" s="1"/>
      <c r="D52" s="1"/>
      <c r="E52" s="1"/>
      <c r="F52" s="3">
        <v>43728</v>
      </c>
      <c r="G52" s="3">
        <v>43737</v>
      </c>
      <c r="H52" s="1" t="s">
        <v>16</v>
      </c>
      <c r="I52" s="4">
        <v>0</v>
      </c>
      <c r="J52" s="10" t="str">
        <f t="shared" ca="1" si="0"/>
        <v>R</v>
      </c>
    </row>
    <row r="53" spans="1:10" ht="15" customHeight="1" x14ac:dyDescent="0.35">
      <c r="A53" s="1" t="s">
        <v>97</v>
      </c>
      <c r="B53" s="1" t="s">
        <v>18</v>
      </c>
      <c r="C53" s="1"/>
      <c r="D53" s="1"/>
      <c r="E53" s="1"/>
      <c r="F53" s="3">
        <v>43736</v>
      </c>
      <c r="G53" s="3">
        <v>43738</v>
      </c>
      <c r="H53" s="1" t="s">
        <v>16</v>
      </c>
      <c r="I53" s="4">
        <v>0.71</v>
      </c>
      <c r="J53" s="10" t="str">
        <f t="shared" ca="1" si="0"/>
        <v>R</v>
      </c>
    </row>
    <row r="54" spans="1:10" ht="15" customHeight="1" x14ac:dyDescent="0.35">
      <c r="A54" s="1" t="s">
        <v>98</v>
      </c>
      <c r="B54" s="1" t="s">
        <v>19</v>
      </c>
      <c r="C54" s="1"/>
      <c r="D54" s="1"/>
      <c r="E54" s="1"/>
      <c r="F54" s="3">
        <v>43737</v>
      </c>
      <c r="G54" s="3">
        <v>43742</v>
      </c>
      <c r="H54" s="1" t="s">
        <v>16</v>
      </c>
      <c r="I54" s="4">
        <v>0.44</v>
      </c>
      <c r="J54" s="10" t="str">
        <f t="shared" ca="1" si="0"/>
        <v>R</v>
      </c>
    </row>
    <row r="55" spans="1:10" ht="15" customHeight="1" x14ac:dyDescent="0.35">
      <c r="A55" s="1" t="s">
        <v>99</v>
      </c>
      <c r="B55" s="1" t="s">
        <v>50</v>
      </c>
      <c r="C55" s="1"/>
      <c r="D55" s="1"/>
      <c r="E55" s="1"/>
      <c r="F55" s="3">
        <v>43742</v>
      </c>
      <c r="G55" s="3">
        <v>43746</v>
      </c>
      <c r="H55" s="1" t="s">
        <v>16</v>
      </c>
      <c r="I55" s="4">
        <v>1</v>
      </c>
      <c r="J55" s="10" t="str">
        <f t="shared" ca="1" si="0"/>
        <v>R</v>
      </c>
    </row>
    <row r="56" spans="1:10" ht="15" customHeight="1" x14ac:dyDescent="0.35">
      <c r="A56" s="1" t="s">
        <v>100</v>
      </c>
      <c r="B56" s="1" t="s">
        <v>55</v>
      </c>
      <c r="C56" s="1"/>
      <c r="D56" s="1"/>
      <c r="E56" s="1"/>
      <c r="F56" s="3">
        <v>43746</v>
      </c>
      <c r="G56" s="3">
        <v>43752</v>
      </c>
      <c r="H56" s="1" t="s">
        <v>16</v>
      </c>
      <c r="I56" s="4">
        <v>0</v>
      </c>
      <c r="J56" s="10" t="str">
        <f t="shared" ca="1" si="0"/>
        <v>R</v>
      </c>
    </row>
    <row r="57" spans="1:10" ht="15" customHeight="1" x14ac:dyDescent="0.35">
      <c r="A57" s="1" t="s">
        <v>101</v>
      </c>
      <c r="B57" s="1" t="s">
        <v>47</v>
      </c>
      <c r="C57" s="1"/>
      <c r="D57" s="1"/>
      <c r="E57" s="1"/>
      <c r="F57" s="3">
        <v>43752</v>
      </c>
      <c r="G57" s="3">
        <v>43754</v>
      </c>
      <c r="H57" s="1" t="s">
        <v>16</v>
      </c>
      <c r="I57" s="4">
        <v>1</v>
      </c>
      <c r="J57" s="10" t="str">
        <f t="shared" ca="1" si="0"/>
        <v>R</v>
      </c>
    </row>
    <row r="58" spans="1:10" ht="15" customHeight="1" x14ac:dyDescent="0.35">
      <c r="A58" s="1" t="s">
        <v>102</v>
      </c>
      <c r="B58" s="1" t="s">
        <v>18</v>
      </c>
      <c r="C58" s="1"/>
      <c r="D58" s="1"/>
      <c r="E58" s="1"/>
      <c r="F58" s="3">
        <v>43752</v>
      </c>
      <c r="G58" s="3">
        <v>43757</v>
      </c>
      <c r="H58" s="1" t="s">
        <v>16</v>
      </c>
      <c r="I58" s="4">
        <v>0.61</v>
      </c>
      <c r="J58" s="10" t="str">
        <f t="shared" ca="1" si="0"/>
        <v>R</v>
      </c>
    </row>
    <row r="59" spans="1:10" ht="15" customHeight="1" x14ac:dyDescent="0.35">
      <c r="A59" s="1" t="s">
        <v>103</v>
      </c>
      <c r="B59" s="1" t="s">
        <v>50</v>
      </c>
      <c r="C59" s="1"/>
      <c r="D59" s="1"/>
      <c r="E59" s="1"/>
      <c r="F59" s="3">
        <v>43757</v>
      </c>
      <c r="G59" s="3">
        <v>43763</v>
      </c>
      <c r="H59" s="1" t="s">
        <v>16</v>
      </c>
      <c r="I59" s="4">
        <v>1</v>
      </c>
      <c r="J59" s="10" t="str">
        <f t="shared" ca="1" si="0"/>
        <v>R</v>
      </c>
    </row>
    <row r="60" spans="1:10" ht="15" customHeight="1" x14ac:dyDescent="0.35">
      <c r="A60" s="1" t="s">
        <v>104</v>
      </c>
      <c r="B60" s="1" t="s">
        <v>19</v>
      </c>
      <c r="C60" s="1"/>
      <c r="D60" s="1"/>
      <c r="E60" s="1"/>
      <c r="F60" s="3">
        <v>43763</v>
      </c>
      <c r="G60" s="3">
        <v>43773</v>
      </c>
      <c r="H60" s="1" t="s">
        <v>16</v>
      </c>
      <c r="I60" s="4">
        <v>0</v>
      </c>
      <c r="J60" s="10" t="str">
        <f t="shared" ca="1" si="0"/>
        <v>R</v>
      </c>
    </row>
    <row r="61" spans="1:10" ht="15" customHeight="1" x14ac:dyDescent="0.35">
      <c r="A61" s="1" t="s">
        <v>105</v>
      </c>
      <c r="B61" s="1" t="s">
        <v>48</v>
      </c>
      <c r="C61" s="1"/>
      <c r="D61" s="1"/>
      <c r="E61" s="1"/>
      <c r="F61" s="3">
        <v>43771</v>
      </c>
      <c r="G61" s="3">
        <v>43781</v>
      </c>
      <c r="H61" s="1" t="s">
        <v>16</v>
      </c>
      <c r="I61" s="4">
        <v>1</v>
      </c>
      <c r="J61" s="10" t="str">
        <f t="shared" ca="1" si="0"/>
        <v>R</v>
      </c>
    </row>
    <row r="62" spans="1:10" ht="15" customHeight="1" x14ac:dyDescent="0.35">
      <c r="A62" s="1" t="s">
        <v>106</v>
      </c>
      <c r="B62" s="1" t="s">
        <v>52</v>
      </c>
      <c r="C62" s="1"/>
      <c r="D62" s="1"/>
      <c r="E62" s="1"/>
      <c r="F62" s="3">
        <v>43779</v>
      </c>
      <c r="G62" s="3">
        <v>43782</v>
      </c>
      <c r="H62" s="1" t="s">
        <v>16</v>
      </c>
      <c r="I62" s="4">
        <v>1</v>
      </c>
      <c r="J62" s="10" t="str">
        <f t="shared" ca="1" si="0"/>
        <v>R</v>
      </c>
    </row>
    <row r="63" spans="1:10" ht="15" customHeight="1" x14ac:dyDescent="0.35">
      <c r="A63" s="1" t="s">
        <v>107</v>
      </c>
      <c r="B63" s="1" t="s">
        <v>21</v>
      </c>
      <c r="C63" s="1"/>
      <c r="D63" s="1"/>
      <c r="E63" s="1"/>
      <c r="F63" s="3">
        <v>43783</v>
      </c>
      <c r="G63" s="3">
        <v>43789</v>
      </c>
      <c r="H63" s="1" t="s">
        <v>16</v>
      </c>
      <c r="I63" s="4">
        <v>0.59</v>
      </c>
      <c r="J63" s="10" t="str">
        <f t="shared" ca="1" si="0"/>
        <v>R</v>
      </c>
    </row>
    <row r="64" spans="1:10" ht="15" customHeight="1" x14ac:dyDescent="0.35">
      <c r="A64" s="1" t="s">
        <v>108</v>
      </c>
      <c r="B64" s="1" t="s">
        <v>20</v>
      </c>
      <c r="C64" s="1"/>
      <c r="D64" s="1"/>
      <c r="E64" s="1"/>
      <c r="F64" s="3">
        <v>43789</v>
      </c>
      <c r="G64" s="3">
        <v>43791</v>
      </c>
      <c r="H64" s="1" t="s">
        <v>16</v>
      </c>
      <c r="I64" s="4">
        <v>0.74</v>
      </c>
      <c r="J64" s="10" t="str">
        <f t="shared" ca="1" si="0"/>
        <v>R</v>
      </c>
    </row>
    <row r="65" spans="1:10" ht="15" customHeight="1" x14ac:dyDescent="0.35">
      <c r="A65" s="1" t="s">
        <v>109</v>
      </c>
      <c r="B65" s="1" t="s">
        <v>45</v>
      </c>
      <c r="C65" s="1"/>
      <c r="D65" s="1"/>
      <c r="E65" s="1"/>
      <c r="F65" s="3">
        <v>43792</v>
      </c>
      <c r="G65" s="3">
        <v>43802</v>
      </c>
      <c r="H65" s="1" t="s">
        <v>16</v>
      </c>
      <c r="I65" s="4">
        <v>0</v>
      </c>
      <c r="J65" s="10" t="str">
        <f t="shared" ca="1" si="0"/>
        <v>R</v>
      </c>
    </row>
    <row r="66" spans="1:10" ht="15" customHeight="1" x14ac:dyDescent="0.35">
      <c r="A66" s="1" t="s">
        <v>110</v>
      </c>
      <c r="B66" s="1" t="s">
        <v>19</v>
      </c>
      <c r="C66" s="1"/>
      <c r="D66" s="1"/>
      <c r="E66" s="1"/>
      <c r="F66" s="3">
        <v>43801</v>
      </c>
      <c r="G66" s="3">
        <v>43808</v>
      </c>
      <c r="H66" s="1" t="s">
        <v>16</v>
      </c>
      <c r="I66" s="4">
        <v>1</v>
      </c>
      <c r="J66" s="10" t="str">
        <f t="shared" ca="1" si="0"/>
        <v>R</v>
      </c>
    </row>
    <row r="67" spans="1:10" ht="15" customHeight="1" x14ac:dyDescent="0.35">
      <c r="A67" s="1" t="s">
        <v>111</v>
      </c>
      <c r="B67" s="1" t="s">
        <v>47</v>
      </c>
      <c r="C67" s="1"/>
      <c r="D67" s="1"/>
      <c r="E67" s="1"/>
      <c r="F67" s="3">
        <v>43807</v>
      </c>
      <c r="G67" s="3">
        <v>43810</v>
      </c>
      <c r="H67" s="1" t="s">
        <v>16</v>
      </c>
      <c r="I67" s="4">
        <v>0.61</v>
      </c>
      <c r="J67" s="10" t="str">
        <f t="shared" ref="J67:J73" ca="1" si="1">IF(H67="Completed","G",IF(H67="In Progress",IF(TODAY()&gt;G67,"A","G"),IF(H67="Pending",IF(TODAY()&gt;F67,"R",""),"")))</f>
        <v>R</v>
      </c>
    </row>
    <row r="68" spans="1:10" ht="15" customHeight="1" x14ac:dyDescent="0.35">
      <c r="A68" s="1" t="s">
        <v>112</v>
      </c>
      <c r="B68" s="1" t="s">
        <v>55</v>
      </c>
      <c r="C68" s="1"/>
      <c r="D68" s="1"/>
      <c r="E68" s="1"/>
      <c r="F68" s="3">
        <v>43808</v>
      </c>
      <c r="G68" s="3">
        <v>43818</v>
      </c>
      <c r="H68" s="1" t="s">
        <v>16</v>
      </c>
      <c r="I68" s="4">
        <v>0.53</v>
      </c>
      <c r="J68" s="10" t="str">
        <f t="shared" ca="1" si="1"/>
        <v>R</v>
      </c>
    </row>
    <row r="69" spans="1:10" ht="15" customHeight="1" x14ac:dyDescent="0.35">
      <c r="A69" s="1" t="s">
        <v>113</v>
      </c>
      <c r="B69" s="1" t="s">
        <v>42</v>
      </c>
      <c r="C69" s="1"/>
      <c r="D69" s="1"/>
      <c r="E69" s="1"/>
      <c r="F69" s="3">
        <v>43818</v>
      </c>
      <c r="G69" s="3">
        <v>43823</v>
      </c>
      <c r="H69" s="1" t="s">
        <v>16</v>
      </c>
      <c r="I69" s="4">
        <v>0</v>
      </c>
      <c r="J69" s="10" t="str">
        <f t="shared" ca="1" si="1"/>
        <v>R</v>
      </c>
    </row>
    <row r="70" spans="1:10" ht="15" customHeight="1" x14ac:dyDescent="0.35">
      <c r="A70" s="1" t="s">
        <v>114</v>
      </c>
      <c r="B70" s="1" t="s">
        <v>50</v>
      </c>
      <c r="C70" s="1"/>
      <c r="D70" s="1"/>
      <c r="E70" s="1"/>
      <c r="F70" s="3">
        <v>43823</v>
      </c>
      <c r="G70" s="3">
        <v>43830</v>
      </c>
      <c r="H70" s="1" t="s">
        <v>16</v>
      </c>
      <c r="I70" s="4">
        <v>0.46</v>
      </c>
      <c r="J70" s="10" t="str">
        <f t="shared" ca="1" si="1"/>
        <v>R</v>
      </c>
    </row>
    <row r="71" spans="1:10" ht="15" customHeight="1" x14ac:dyDescent="0.35">
      <c r="A71" s="1" t="s">
        <v>115</v>
      </c>
      <c r="B71" s="1" t="s">
        <v>41</v>
      </c>
      <c r="C71" s="1"/>
      <c r="D71" s="1"/>
      <c r="E71" s="1"/>
      <c r="F71" s="3">
        <v>43829</v>
      </c>
      <c r="G71" s="3">
        <v>43834</v>
      </c>
      <c r="H71" s="1" t="s">
        <v>16</v>
      </c>
      <c r="I71" s="4">
        <v>0</v>
      </c>
      <c r="J71" s="10" t="str">
        <f t="shared" ca="1" si="1"/>
        <v>R</v>
      </c>
    </row>
    <row r="72" spans="1:10" ht="15" customHeight="1" x14ac:dyDescent="0.35">
      <c r="A72" s="1" t="s">
        <v>116</v>
      </c>
      <c r="B72" s="1" t="s">
        <v>55</v>
      </c>
      <c r="C72" s="1"/>
      <c r="D72" s="1"/>
      <c r="E72" s="1"/>
      <c r="F72" s="3">
        <v>43835</v>
      </c>
      <c r="G72" s="3">
        <v>43841</v>
      </c>
      <c r="H72" s="1" t="s">
        <v>16</v>
      </c>
      <c r="I72" s="4">
        <v>1</v>
      </c>
      <c r="J72" s="10" t="str">
        <f t="shared" ca="1" si="1"/>
        <v>R</v>
      </c>
    </row>
    <row r="73" spans="1:10" ht="15" customHeight="1" x14ac:dyDescent="0.35">
      <c r="A73" s="1" t="s">
        <v>117</v>
      </c>
      <c r="B73" s="1" t="s">
        <v>54</v>
      </c>
      <c r="C73" s="1"/>
      <c r="D73" s="1"/>
      <c r="E73" s="1"/>
      <c r="F73" s="3">
        <v>43842</v>
      </c>
      <c r="G73" s="3">
        <v>43850</v>
      </c>
      <c r="H73" s="1" t="s">
        <v>16</v>
      </c>
      <c r="I73" s="4">
        <v>0</v>
      </c>
      <c r="J73" s="10" t="str">
        <f t="shared" ca="1" si="1"/>
        <v>R</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Settings!$J$3:$J$6</xm:f>
          </x14:formula1>
          <xm:sqref>H2:H73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B2:J22"/>
  <sheetViews>
    <sheetView showGridLines="0" workbookViewId="0">
      <selection activeCell="H5" sqref="H5"/>
    </sheetView>
  </sheetViews>
  <sheetFormatPr defaultRowHeight="14.5" x14ac:dyDescent="0.35"/>
  <cols>
    <col min="1" max="1" width="6.1796875" customWidth="1"/>
    <col min="2" max="3" width="15.7265625" customWidth="1"/>
    <col min="4" max="4" width="4" customWidth="1"/>
    <col min="5" max="6" width="15.7265625" customWidth="1"/>
    <col min="7" max="7" width="3.453125" customWidth="1"/>
    <col min="8" max="8" width="14.26953125" customWidth="1"/>
    <col min="9" max="9" width="2.453125" customWidth="1"/>
    <col min="10" max="10" width="14.26953125" customWidth="1"/>
  </cols>
  <sheetData>
    <row r="2" spans="2:10" ht="15" customHeight="1" x14ac:dyDescent="0.35">
      <c r="B2" s="2" t="s">
        <v>23</v>
      </c>
      <c r="C2" s="2" t="s">
        <v>30</v>
      </c>
      <c r="E2" s="2" t="s">
        <v>30</v>
      </c>
      <c r="F2" s="2" t="s">
        <v>34</v>
      </c>
      <c r="H2" s="2" t="s">
        <v>40</v>
      </c>
      <c r="J2" s="2" t="s">
        <v>14</v>
      </c>
    </row>
    <row r="3" spans="2:10" ht="15" customHeight="1" x14ac:dyDescent="0.35">
      <c r="B3" s="1" t="s">
        <v>24</v>
      </c>
      <c r="C3" s="1" t="s">
        <v>31</v>
      </c>
      <c r="E3" s="5" t="s">
        <v>35</v>
      </c>
      <c r="F3" s="3">
        <v>43766</v>
      </c>
      <c r="H3" s="1" t="s">
        <v>18</v>
      </c>
      <c r="J3" s="1" t="s">
        <v>17</v>
      </c>
    </row>
    <row r="4" spans="2:10" ht="15" customHeight="1" x14ac:dyDescent="0.35">
      <c r="B4" s="1" t="s">
        <v>25</v>
      </c>
      <c r="C4" s="1" t="s">
        <v>32</v>
      </c>
      <c r="E4" s="1" t="s">
        <v>36</v>
      </c>
      <c r="F4" s="3">
        <v>43814</v>
      </c>
      <c r="H4" s="1" t="s">
        <v>19</v>
      </c>
      <c r="J4" s="1" t="s">
        <v>16</v>
      </c>
    </row>
    <row r="5" spans="2:10" ht="15" customHeight="1" x14ac:dyDescent="0.35">
      <c r="B5" s="1" t="s">
        <v>26</v>
      </c>
      <c r="C5" s="1" t="s">
        <v>32</v>
      </c>
      <c r="E5" s="1"/>
      <c r="F5" s="3">
        <v>43475</v>
      </c>
      <c r="H5" s="1" t="s">
        <v>20</v>
      </c>
      <c r="J5" s="1" t="s">
        <v>118</v>
      </c>
    </row>
    <row r="6" spans="2:10" ht="15" customHeight="1" x14ac:dyDescent="0.35">
      <c r="B6" s="1" t="s">
        <v>27</v>
      </c>
      <c r="C6" s="1" t="s">
        <v>32</v>
      </c>
      <c r="E6" s="1"/>
      <c r="F6" s="3">
        <v>43500</v>
      </c>
      <c r="H6" s="1" t="s">
        <v>21</v>
      </c>
      <c r="J6" s="1"/>
    </row>
    <row r="7" spans="2:10" ht="15" customHeight="1" x14ac:dyDescent="0.35">
      <c r="B7" s="1" t="s">
        <v>28</v>
      </c>
      <c r="C7" s="1" t="s">
        <v>32</v>
      </c>
      <c r="E7" s="1"/>
      <c r="F7" s="3"/>
      <c r="H7" s="1" t="s">
        <v>22</v>
      </c>
      <c r="J7" s="1"/>
    </row>
    <row r="8" spans="2:10" ht="15" customHeight="1" x14ac:dyDescent="0.35">
      <c r="B8" s="1" t="s">
        <v>29</v>
      </c>
      <c r="C8" s="1" t="s">
        <v>32</v>
      </c>
      <c r="E8" s="1"/>
      <c r="F8" s="3"/>
      <c r="H8" s="1" t="s">
        <v>41</v>
      </c>
      <c r="J8" s="1"/>
    </row>
    <row r="9" spans="2:10" ht="15" customHeight="1" x14ac:dyDescent="0.35">
      <c r="B9" s="1" t="s">
        <v>33</v>
      </c>
      <c r="C9" s="1" t="s">
        <v>31</v>
      </c>
      <c r="E9" s="1"/>
      <c r="F9" s="3"/>
      <c r="H9" s="1" t="s">
        <v>42</v>
      </c>
    </row>
    <row r="10" spans="2:10" x14ac:dyDescent="0.35">
      <c r="H10" s="1" t="s">
        <v>43</v>
      </c>
    </row>
    <row r="11" spans="2:10" x14ac:dyDescent="0.35">
      <c r="H11" s="1" t="s">
        <v>44</v>
      </c>
    </row>
    <row r="12" spans="2:10" x14ac:dyDescent="0.35">
      <c r="H12" s="1" t="s">
        <v>45</v>
      </c>
    </row>
    <row r="13" spans="2:10" x14ac:dyDescent="0.35">
      <c r="H13" s="1" t="s">
        <v>46</v>
      </c>
    </row>
    <row r="14" spans="2:10" x14ac:dyDescent="0.35">
      <c r="H14" s="1" t="s">
        <v>47</v>
      </c>
    </row>
    <row r="15" spans="2:10" x14ac:dyDescent="0.35">
      <c r="H15" s="1" t="s">
        <v>48</v>
      </c>
    </row>
    <row r="16" spans="2:10" x14ac:dyDescent="0.35">
      <c r="H16" s="1" t="s">
        <v>49</v>
      </c>
    </row>
    <row r="17" spans="8:8" x14ac:dyDescent="0.35">
      <c r="H17" s="1" t="s">
        <v>50</v>
      </c>
    </row>
    <row r="18" spans="8:8" x14ac:dyDescent="0.35">
      <c r="H18" s="1" t="s">
        <v>51</v>
      </c>
    </row>
    <row r="19" spans="8:8" x14ac:dyDescent="0.35">
      <c r="H19" s="1" t="s">
        <v>52</v>
      </c>
    </row>
    <row r="20" spans="8:8" x14ac:dyDescent="0.35">
      <c r="H20" s="1" t="s">
        <v>53</v>
      </c>
    </row>
    <row r="21" spans="8:8" x14ac:dyDescent="0.35">
      <c r="H21" s="1" t="s">
        <v>54</v>
      </c>
    </row>
    <row r="22" spans="8:8" x14ac:dyDescent="0.35">
      <c r="H22" s="1" t="s">
        <v>55</v>
      </c>
    </row>
  </sheetData>
  <dataValidations count="1">
    <dataValidation type="list" allowBlank="1" showInputMessage="1" showErrorMessage="1" sqref="C3:C9" xr:uid="{00000000-0002-0000-0E00-000000000000}">
      <formula1>"Y,N"</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32"/>
  <sheetViews>
    <sheetView workbookViewId="0">
      <selection activeCell="F6" sqref="F6"/>
    </sheetView>
  </sheetViews>
  <sheetFormatPr defaultRowHeight="14.5" x14ac:dyDescent="0.35"/>
  <cols>
    <col min="1" max="1" width="9.7265625" style="8" bestFit="1" customWidth="1"/>
    <col min="2" max="2" width="9.1796875" style="7"/>
    <col min="3" max="3" width="10.81640625" bestFit="1" customWidth="1"/>
    <col min="5" max="5" width="11" bestFit="1" customWidth="1"/>
    <col min="6" max="6" width="10.81640625" bestFit="1" customWidth="1"/>
    <col min="13" max="13" width="38.7265625" bestFit="1" customWidth="1"/>
  </cols>
  <sheetData>
    <row r="1" spans="1:16" x14ac:dyDescent="0.35">
      <c r="A1">
        <v>84</v>
      </c>
      <c r="B1" s="362" t="s">
        <v>121</v>
      </c>
      <c r="C1" s="362"/>
      <c r="D1" s="362"/>
      <c r="E1" s="362"/>
      <c r="F1" s="362"/>
      <c r="G1" s="362"/>
      <c r="M1" s="12" t="s">
        <v>125</v>
      </c>
    </row>
    <row r="2" spans="1:16" x14ac:dyDescent="0.35">
      <c r="A2" s="8" t="s">
        <v>0</v>
      </c>
      <c r="B2" s="7" t="s">
        <v>119</v>
      </c>
      <c r="C2" t="s">
        <v>14</v>
      </c>
      <c r="D2" t="s">
        <v>16</v>
      </c>
      <c r="E2" t="s">
        <v>118</v>
      </c>
      <c r="F2" t="s">
        <v>17</v>
      </c>
      <c r="G2" t="s">
        <v>120</v>
      </c>
    </row>
    <row r="3" spans="1:16" x14ac:dyDescent="0.35">
      <c r="A3" s="8">
        <f>EOMONTH(Data!$F$2,-1)+1+$A$1</f>
        <v>43550</v>
      </c>
      <c r="B3" s="7" t="str">
        <f>IFERROR(INDEX(Data!A:A,MATCH(Support!A3,Data!F:F,0)),"")</f>
        <v>Task 18</v>
      </c>
      <c r="C3" t="str">
        <f>IFERROR(INDEX(Data!H:H,MATCH(Support!A3,Data!F:F,0)),"")</f>
        <v>In Progress</v>
      </c>
      <c r="D3">
        <f t="shared" ref="D3:D32" si="0">COUNTIF($C3,D$2)*(MOD(ROW(),2)+1)</f>
        <v>0</v>
      </c>
      <c r="E3">
        <f t="shared" ref="E3:F32" si="1">COUNTIF($C3,E$2)*(MOD(ROW(),2)+1)</f>
        <v>2</v>
      </c>
      <c r="F3">
        <f t="shared" si="1"/>
        <v>0</v>
      </c>
      <c r="G3">
        <f>SUM(D3:F3)</f>
        <v>2</v>
      </c>
      <c r="M3" t="s">
        <v>120</v>
      </c>
      <c r="N3" t="e">
        <f>SUM(N4:N6)</f>
        <v>#REF!</v>
      </c>
      <c r="O3" t="e">
        <f>M3&amp;CHAR(10)&amp;N3</f>
        <v>#REF!</v>
      </c>
    </row>
    <row r="4" spans="1:16" x14ac:dyDescent="0.35">
      <c r="A4" s="8">
        <f>A3+1</f>
        <v>43551</v>
      </c>
      <c r="B4" s="7" t="str">
        <f>IFERROR(INDEX(Data!A:A,MATCH(Support!A4,Data!F:F,0)),"")</f>
        <v/>
      </c>
      <c r="C4" t="str">
        <f>IFERROR(INDEX(Data!H:H,MATCH(Support!A4,Data!F:F,0)),"")</f>
        <v/>
      </c>
      <c r="D4">
        <f t="shared" si="0"/>
        <v>0</v>
      </c>
      <c r="E4">
        <f t="shared" si="1"/>
        <v>0</v>
      </c>
      <c r="F4">
        <f t="shared" si="1"/>
        <v>0</v>
      </c>
      <c r="G4">
        <f>SUM(D4:F4)</f>
        <v>0</v>
      </c>
      <c r="M4" t="s">
        <v>37</v>
      </c>
      <c r="N4" t="e">
        <f>COUNTIF(#REF!,M4)</f>
        <v>#REF!</v>
      </c>
      <c r="O4" s="9" t="e">
        <f>N4/$N$3</f>
        <v>#REF!</v>
      </c>
    </row>
    <row r="5" spans="1:16" x14ac:dyDescent="0.35">
      <c r="A5" s="8">
        <f t="shared" ref="A5:A32" si="2">A4+1</f>
        <v>43552</v>
      </c>
      <c r="B5" s="7" t="str">
        <f>IFERROR(INDEX(Data!A:A,MATCH(Support!A5,Data!F:F,0)),"")</f>
        <v/>
      </c>
      <c r="C5" t="str">
        <f>IFERROR(INDEX(Data!H:H,MATCH(Support!A5,Data!F:F,0)),"")</f>
        <v/>
      </c>
      <c r="D5">
        <f t="shared" si="0"/>
        <v>0</v>
      </c>
      <c r="E5">
        <f t="shared" si="1"/>
        <v>0</v>
      </c>
      <c r="F5">
        <f t="shared" si="1"/>
        <v>0</v>
      </c>
      <c r="G5">
        <f t="shared" ref="G5:G21" si="3">SUM(D5:F5)</f>
        <v>0</v>
      </c>
      <c r="M5" t="s">
        <v>38</v>
      </c>
      <c r="N5" t="e">
        <f>COUNTIF(#REF!,M5)</f>
        <v>#REF!</v>
      </c>
      <c r="O5" s="9" t="e">
        <f>N5/$N$3</f>
        <v>#REF!</v>
      </c>
    </row>
    <row r="6" spans="1:16" x14ac:dyDescent="0.35">
      <c r="A6" s="8">
        <f t="shared" si="2"/>
        <v>43553</v>
      </c>
      <c r="B6" s="7" t="str">
        <f>IFERROR(INDEX(Data!A:A,MATCH(Support!A6,Data!F:F,0)),"")</f>
        <v/>
      </c>
      <c r="C6" t="str">
        <f>IFERROR(INDEX(Data!H:H,MATCH(Support!A6,Data!F:F,0)),"")</f>
        <v/>
      </c>
      <c r="D6">
        <f t="shared" si="0"/>
        <v>0</v>
      </c>
      <c r="E6">
        <f t="shared" si="1"/>
        <v>0</v>
      </c>
      <c r="F6">
        <f t="shared" si="1"/>
        <v>0</v>
      </c>
      <c r="G6">
        <f t="shared" si="3"/>
        <v>0</v>
      </c>
      <c r="M6" t="s">
        <v>39</v>
      </c>
      <c r="N6" t="e">
        <f>COUNTIF(#REF!,M6)</f>
        <v>#REF!</v>
      </c>
      <c r="O6" s="9" t="e">
        <f>N6/$N$3</f>
        <v>#REF!</v>
      </c>
    </row>
    <row r="7" spans="1:16" x14ac:dyDescent="0.35">
      <c r="A7" s="8">
        <f t="shared" si="2"/>
        <v>43554</v>
      </c>
      <c r="B7" s="7" t="str">
        <f>IFERROR(INDEX(Data!A:A,MATCH(Support!A7,Data!F:F,0)),"")</f>
        <v>Task 19</v>
      </c>
      <c r="C7" t="str">
        <f>IFERROR(INDEX(Data!H:H,MATCH(Support!A7,Data!F:F,0)),"")</f>
        <v>In Progress</v>
      </c>
      <c r="D7">
        <f t="shared" si="0"/>
        <v>0</v>
      </c>
      <c r="E7">
        <f t="shared" si="1"/>
        <v>2</v>
      </c>
      <c r="F7">
        <f t="shared" si="1"/>
        <v>0</v>
      </c>
      <c r="G7">
        <f t="shared" si="3"/>
        <v>2</v>
      </c>
    </row>
    <row r="8" spans="1:16" x14ac:dyDescent="0.35">
      <c r="A8" s="8">
        <f t="shared" si="2"/>
        <v>43555</v>
      </c>
      <c r="B8" s="7" t="str">
        <f>IFERROR(INDEX(Data!A:A,MATCH(Support!A8,Data!F:F,0)),"")</f>
        <v/>
      </c>
      <c r="C8" t="str">
        <f>IFERROR(INDEX(Data!H:H,MATCH(Support!A8,Data!F:F,0)),"")</f>
        <v/>
      </c>
      <c r="D8">
        <f t="shared" si="0"/>
        <v>0</v>
      </c>
      <c r="E8">
        <f t="shared" si="1"/>
        <v>0</v>
      </c>
      <c r="F8">
        <f t="shared" si="1"/>
        <v>0</v>
      </c>
      <c r="G8">
        <f t="shared" si="3"/>
        <v>0</v>
      </c>
    </row>
    <row r="9" spans="1:16" x14ac:dyDescent="0.35">
      <c r="A9" s="8">
        <f t="shared" si="2"/>
        <v>43556</v>
      </c>
      <c r="B9" s="7" t="str">
        <f>IFERROR(INDEX(Data!A:A,MATCH(Support!A9,Data!F:F,0)),"")</f>
        <v/>
      </c>
      <c r="C9" t="str">
        <f>IFERROR(INDEX(Data!H:H,MATCH(Support!A9,Data!F:F,0)),"")</f>
        <v/>
      </c>
      <c r="D9">
        <f t="shared" si="0"/>
        <v>0</v>
      </c>
      <c r="E9">
        <f t="shared" si="1"/>
        <v>0</v>
      </c>
      <c r="F9">
        <f t="shared" si="1"/>
        <v>0</v>
      </c>
      <c r="G9">
        <f t="shared" si="3"/>
        <v>0</v>
      </c>
    </row>
    <row r="10" spans="1:16" x14ac:dyDescent="0.35">
      <c r="A10" s="8">
        <f t="shared" si="2"/>
        <v>43557</v>
      </c>
      <c r="B10" s="7" t="str">
        <f>IFERROR(INDEX(Data!A:A,MATCH(Support!A10,Data!F:F,0)),"")</f>
        <v/>
      </c>
      <c r="C10" t="str">
        <f>IFERROR(INDEX(Data!H:H,MATCH(Support!A10,Data!F:F,0)),"")</f>
        <v/>
      </c>
      <c r="D10">
        <f t="shared" si="0"/>
        <v>0</v>
      </c>
      <c r="E10">
        <f t="shared" si="1"/>
        <v>0</v>
      </c>
      <c r="F10">
        <f t="shared" si="1"/>
        <v>0</v>
      </c>
      <c r="G10">
        <f t="shared" si="3"/>
        <v>0</v>
      </c>
      <c r="M10" s="12" t="s">
        <v>119</v>
      </c>
    </row>
    <row r="11" spans="1:16" x14ac:dyDescent="0.35">
      <c r="A11" s="8">
        <f t="shared" si="2"/>
        <v>43558</v>
      </c>
      <c r="B11" s="7" t="str">
        <f>IFERROR(INDEX(Data!A:A,MATCH(Support!A11,Data!F:F,0)),"")</f>
        <v/>
      </c>
      <c r="C11" t="str">
        <f>IFERROR(INDEX(Data!H:H,MATCH(Support!A11,Data!F:F,0)),"")</f>
        <v/>
      </c>
      <c r="D11">
        <f t="shared" si="0"/>
        <v>0</v>
      </c>
      <c r="E11">
        <f t="shared" si="1"/>
        <v>0</v>
      </c>
      <c r="F11">
        <f t="shared" si="1"/>
        <v>0</v>
      </c>
      <c r="G11">
        <f t="shared" si="3"/>
        <v>0</v>
      </c>
      <c r="M11" t="s">
        <v>120</v>
      </c>
      <c r="N11">
        <f>SUM(N12:N14)</f>
        <v>72</v>
      </c>
      <c r="O11" t="str">
        <f>M11&amp;CHAR(10)&amp;N11</f>
        <v>Total
72</v>
      </c>
    </row>
    <row r="12" spans="1:16" x14ac:dyDescent="0.35">
      <c r="A12" s="8">
        <f t="shared" si="2"/>
        <v>43559</v>
      </c>
      <c r="B12" s="7" t="str">
        <f>IFERROR(INDEX(Data!A:A,MATCH(Support!A12,Data!F:F,0)),"")</f>
        <v/>
      </c>
      <c r="C12" t="str">
        <f>IFERROR(INDEX(Data!H:H,MATCH(Support!A12,Data!F:F,0)),"")</f>
        <v/>
      </c>
      <c r="D12">
        <f t="shared" si="0"/>
        <v>0</v>
      </c>
      <c r="E12">
        <f t="shared" si="1"/>
        <v>0</v>
      </c>
      <c r="F12">
        <f t="shared" si="1"/>
        <v>0</v>
      </c>
      <c r="G12">
        <f t="shared" si="3"/>
        <v>0</v>
      </c>
      <c r="M12" t="s">
        <v>16</v>
      </c>
      <c r="N12">
        <f>COUNTIF(Data!$H:$H,M12)</f>
        <v>51</v>
      </c>
      <c r="O12" s="9">
        <f>N12/$N$11</f>
        <v>0.70833333333333337</v>
      </c>
      <c r="P12" s="9">
        <f>1-O12</f>
        <v>0.29166666666666663</v>
      </c>
    </row>
    <row r="13" spans="1:16" x14ac:dyDescent="0.35">
      <c r="A13" s="8">
        <f t="shared" si="2"/>
        <v>43560</v>
      </c>
      <c r="B13" s="7" t="str">
        <f>IFERROR(INDEX(Data!A:A,MATCH(Support!A13,Data!F:F,0)),"")</f>
        <v>Task 20</v>
      </c>
      <c r="C13" t="str">
        <f>IFERROR(INDEX(Data!H:H,MATCH(Support!A13,Data!F:F,0)),"")</f>
        <v>Completed</v>
      </c>
      <c r="D13">
        <f t="shared" si="0"/>
        <v>0</v>
      </c>
      <c r="E13">
        <f t="shared" si="1"/>
        <v>0</v>
      </c>
      <c r="F13">
        <f t="shared" si="1"/>
        <v>2</v>
      </c>
      <c r="G13">
        <f t="shared" si="3"/>
        <v>2</v>
      </c>
      <c r="M13" t="s">
        <v>118</v>
      </c>
      <c r="N13">
        <f>COUNTIF(Data!$H:$H,M13)</f>
        <v>10</v>
      </c>
      <c r="O13" s="9">
        <f>N13/$N$11</f>
        <v>0.1388888888888889</v>
      </c>
      <c r="P13" s="9">
        <f>1-O13</f>
        <v>0.86111111111111116</v>
      </c>
    </row>
    <row r="14" spans="1:16" x14ac:dyDescent="0.35">
      <c r="A14" s="8">
        <f t="shared" si="2"/>
        <v>43561</v>
      </c>
      <c r="B14" s="7" t="str">
        <f>IFERROR(INDEX(Data!A:A,MATCH(Support!A14,Data!F:F,0)),"")</f>
        <v/>
      </c>
      <c r="C14" t="str">
        <f>IFERROR(INDEX(Data!H:H,MATCH(Support!A14,Data!F:F,0)),"")</f>
        <v/>
      </c>
      <c r="D14">
        <f t="shared" si="0"/>
        <v>0</v>
      </c>
      <c r="E14">
        <f t="shared" si="1"/>
        <v>0</v>
      </c>
      <c r="F14">
        <f t="shared" si="1"/>
        <v>0</v>
      </c>
      <c r="G14">
        <f t="shared" si="3"/>
        <v>0</v>
      </c>
      <c r="M14" t="s">
        <v>17</v>
      </c>
      <c r="N14">
        <f>COUNTIF(Data!$H:$H,M14)</f>
        <v>11</v>
      </c>
      <c r="O14" s="9">
        <f>N14/$N$11</f>
        <v>0.15277777777777779</v>
      </c>
      <c r="P14" s="9">
        <f>1-O14</f>
        <v>0.84722222222222221</v>
      </c>
    </row>
    <row r="15" spans="1:16" x14ac:dyDescent="0.35">
      <c r="A15" s="8">
        <f t="shared" si="2"/>
        <v>43562</v>
      </c>
      <c r="B15" s="7" t="str">
        <f>IFERROR(INDEX(Data!A:A,MATCH(Support!A15,Data!F:F,0)),"")</f>
        <v>Task 21</v>
      </c>
      <c r="C15" t="str">
        <f>IFERROR(INDEX(Data!H:H,MATCH(Support!A15,Data!F:F,0)),"")</f>
        <v>Completed</v>
      </c>
      <c r="D15">
        <f t="shared" si="0"/>
        <v>0</v>
      </c>
      <c r="E15">
        <f t="shared" si="1"/>
        <v>0</v>
      </c>
      <c r="F15">
        <f t="shared" si="1"/>
        <v>2</v>
      </c>
      <c r="G15">
        <f t="shared" si="3"/>
        <v>2</v>
      </c>
    </row>
    <row r="16" spans="1:16" x14ac:dyDescent="0.35">
      <c r="A16" s="8">
        <f t="shared" si="2"/>
        <v>43563</v>
      </c>
      <c r="B16" s="7" t="str">
        <f>IFERROR(INDEX(Data!A:A,MATCH(Support!A16,Data!F:F,0)),"")</f>
        <v/>
      </c>
      <c r="C16" t="str">
        <f>IFERROR(INDEX(Data!H:H,MATCH(Support!A16,Data!F:F,0)),"")</f>
        <v/>
      </c>
      <c r="D16">
        <f t="shared" si="0"/>
        <v>0</v>
      </c>
      <c r="E16">
        <f t="shared" si="1"/>
        <v>0</v>
      </c>
      <c r="F16">
        <f t="shared" si="1"/>
        <v>0</v>
      </c>
      <c r="G16">
        <f t="shared" si="3"/>
        <v>0</v>
      </c>
    </row>
    <row r="17" spans="1:15" x14ac:dyDescent="0.35">
      <c r="A17" s="8">
        <f t="shared" si="2"/>
        <v>43564</v>
      </c>
      <c r="B17" s="7" t="str">
        <f>IFERROR(INDEX(Data!A:A,MATCH(Support!A17,Data!F:F,0)),"")</f>
        <v/>
      </c>
      <c r="C17" t="str">
        <f>IFERROR(INDEX(Data!H:H,MATCH(Support!A17,Data!F:F,0)),"")</f>
        <v/>
      </c>
      <c r="D17">
        <f t="shared" si="0"/>
        <v>0</v>
      </c>
      <c r="E17">
        <f t="shared" si="1"/>
        <v>0</v>
      </c>
      <c r="F17">
        <f t="shared" si="1"/>
        <v>0</v>
      </c>
      <c r="G17">
        <f t="shared" si="3"/>
        <v>0</v>
      </c>
      <c r="M17" t="s">
        <v>127</v>
      </c>
      <c r="N17" s="7" t="str">
        <f ca="1">IF(COUNTIF(Data!J:J,"R")&gt;0,"R",IF(COUNTIF(Data!J:J,"A")&gt;0,"A","G"))</f>
        <v>R</v>
      </c>
    </row>
    <row r="18" spans="1:15" x14ac:dyDescent="0.35">
      <c r="A18" s="8">
        <f t="shared" si="2"/>
        <v>43565</v>
      </c>
      <c r="B18" s="7" t="str">
        <f>IFERROR(INDEX(Data!A:A,MATCH(Support!A18,Data!F:F,0)),"")</f>
        <v/>
      </c>
      <c r="C18" t="str">
        <f>IFERROR(INDEX(Data!H:H,MATCH(Support!A18,Data!F:F,0)),"")</f>
        <v/>
      </c>
      <c r="D18">
        <f t="shared" si="0"/>
        <v>0</v>
      </c>
      <c r="E18">
        <f t="shared" si="1"/>
        <v>0</v>
      </c>
      <c r="F18">
        <f t="shared" si="1"/>
        <v>0</v>
      </c>
      <c r="G18">
        <f t="shared" si="3"/>
        <v>0</v>
      </c>
      <c r="M18" t="s">
        <v>129</v>
      </c>
      <c r="N18" s="7">
        <f ca="1">COUNTIF(Data!J:J,"R")</f>
        <v>51</v>
      </c>
      <c r="O18" s="9">
        <f ca="1">N18/$N$11</f>
        <v>0.70833333333333337</v>
      </c>
    </row>
    <row r="19" spans="1:15" x14ac:dyDescent="0.35">
      <c r="A19" s="8">
        <f t="shared" si="2"/>
        <v>43566</v>
      </c>
      <c r="B19" s="7" t="str">
        <f>IFERROR(INDEX(Data!A:A,MATCH(Support!A19,Data!F:F,0)),"")</f>
        <v/>
      </c>
      <c r="C19" t="str">
        <f>IFERROR(INDEX(Data!H:H,MATCH(Support!A19,Data!F:F,0)),"")</f>
        <v/>
      </c>
      <c r="D19">
        <f t="shared" si="0"/>
        <v>0</v>
      </c>
      <c r="E19">
        <f t="shared" si="1"/>
        <v>0</v>
      </c>
      <c r="F19">
        <f t="shared" si="1"/>
        <v>0</v>
      </c>
      <c r="G19">
        <f t="shared" si="3"/>
        <v>0</v>
      </c>
      <c r="M19" t="s">
        <v>128</v>
      </c>
      <c r="N19" s="7">
        <f ca="1">COUNTIF(Data!J:J,"A")</f>
        <v>10</v>
      </c>
      <c r="O19" s="9">
        <f ca="1">N19/$N$11</f>
        <v>0.1388888888888889</v>
      </c>
    </row>
    <row r="20" spans="1:15" x14ac:dyDescent="0.35">
      <c r="A20" s="8">
        <f t="shared" si="2"/>
        <v>43567</v>
      </c>
      <c r="B20" s="7" t="str">
        <f>IFERROR(INDEX(Data!A:A,MATCH(Support!A20,Data!F:F,0)),"")</f>
        <v/>
      </c>
      <c r="C20" t="str">
        <f>IFERROR(INDEX(Data!H:H,MATCH(Support!A20,Data!F:F,0)),"")</f>
        <v/>
      </c>
      <c r="D20">
        <f t="shared" si="0"/>
        <v>0</v>
      </c>
      <c r="E20">
        <f t="shared" si="1"/>
        <v>0</v>
      </c>
      <c r="F20">
        <f t="shared" si="1"/>
        <v>0</v>
      </c>
      <c r="G20">
        <f t="shared" si="3"/>
        <v>0</v>
      </c>
    </row>
    <row r="21" spans="1:15" x14ac:dyDescent="0.35">
      <c r="A21" s="8">
        <f t="shared" si="2"/>
        <v>43568</v>
      </c>
      <c r="B21" s="7" t="str">
        <f>IFERROR(INDEX(Data!A:A,MATCH(Support!A21,Data!F:F,0)),"")</f>
        <v/>
      </c>
      <c r="C21" t="str">
        <f>IFERROR(INDEX(Data!H:H,MATCH(Support!A21,Data!F:F,0)),"")</f>
        <v/>
      </c>
      <c r="D21">
        <f t="shared" si="0"/>
        <v>0</v>
      </c>
      <c r="E21">
        <f t="shared" si="1"/>
        <v>0</v>
      </c>
      <c r="F21">
        <f t="shared" si="1"/>
        <v>0</v>
      </c>
      <c r="G21">
        <f t="shared" si="3"/>
        <v>0</v>
      </c>
    </row>
    <row r="22" spans="1:15" x14ac:dyDescent="0.35">
      <c r="A22" s="8">
        <f t="shared" si="2"/>
        <v>43569</v>
      </c>
      <c r="B22" s="7" t="str">
        <f>IFERROR(INDEX(Data!A:A,MATCH(Support!A22,Data!F:F,0)),"")</f>
        <v/>
      </c>
      <c r="C22" t="str">
        <f>IFERROR(INDEX(Data!H:H,MATCH(Support!A22,Data!F:F,0)),"")</f>
        <v/>
      </c>
      <c r="D22">
        <f t="shared" si="0"/>
        <v>0</v>
      </c>
      <c r="E22">
        <f t="shared" si="1"/>
        <v>0</v>
      </c>
      <c r="F22">
        <f t="shared" si="1"/>
        <v>0</v>
      </c>
      <c r="G22">
        <f t="shared" ref="G22:G32" si="4">SUM(D22:F22)</f>
        <v>0</v>
      </c>
    </row>
    <row r="23" spans="1:15" x14ac:dyDescent="0.35">
      <c r="A23" s="8">
        <f t="shared" si="2"/>
        <v>43570</v>
      </c>
      <c r="B23" s="7" t="str">
        <f>IFERROR(INDEX(Data!A:A,MATCH(Support!A23,Data!F:F,0)),"")</f>
        <v>Task 22</v>
      </c>
      <c r="C23" t="str">
        <f>IFERROR(INDEX(Data!H:H,MATCH(Support!A23,Data!F:F,0)),"")</f>
        <v>Pending</v>
      </c>
      <c r="D23">
        <f t="shared" si="0"/>
        <v>2</v>
      </c>
      <c r="E23">
        <f t="shared" si="1"/>
        <v>0</v>
      </c>
      <c r="F23">
        <f t="shared" si="1"/>
        <v>0</v>
      </c>
      <c r="G23">
        <f t="shared" si="4"/>
        <v>2</v>
      </c>
      <c r="N23" s="363" t="str">
        <f ca="1">N17</f>
        <v>R</v>
      </c>
      <c r="O23" s="363"/>
    </row>
    <row r="24" spans="1:15" x14ac:dyDescent="0.35">
      <c r="A24" s="8">
        <f t="shared" si="2"/>
        <v>43571</v>
      </c>
      <c r="B24" s="7" t="str">
        <f>IFERROR(INDEX(Data!A:A,MATCH(Support!A24,Data!F:F,0)),"")</f>
        <v/>
      </c>
      <c r="C24" t="str">
        <f>IFERROR(INDEX(Data!H:H,MATCH(Support!A24,Data!F:F,0)),"")</f>
        <v/>
      </c>
      <c r="D24">
        <f t="shared" si="0"/>
        <v>0</v>
      </c>
      <c r="E24">
        <f t="shared" si="1"/>
        <v>0</v>
      </c>
      <c r="F24">
        <f t="shared" si="1"/>
        <v>0</v>
      </c>
      <c r="G24">
        <f t="shared" si="4"/>
        <v>0</v>
      </c>
      <c r="N24" s="363"/>
      <c r="O24" s="363"/>
    </row>
    <row r="25" spans="1:15" x14ac:dyDescent="0.35">
      <c r="A25" s="8">
        <f t="shared" si="2"/>
        <v>43572</v>
      </c>
      <c r="B25" s="7" t="str">
        <f>IFERROR(INDEX(Data!A:A,MATCH(Support!A25,Data!F:F,0)),"")</f>
        <v/>
      </c>
      <c r="C25" t="str">
        <f>IFERROR(INDEX(Data!H:H,MATCH(Support!A25,Data!F:F,0)),"")</f>
        <v/>
      </c>
      <c r="D25">
        <f t="shared" si="0"/>
        <v>0</v>
      </c>
      <c r="E25">
        <f t="shared" si="1"/>
        <v>0</v>
      </c>
      <c r="F25">
        <f t="shared" si="1"/>
        <v>0</v>
      </c>
      <c r="G25">
        <f t="shared" si="4"/>
        <v>0</v>
      </c>
      <c r="N25" s="363"/>
      <c r="O25" s="363"/>
    </row>
    <row r="26" spans="1:15" x14ac:dyDescent="0.35">
      <c r="A26" s="8">
        <f t="shared" si="2"/>
        <v>43573</v>
      </c>
      <c r="B26" s="7" t="str">
        <f>IFERROR(INDEX(Data!A:A,MATCH(Support!A26,Data!F:F,0)),"")</f>
        <v/>
      </c>
      <c r="C26" t="str">
        <f>IFERROR(INDEX(Data!H:H,MATCH(Support!A26,Data!F:F,0)),"")</f>
        <v/>
      </c>
      <c r="D26">
        <f t="shared" si="0"/>
        <v>0</v>
      </c>
      <c r="E26">
        <f t="shared" si="1"/>
        <v>0</v>
      </c>
      <c r="F26">
        <f t="shared" si="1"/>
        <v>0</v>
      </c>
      <c r="G26">
        <f t="shared" si="4"/>
        <v>0</v>
      </c>
      <c r="N26" s="363"/>
      <c r="O26" s="363"/>
    </row>
    <row r="27" spans="1:15" x14ac:dyDescent="0.35">
      <c r="A27" s="8">
        <f t="shared" si="2"/>
        <v>43574</v>
      </c>
      <c r="B27" s="7" t="str">
        <f>IFERROR(INDEX(Data!A:A,MATCH(Support!A27,Data!F:F,0)),"")</f>
        <v/>
      </c>
      <c r="C27" t="str">
        <f>IFERROR(INDEX(Data!H:H,MATCH(Support!A27,Data!F:F,0)),"")</f>
        <v/>
      </c>
      <c r="D27">
        <f t="shared" si="0"/>
        <v>0</v>
      </c>
      <c r="E27">
        <f t="shared" si="1"/>
        <v>0</v>
      </c>
      <c r="F27">
        <f t="shared" si="1"/>
        <v>0</v>
      </c>
      <c r="G27">
        <f t="shared" si="4"/>
        <v>0</v>
      </c>
    </row>
    <row r="28" spans="1:15" x14ac:dyDescent="0.35">
      <c r="A28" s="8">
        <f t="shared" si="2"/>
        <v>43575</v>
      </c>
      <c r="B28" s="7" t="str">
        <f>IFERROR(INDEX(Data!A:A,MATCH(Support!A28,Data!F:F,0)),"")</f>
        <v/>
      </c>
      <c r="C28" t="str">
        <f>IFERROR(INDEX(Data!H:H,MATCH(Support!A28,Data!F:F,0)),"")</f>
        <v/>
      </c>
      <c r="D28">
        <f t="shared" si="0"/>
        <v>0</v>
      </c>
      <c r="E28">
        <f t="shared" si="1"/>
        <v>0</v>
      </c>
      <c r="F28">
        <f t="shared" si="1"/>
        <v>0</v>
      </c>
      <c r="G28">
        <f t="shared" si="4"/>
        <v>0</v>
      </c>
    </row>
    <row r="29" spans="1:15" x14ac:dyDescent="0.35">
      <c r="A29" s="8">
        <f t="shared" si="2"/>
        <v>43576</v>
      </c>
      <c r="B29" s="7" t="str">
        <f>IFERROR(INDEX(Data!A:A,MATCH(Support!A29,Data!F:F,0)),"")</f>
        <v>Task 23</v>
      </c>
      <c r="C29" t="str">
        <f>IFERROR(INDEX(Data!H:H,MATCH(Support!A29,Data!F:F,0)),"")</f>
        <v>Pending</v>
      </c>
      <c r="D29">
        <f t="shared" si="0"/>
        <v>2</v>
      </c>
      <c r="E29">
        <f t="shared" si="1"/>
        <v>0</v>
      </c>
      <c r="F29">
        <f t="shared" si="1"/>
        <v>0</v>
      </c>
      <c r="G29">
        <f t="shared" si="4"/>
        <v>2</v>
      </c>
    </row>
    <row r="30" spans="1:15" x14ac:dyDescent="0.35">
      <c r="A30" s="8">
        <f t="shared" si="2"/>
        <v>43577</v>
      </c>
      <c r="B30" s="7" t="str">
        <f>IFERROR(INDEX(Data!A:A,MATCH(Support!A30,Data!F:F,0)),"")</f>
        <v/>
      </c>
      <c r="C30" t="str">
        <f>IFERROR(INDEX(Data!H:H,MATCH(Support!A30,Data!F:F,0)),"")</f>
        <v/>
      </c>
      <c r="D30">
        <f t="shared" si="0"/>
        <v>0</v>
      </c>
      <c r="E30">
        <f t="shared" si="1"/>
        <v>0</v>
      </c>
      <c r="F30">
        <f t="shared" si="1"/>
        <v>0</v>
      </c>
      <c r="G30">
        <f t="shared" si="4"/>
        <v>0</v>
      </c>
    </row>
    <row r="31" spans="1:15" x14ac:dyDescent="0.35">
      <c r="A31" s="8">
        <f t="shared" si="2"/>
        <v>43578</v>
      </c>
      <c r="B31" s="7" t="str">
        <f>IFERROR(INDEX(Data!A:A,MATCH(Support!A31,Data!F:F,0)),"")</f>
        <v>Task 24</v>
      </c>
      <c r="C31" t="str">
        <f>IFERROR(INDEX(Data!H:H,MATCH(Support!A31,Data!F:F,0)),"")</f>
        <v>Pending</v>
      </c>
      <c r="D31">
        <f t="shared" si="0"/>
        <v>2</v>
      </c>
      <c r="E31">
        <f t="shared" si="1"/>
        <v>0</v>
      </c>
      <c r="F31">
        <f t="shared" si="1"/>
        <v>0</v>
      </c>
      <c r="G31">
        <f t="shared" si="4"/>
        <v>2</v>
      </c>
    </row>
    <row r="32" spans="1:15" x14ac:dyDescent="0.35">
      <c r="A32" s="8">
        <f t="shared" si="2"/>
        <v>43579</v>
      </c>
      <c r="B32" s="7" t="str">
        <f>IFERROR(INDEX(Data!A:A,MATCH(Support!A32,Data!F:F,0)),"")</f>
        <v>Task 25</v>
      </c>
      <c r="C32" t="str">
        <f>IFERROR(INDEX(Data!H:H,MATCH(Support!A32,Data!F:F,0)),"")</f>
        <v>Pending</v>
      </c>
      <c r="D32">
        <f t="shared" si="0"/>
        <v>1</v>
      </c>
      <c r="E32">
        <f t="shared" si="1"/>
        <v>0</v>
      </c>
      <c r="F32">
        <f t="shared" si="1"/>
        <v>0</v>
      </c>
      <c r="G32">
        <f t="shared" si="4"/>
        <v>1</v>
      </c>
    </row>
  </sheetData>
  <mergeCells count="2">
    <mergeCell ref="B1:G1"/>
    <mergeCell ref="N23:O26"/>
  </mergeCells>
  <conditionalFormatting sqref="N23">
    <cfRule type="cellIs" dxfId="2" priority="1" operator="equal">
      <formula>"G"</formula>
    </cfRule>
    <cfRule type="cellIs" dxfId="1" priority="2" operator="equal">
      <formula>"A"</formula>
    </cfRule>
    <cfRule type="cellIs" dxfId="0" priority="3" operator="equal">
      <formula>"R"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FFCA9A4D734914B9454B1B6149E55C6" ma:contentTypeVersion="3" ma:contentTypeDescription="Create a new document." ma:contentTypeScope="" ma:versionID="4fa869665bb039de1b00c0a8ba30295a">
  <xsd:schema xmlns:xsd="http://www.w3.org/2001/XMLSchema" xmlns:xs="http://www.w3.org/2001/XMLSchema" xmlns:p="http://schemas.microsoft.com/office/2006/metadata/properties" xmlns:ns2="b41b4a84-9209-4cda-b712-a63f475acec1" targetNamespace="http://schemas.microsoft.com/office/2006/metadata/properties" ma:root="true" ma:fieldsID="eda52b5b1607839c245e9b28c91b026b" ns2:_="">
    <xsd:import namespace="b41b4a84-9209-4cda-b712-a63f475acec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b4a84-9209-4cda-b712-a63f475ace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BB21746-F098-45FA-AD51-2302D3E1FDFD}">
  <ds:schemaRefs>
    <ds:schemaRef ds:uri="http://schemas.microsoft.com/sharepoint/v3/contenttype/forms"/>
  </ds:schemaRefs>
</ds:datastoreItem>
</file>

<file path=customXml/itemProps2.xml><?xml version="1.0" encoding="utf-8"?>
<ds:datastoreItem xmlns:ds="http://schemas.openxmlformats.org/officeDocument/2006/customXml" ds:itemID="{608CC381-980F-49A5-A8F1-6A4F8682CF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b4a84-9209-4cda-b712-a63f475ace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5401A01-343E-46AD-8E24-1036CB46548C}">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deff24bb-2089-4400-8c8e-f71e680378b2}" enabled="0" method="" siteId="{deff24bb-2089-4400-8c8e-f71e680378b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Mapping</vt:lpstr>
      <vt:lpstr>Dashboard</vt:lpstr>
      <vt:lpstr>Intro</vt:lpstr>
      <vt:lpstr>Step 1</vt:lpstr>
      <vt:lpstr>Step 2</vt:lpstr>
      <vt:lpstr>Step 3</vt:lpstr>
      <vt:lpstr>Step 4</vt:lpstr>
      <vt:lpstr>Step 5</vt:lpstr>
      <vt:lpstr>Cost</vt:lpstr>
      <vt:lpstr>Assesment</vt:lpstr>
      <vt:lpstr>Conclusion</vt:lpstr>
      <vt:lpstr>Data</vt:lpstr>
      <vt:lpstr>Settings</vt:lpstr>
      <vt:lpstr>Support</vt:lpstr>
      <vt:lpstr>'Other Issues'!_Hlk503774654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Priyendra Kumar</dc:creator>
  <cp:lastModifiedBy>Ashish Gupta</cp:lastModifiedBy>
  <dcterms:created xsi:type="dcterms:W3CDTF">2019-09-18T08:51:50Z</dcterms:created>
  <dcterms:modified xsi:type="dcterms:W3CDTF">2025-08-02T05:42:17Z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